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tables/table3.xml" ContentType="application/vnd.openxmlformats-officedocument.spreadsheetml.table+xml"/>
  <Override PartName="/xl/comments3.xml" ContentType="application/vnd.openxmlformats-officedocument.spreadsheetml.comments+xml"/>
  <Override PartName="/xl/comments4.xml" ContentType="application/vnd.openxmlformats-officedocument.spreadsheetml.comments+xml"/>
  <Override PartName="/xl/threadedComments/threadedComment3.xml" ContentType="application/vnd.ms-excel.threadedcomments+xml"/>
  <Override PartName="/xl/comments5.xml" ContentType="application/vnd.openxmlformats-officedocument.spreadsheetml.comments+xml"/>
  <Override PartName="/xl/threadedComments/threadedComment4.xml" ContentType="application/vnd.ms-excel.threadedcomments+xml"/>
  <Override PartName="/xl/comments6.xml" ContentType="application/vnd.openxmlformats-officedocument.spreadsheetml.comments+xml"/>
  <Override PartName="/xl/threadedComments/threadedComment5.xml" ContentType="application/vnd.ms-excel.threadedcomments+xml"/>
  <Override PartName="/xl/comments7.xml" ContentType="application/vnd.openxmlformats-officedocument.spreadsheetml.comments+xml"/>
  <Override PartName="/xl/threadedComments/threadedComment6.xml" ContentType="application/vnd.ms-excel.threadedcomments+xml"/>
  <Override PartName="/xl/comments8.xml" ContentType="application/vnd.openxmlformats-officedocument.spreadsheetml.comments+xml"/>
  <Override PartName="/xl/threadedComments/threadedComment7.xml" ContentType="application/vnd.ms-excel.threadedcomments+xml"/>
  <Override PartName="/xl/comments9.xml" ContentType="application/vnd.openxmlformats-officedocument.spreadsheetml.comments+xml"/>
  <Override PartName="/xl/threadedComments/threadedComment8.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filterPrivacy="1" codeName="ThisWorkbook" hidePivotFieldList="1"/>
  <xr:revisionPtr revIDLastSave="208" documentId="8_{C3112123-4DBE-4CE3-9DA5-7317A48CD897}" xr6:coauthVersionLast="47" xr6:coauthVersionMax="47" xr10:uidLastSave="{9D98E86A-0CD7-455E-A9FF-42D61CCB3623}"/>
  <bookViews>
    <workbookView minimized="1" xWindow="7030" yWindow="680" windowWidth="12220" windowHeight="10050" tabRatio="782" firstSheet="4" activeTab="5" xr2:uid="{00000000-000D-0000-FFFF-FFFF00000000}"/>
  </bookViews>
  <sheets>
    <sheet name="BetaCredit Forecast 26" sheetId="59" state="hidden" r:id="rId1"/>
    <sheet name="Opp. FY25 (+old)" sheetId="25" r:id="rId2"/>
    <sheet name="Sheet2" sheetId="67" state="hidden" r:id="rId3"/>
    <sheet name="Opp. FY26" sheetId="55" r:id="rId4"/>
    <sheet name="Opp. FY27" sheetId="63" r:id="rId5"/>
    <sheet name="BD" sheetId="23" r:id="rId6"/>
    <sheet name="Costi vs Forecast" sheetId="49" r:id="rId7"/>
    <sheet name="Summary" sheetId="11" r:id="rId8"/>
    <sheet name="Summary Final Results FY26" sheetId="68" r:id="rId9"/>
    <sheet name="Contracts" sheetId="66" r:id="rId10"/>
    <sheet name="FCST 8871789615 35%" sheetId="37" r:id="rId11"/>
    <sheet name="FCST 8874098591 35%" sheetId="33" r:id="rId12"/>
    <sheet name="FCST Delta-Supporto Security" sheetId="39" r:id="rId13"/>
    <sheet name="Summary (2)" sheetId="60" state="hidden" r:id="rId14"/>
    <sheet name="Summary (3)" sheetId="61" state="hidden" r:id="rId15"/>
    <sheet name="Sheet1" sheetId="62" state="hidden" r:id="rId16"/>
  </sheets>
  <externalReferences>
    <externalReference r:id="rId17"/>
    <externalReference r:id="rId18"/>
    <externalReference r:id="rId19"/>
  </externalReferences>
  <definedNames>
    <definedName name="_xlnm._FilterDatabase" localSheetId="5" hidden="1">BD!$B$3:$J$85</definedName>
    <definedName name="_xlnm._FilterDatabase" localSheetId="9" hidden="1">Contracts!$A$1:$C$1</definedName>
    <definedName name="_xlnm._FilterDatabase" localSheetId="7" hidden="1">Summary!$A$9:$W$25</definedName>
    <definedName name="_xlnm._FilterDatabase" localSheetId="13" hidden="1">'Summary (2)'!$A$9:$W$25</definedName>
    <definedName name="_xlnm._FilterDatabase" localSheetId="14" hidden="1">'Summary (3)'!$A$9:$W$25</definedName>
    <definedName name="_INITIATIVE" localSheetId="10">#REF!</definedName>
    <definedName name="_INITIATIVE" localSheetId="11">#REF!</definedName>
    <definedName name="_INITIATIVE" localSheetId="12">#REF!</definedName>
    <definedName name="_INITIATIVE">#REF!</definedName>
    <definedName name="avg_lcr">#REF!</definedName>
    <definedName name="BuColumn" localSheetId="9">[1]!Table3[[#All],[Business Line]]</definedName>
    <definedName name="BuColumn">#REF!</definedName>
    <definedName name="BusinessColumn" localSheetId="9">[1]!Table1[Business Line]</definedName>
    <definedName name="BusinessColumn">#REF!</definedName>
    <definedName name="BusinessStart" localSheetId="9">[1]!Table1[[#Headers],[Business Line]]</definedName>
    <definedName name="BusinessStart">#REF!</definedName>
    <definedName name="BuStart" localSheetId="9">[1]!Table3[[#Headers],[Business Line]]</definedName>
    <definedName name="BuStart">#REF!</definedName>
    <definedName name="end_date">#REF!</definedName>
    <definedName name="holid">#REF!</definedName>
    <definedName name="holydays">#REF!</definedName>
    <definedName name="LeColumn" localSheetId="9">[1]!Table1[[#All],[LE]]</definedName>
    <definedName name="LeColumn">#REF!</definedName>
    <definedName name="LeStart" localSheetId="9">[1]!Table1[[#Headers],[LE]]</definedName>
    <definedName name="LeStart">#REF!</definedName>
    <definedName name="price">#REF!</definedName>
    <definedName name="price_ratecard">#REF!</definedName>
    <definedName name="referente_fornitore">#REF!</definedName>
    <definedName name="rev_runrate">#REF!</definedName>
    <definedName name="Role_C" localSheetId="10">#REF!</definedName>
    <definedName name="Role_C" localSheetId="11">#REF!</definedName>
    <definedName name="Role_C" localSheetId="12">#REF!</definedName>
    <definedName name="Role_C">#REF!</definedName>
    <definedName name="Role_Col" localSheetId="10">#REF!</definedName>
    <definedName name="Role_Col" localSheetId="11">#REF!</definedName>
    <definedName name="Role_Col" localSheetId="12">#REF!</definedName>
    <definedName name="Role_Col">#REF!</definedName>
    <definedName name="Role_init" localSheetId="10">#REF!</definedName>
    <definedName name="Role_init" localSheetId="11">#REF!</definedName>
    <definedName name="Role_init" localSheetId="12">#REF!</definedName>
    <definedName name="Role_init">#REF!</definedName>
    <definedName name="RoleC" localSheetId="10">#REF!</definedName>
    <definedName name="RoleC" localSheetId="11">#REF!</definedName>
    <definedName name="RoleC" localSheetId="12">#REF!</definedName>
    <definedName name="RoleC">#REF!</definedName>
    <definedName name="sales_factor">#REF!</definedName>
    <definedName name="servizio">#REF!</definedName>
    <definedName name="start_date">#REF!</definedName>
    <definedName name="total_costs">#REF!</definedName>
    <definedName name="total_nonpayroll">#REF!</definedName>
    <definedName name="total_payroll">[2]!payroll_costs[[#Totals],[Total (€)]]</definedName>
    <definedName name="TypeColumn" localSheetId="9">[3]!Table3[[#All],[Type]]</definedName>
    <definedName name="TypeColumn">#REF!</definedName>
    <definedName name="TypeStart" localSheetId="9">[3]!Table3[[#Headers],[Type]]</definedName>
    <definedName name="TypeStart">#REF!</definedName>
  </definedNames>
  <calcPr calcId="191029" calcCompleted="0"/>
  <pivotCaches>
    <pivotCache cacheId="0"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6" i="23" l="1"/>
  <c r="I86" i="23"/>
  <c r="H86" i="23"/>
  <c r="O25" i="63"/>
  <c r="Q23" i="63"/>
  <c r="K72" i="23"/>
  <c r="S22" i="37"/>
  <c r="AY28" i="49"/>
  <c r="Q50" i="33"/>
  <c r="C7" i="39"/>
  <c r="C8" i="39"/>
  <c r="C10" i="39"/>
  <c r="C11" i="39"/>
  <c r="C14" i="39"/>
  <c r="C15" i="39"/>
  <c r="C18" i="39"/>
  <c r="C19" i="39"/>
  <c r="C21" i="39"/>
  <c r="C22" i="39"/>
  <c r="C7" i="33"/>
  <c r="C8" i="33"/>
  <c r="C10" i="33"/>
  <c r="C11" i="33"/>
  <c r="C14" i="33"/>
  <c r="C15" i="33"/>
  <c r="C18" i="33"/>
  <c r="C19" i="33"/>
  <c r="C21" i="33"/>
  <c r="C22" i="33"/>
  <c r="C23" i="33"/>
  <c r="C24" i="33"/>
  <c r="C16" i="37"/>
  <c r="C16" i="33" s="1"/>
  <c r="C3" i="37"/>
  <c r="C3" i="33" s="1"/>
  <c r="C4" i="37"/>
  <c r="C4" i="33" s="1"/>
  <c r="C5" i="37"/>
  <c r="C5" i="33" s="1"/>
  <c r="C6" i="37"/>
  <c r="C6" i="33" s="1"/>
  <c r="C9" i="37"/>
  <c r="C9" i="39" s="1"/>
  <c r="C12" i="37"/>
  <c r="C12" i="33" s="1"/>
  <c r="C13" i="37"/>
  <c r="C13" i="33" s="1"/>
  <c r="C17" i="37"/>
  <c r="C17" i="39" s="1"/>
  <c r="C20" i="37"/>
  <c r="C20" i="33" s="1"/>
  <c r="C2" i="37"/>
  <c r="C2" i="33" s="1"/>
  <c r="C60" i="49"/>
  <c r="C6" i="39" l="1"/>
  <c r="C9" i="33"/>
  <c r="C2" i="39"/>
  <c r="C16" i="39"/>
  <c r="C13" i="39"/>
  <c r="C5" i="39"/>
  <c r="C20" i="39"/>
  <c r="C12" i="39"/>
  <c r="C4" i="39"/>
  <c r="C17" i="33"/>
  <c r="C3" i="39"/>
  <c r="J29" i="66" l="1"/>
  <c r="K29" i="66"/>
  <c r="L29" i="66"/>
  <c r="N29" i="66"/>
  <c r="O29" i="66"/>
  <c r="P29" i="66"/>
  <c r="R29" i="66"/>
  <c r="S29" i="66"/>
  <c r="T29" i="66"/>
  <c r="V29" i="66"/>
  <c r="W29" i="66"/>
  <c r="X29" i="66"/>
  <c r="K17" i="66"/>
  <c r="L17" i="66"/>
  <c r="J17" i="66"/>
  <c r="W17" i="66"/>
  <c r="X17" i="66"/>
  <c r="V17" i="66"/>
  <c r="S17" i="66"/>
  <c r="T17" i="66"/>
  <c r="R17" i="66"/>
  <c r="O17" i="66"/>
  <c r="P17" i="66"/>
  <c r="N17" i="66"/>
  <c r="D11" i="68" l="1"/>
  <c r="D13" i="68" s="1"/>
  <c r="C11" i="68"/>
  <c r="C13" i="68" s="1"/>
  <c r="E4" i="68"/>
  <c r="E3" i="68"/>
  <c r="C12" i="68" l="1"/>
  <c r="D12" i="68"/>
  <c r="K73" i="23" l="1"/>
  <c r="BN8" i="49" l="1"/>
  <c r="BL8" i="49"/>
  <c r="BJ8" i="49"/>
  <c r="R22" i="33"/>
  <c r="G83" i="23"/>
  <c r="I83" i="23" s="1"/>
  <c r="G84" i="23"/>
  <c r="I84" i="23" s="1"/>
  <c r="G85" i="23"/>
  <c r="I85" i="23" s="1"/>
  <c r="H83" i="23"/>
  <c r="H84" i="23"/>
  <c r="H85" i="23"/>
  <c r="P23" i="55" l="1"/>
  <c r="Q3" i="63" l="1"/>
  <c r="Q4" i="63"/>
  <c r="Q5" i="63"/>
  <c r="Q6" i="63"/>
  <c r="Q7" i="63"/>
  <c r="Q8" i="63"/>
  <c r="Q9" i="63"/>
  <c r="Q10" i="63"/>
  <c r="Q11" i="63"/>
  <c r="Q12" i="63"/>
  <c r="Q13" i="63"/>
  <c r="Q14" i="63"/>
  <c r="Q15" i="63"/>
  <c r="Q16" i="63"/>
  <c r="Q17" i="63"/>
  <c r="Q18" i="63"/>
  <c r="Q19" i="63"/>
  <c r="Q20" i="63"/>
  <c r="Q21" i="63"/>
  <c r="Q22" i="63"/>
  <c r="W32" i="66" l="1"/>
  <c r="W33" i="66" s="1"/>
  <c r="W34" i="66" s="1"/>
  <c r="Y31" i="66"/>
  <c r="Y30" i="66"/>
  <c r="X32" i="66"/>
  <c r="X33" i="66" s="1"/>
  <c r="X34" i="66" s="1"/>
  <c r="V32" i="66"/>
  <c r="Y28" i="66"/>
  <c r="Y27" i="66"/>
  <c r="Y19" i="66"/>
  <c r="Y18" i="66"/>
  <c r="X20" i="66"/>
  <c r="X21" i="66" s="1"/>
  <c r="X22" i="66" s="1"/>
  <c r="W20" i="66"/>
  <c r="W21" i="66" s="1"/>
  <c r="W22" i="66" s="1"/>
  <c r="V20" i="66"/>
  <c r="V21" i="66" s="1"/>
  <c r="Y16" i="66"/>
  <c r="Y15" i="66"/>
  <c r="X7" i="66"/>
  <c r="W7" i="66"/>
  <c r="V7" i="66"/>
  <c r="X6" i="66"/>
  <c r="W6" i="66"/>
  <c r="V6" i="66"/>
  <c r="X4" i="66"/>
  <c r="W4" i="66"/>
  <c r="V4" i="66"/>
  <c r="X3" i="66"/>
  <c r="W3" i="66"/>
  <c r="V3" i="66"/>
  <c r="S32" i="66"/>
  <c r="S33" i="66" s="1"/>
  <c r="S34" i="66" s="1"/>
  <c r="U31" i="66"/>
  <c r="U30" i="66"/>
  <c r="T32" i="66"/>
  <c r="T33" i="66" s="1"/>
  <c r="T34" i="66" s="1"/>
  <c r="R32" i="66"/>
  <c r="U28" i="66"/>
  <c r="U27" i="66"/>
  <c r="U19" i="66"/>
  <c r="U18" i="66"/>
  <c r="T20" i="66"/>
  <c r="T21" i="66" s="1"/>
  <c r="T22" i="66" s="1"/>
  <c r="S20" i="66"/>
  <c r="S21" i="66" s="1"/>
  <c r="S22" i="66" s="1"/>
  <c r="U16" i="66"/>
  <c r="U15" i="66"/>
  <c r="T7" i="66"/>
  <c r="S7" i="66"/>
  <c r="R7" i="66"/>
  <c r="T6" i="66"/>
  <c r="S6" i="66"/>
  <c r="R6" i="66"/>
  <c r="T4" i="66"/>
  <c r="S4" i="66"/>
  <c r="R4" i="66"/>
  <c r="T3" i="66"/>
  <c r="S3" i="66"/>
  <c r="R3" i="66"/>
  <c r="I34" i="66"/>
  <c r="I32" i="66"/>
  <c r="S5" i="66" l="1"/>
  <c r="S8" i="66" s="1"/>
  <c r="S9" i="66" s="1"/>
  <c r="S10" i="66" s="1"/>
  <c r="R5" i="66"/>
  <c r="R8" i="66" s="1"/>
  <c r="R9" i="66" s="1"/>
  <c r="R10" i="66" s="1"/>
  <c r="W5" i="66"/>
  <c r="W8" i="66" s="1"/>
  <c r="W9" i="66" s="1"/>
  <c r="W10" i="66" s="1"/>
  <c r="X5" i="66"/>
  <c r="X8" i="66" s="1"/>
  <c r="X9" i="66" s="1"/>
  <c r="X10" i="66" s="1"/>
  <c r="V5" i="66"/>
  <c r="V8" i="66" s="1"/>
  <c r="Y17" i="66"/>
  <c r="U17" i="66"/>
  <c r="U6" i="66"/>
  <c r="Y29" i="66"/>
  <c r="Y7" i="66"/>
  <c r="Y6" i="66"/>
  <c r="Y4" i="66"/>
  <c r="Y3" i="66"/>
  <c r="U3" i="66"/>
  <c r="U4" i="66"/>
  <c r="U7" i="66"/>
  <c r="V22" i="66"/>
  <c r="Y21" i="66"/>
  <c r="Y22" i="66" s="1"/>
  <c r="Y32" i="66"/>
  <c r="V33" i="66"/>
  <c r="Y20" i="66"/>
  <c r="U32" i="66"/>
  <c r="R33" i="66"/>
  <c r="R20" i="66"/>
  <c r="U29" i="66"/>
  <c r="T5" i="66"/>
  <c r="T8" i="66" s="1"/>
  <c r="U8" i="66" l="1"/>
  <c r="U9" i="66" s="1"/>
  <c r="U10" i="66" s="1"/>
  <c r="Y5" i="66"/>
  <c r="Y8" i="66"/>
  <c r="Y9" i="66" s="1"/>
  <c r="Y10" i="66" s="1"/>
  <c r="V9" i="66"/>
  <c r="V10" i="66" s="1"/>
  <c r="V34" i="66"/>
  <c r="Y33" i="66"/>
  <c r="Y34" i="66" s="1"/>
  <c r="R34" i="66"/>
  <c r="U33" i="66"/>
  <c r="U34" i="66" s="1"/>
  <c r="R21" i="66"/>
  <c r="U20" i="66"/>
  <c r="T9" i="66"/>
  <c r="T10" i="66" s="1"/>
  <c r="U5" i="66"/>
  <c r="U21" i="66" l="1"/>
  <c r="U22" i="66" s="1"/>
  <c r="R22" i="66"/>
  <c r="H80" i="23" l="1"/>
  <c r="H81" i="23"/>
  <c r="H82" i="23"/>
  <c r="G80" i="23"/>
  <c r="I80" i="23" s="1"/>
  <c r="G81" i="23"/>
  <c r="I81" i="23" s="1"/>
  <c r="G82" i="23"/>
  <c r="I82" i="23" s="1"/>
  <c r="E5" i="67" l="1"/>
  <c r="E8" i="67"/>
  <c r="D4" i="67"/>
  <c r="D5" i="67"/>
  <c r="D3" i="67"/>
  <c r="C8" i="67"/>
  <c r="B8" i="67"/>
  <c r="D8" i="67" l="1"/>
  <c r="C31" i="49"/>
  <c r="BB43" i="49"/>
  <c r="BD43" i="49"/>
  <c r="BF43" i="49"/>
  <c r="BH43" i="49"/>
  <c r="BJ43" i="49"/>
  <c r="BL43" i="49"/>
  <c r="S30" i="37" l="1"/>
  <c r="M31" i="66" l="1"/>
  <c r="H31" i="66"/>
  <c r="B20" i="66"/>
  <c r="M28" i="66" l="1"/>
  <c r="B21" i="66"/>
  <c r="B22" i="66" s="1"/>
  <c r="B32" i="66"/>
  <c r="B33" i="66" s="1"/>
  <c r="B34" i="66" s="1"/>
  <c r="O32" i="66"/>
  <c r="O33" i="66" s="1"/>
  <c r="O34" i="66" s="1"/>
  <c r="E32" i="66"/>
  <c r="E33" i="66" s="1"/>
  <c r="Q31" i="66"/>
  <c r="Z31" i="66" s="1"/>
  <c r="C31" i="66"/>
  <c r="Q30" i="66"/>
  <c r="M30" i="66"/>
  <c r="H30" i="66"/>
  <c r="C30" i="66"/>
  <c r="P32" i="66"/>
  <c r="P33" i="66" s="1"/>
  <c r="P34" i="66" s="1"/>
  <c r="L32" i="66"/>
  <c r="L33" i="66" s="1"/>
  <c r="L34" i="66" s="1"/>
  <c r="K32" i="66"/>
  <c r="K33" i="66" s="1"/>
  <c r="K34" i="66" s="1"/>
  <c r="Q28" i="66"/>
  <c r="H28" i="66"/>
  <c r="Q27" i="66"/>
  <c r="M27" i="66"/>
  <c r="H27" i="66"/>
  <c r="C27" i="66"/>
  <c r="E20" i="66"/>
  <c r="E21" i="66" s="1"/>
  <c r="Q19" i="66"/>
  <c r="M19" i="66"/>
  <c r="H19" i="66"/>
  <c r="C19" i="66"/>
  <c r="Q18" i="66"/>
  <c r="M18" i="66"/>
  <c r="H18" i="66"/>
  <c r="C18" i="66"/>
  <c r="P20" i="66"/>
  <c r="P21" i="66" s="1"/>
  <c r="P22" i="66" s="1"/>
  <c r="O20" i="66"/>
  <c r="K20" i="66"/>
  <c r="K21" i="66" s="1"/>
  <c r="K22" i="66" s="1"/>
  <c r="J20" i="66"/>
  <c r="Q16" i="66"/>
  <c r="M16" i="66"/>
  <c r="H16" i="66"/>
  <c r="C16" i="66"/>
  <c r="Q15" i="66"/>
  <c r="M15" i="66"/>
  <c r="H15" i="66"/>
  <c r="C15" i="66"/>
  <c r="P7" i="66"/>
  <c r="O7" i="66"/>
  <c r="N7" i="66"/>
  <c r="L7" i="66"/>
  <c r="K7" i="66"/>
  <c r="J7" i="66"/>
  <c r="G7" i="66"/>
  <c r="F7" i="66"/>
  <c r="E7" i="66"/>
  <c r="B7" i="66"/>
  <c r="P6" i="66"/>
  <c r="O6" i="66"/>
  <c r="N6" i="66"/>
  <c r="L6" i="66"/>
  <c r="K6" i="66"/>
  <c r="J6" i="66"/>
  <c r="G6" i="66"/>
  <c r="F6" i="66"/>
  <c r="E6" i="66"/>
  <c r="B6" i="66"/>
  <c r="E5" i="66"/>
  <c r="B5" i="66"/>
  <c r="P4" i="66"/>
  <c r="O4" i="66"/>
  <c r="N4" i="66"/>
  <c r="L4" i="66"/>
  <c r="K4" i="66"/>
  <c r="J4" i="66"/>
  <c r="G4" i="66"/>
  <c r="F4" i="66"/>
  <c r="E4" i="66"/>
  <c r="B4" i="66"/>
  <c r="P3" i="66"/>
  <c r="O3" i="66"/>
  <c r="N3" i="66"/>
  <c r="L3" i="66"/>
  <c r="K3" i="66"/>
  <c r="J3" i="66"/>
  <c r="G3" i="66"/>
  <c r="F3" i="66"/>
  <c r="E3" i="66"/>
  <c r="B3" i="66"/>
  <c r="I19" i="66" l="1"/>
  <c r="I18" i="66"/>
  <c r="Z18" i="66"/>
  <c r="Z27" i="66"/>
  <c r="I16" i="66"/>
  <c r="Z30" i="66"/>
  <c r="Z16" i="66"/>
  <c r="Z15" i="66"/>
  <c r="Z19" i="66"/>
  <c r="Z28" i="66"/>
  <c r="P5" i="66"/>
  <c r="P8" i="66" s="1"/>
  <c r="P9" i="66" s="1"/>
  <c r="P10" i="66" s="1"/>
  <c r="J5" i="66"/>
  <c r="J8" i="66" s="1"/>
  <c r="Q29" i="66"/>
  <c r="N5" i="66"/>
  <c r="N8" i="66" s="1"/>
  <c r="N9" i="66" s="1"/>
  <c r="N10" i="66" s="1"/>
  <c r="M6" i="66"/>
  <c r="M3" i="66"/>
  <c r="Q4" i="66"/>
  <c r="O5" i="66"/>
  <c r="O8" i="66" s="1"/>
  <c r="Q3" i="66"/>
  <c r="M4" i="66"/>
  <c r="H6" i="66"/>
  <c r="L5" i="66"/>
  <c r="L8" i="66" s="1"/>
  <c r="L9" i="66" s="1"/>
  <c r="L10" i="66" s="1"/>
  <c r="C7" i="66"/>
  <c r="Q7" i="66"/>
  <c r="Q17" i="66"/>
  <c r="C3" i="66"/>
  <c r="H4" i="66"/>
  <c r="C6" i="66"/>
  <c r="H7" i="66"/>
  <c r="M17" i="66"/>
  <c r="H3" i="66"/>
  <c r="B8" i="66"/>
  <c r="B9" i="66" s="1"/>
  <c r="B10" i="66" s="1"/>
  <c r="L20" i="66"/>
  <c r="L21" i="66" s="1"/>
  <c r="L22" i="66" s="1"/>
  <c r="C28" i="66"/>
  <c r="E8" i="66"/>
  <c r="E9" i="66" s="1"/>
  <c r="E10" i="66" s="1"/>
  <c r="K5" i="66"/>
  <c r="K8" i="66" s="1"/>
  <c r="K9" i="66" s="1"/>
  <c r="K10" i="66" s="1"/>
  <c r="Q6" i="66"/>
  <c r="M7" i="66"/>
  <c r="N20" i="66"/>
  <c r="N21" i="66" s="1"/>
  <c r="N22" i="66" s="1"/>
  <c r="M29" i="66"/>
  <c r="E22" i="66"/>
  <c r="E34" i="66"/>
  <c r="O21" i="66"/>
  <c r="O22" i="66" s="1"/>
  <c r="J21" i="66"/>
  <c r="J32" i="66"/>
  <c r="N32" i="66"/>
  <c r="R44" i="37"/>
  <c r="R42" i="37"/>
  <c r="R40" i="37"/>
  <c r="R34" i="37"/>
  <c r="R32" i="37"/>
  <c r="R30" i="37"/>
  <c r="R28" i="37"/>
  <c r="Z7" i="66" l="1"/>
  <c r="Z17" i="66"/>
  <c r="Z20" i="66" s="1"/>
  <c r="Z21" i="66" s="1"/>
  <c r="Z22" i="66" s="1"/>
  <c r="Z4" i="66"/>
  <c r="Z3" i="66"/>
  <c r="Z6" i="66"/>
  <c r="Z29" i="66"/>
  <c r="Z32" i="66" s="1"/>
  <c r="Z33" i="66" s="1"/>
  <c r="Z34" i="66" s="1"/>
  <c r="M20" i="66"/>
  <c r="Q5" i="66"/>
  <c r="O9" i="66"/>
  <c r="O10" i="66" s="1"/>
  <c r="Q8" i="66"/>
  <c r="Q9" i="66" s="1"/>
  <c r="Q10" i="66" s="1"/>
  <c r="Q20" i="66"/>
  <c r="M5" i="66"/>
  <c r="M8" i="66"/>
  <c r="M9" i="66" s="1"/>
  <c r="M10" i="66" s="1"/>
  <c r="J22" i="66"/>
  <c r="M21" i="66"/>
  <c r="M22" i="66" s="1"/>
  <c r="Q21" i="66"/>
  <c r="Q22" i="66" s="1"/>
  <c r="J9" i="66"/>
  <c r="J10" i="66" s="1"/>
  <c r="N33" i="66"/>
  <c r="Q32" i="66"/>
  <c r="C4" i="66"/>
  <c r="M32" i="66"/>
  <c r="J33" i="66"/>
  <c r="K68" i="23"/>
  <c r="Z5" i="66" l="1"/>
  <c r="Z8" i="66" s="1"/>
  <c r="Z9" i="66" s="1"/>
  <c r="Z10" i="66" s="1"/>
  <c r="M33" i="66"/>
  <c r="M34" i="66" s="1"/>
  <c r="J34" i="66"/>
  <c r="N34" i="66"/>
  <c r="Q33" i="66"/>
  <c r="Q34" i="66" s="1"/>
  <c r="G76" i="23" l="1"/>
  <c r="I76" i="23" s="1"/>
  <c r="H76" i="23"/>
  <c r="G77" i="23"/>
  <c r="I77" i="23" s="1"/>
  <c r="H77" i="23"/>
  <c r="G78" i="23"/>
  <c r="I78" i="23" s="1"/>
  <c r="H78" i="23"/>
  <c r="G79" i="23"/>
  <c r="I79" i="23" s="1"/>
  <c r="H79" i="23"/>
  <c r="G75" i="23" l="1"/>
  <c r="I75" i="23" s="1"/>
  <c r="H75" i="23"/>
  <c r="R4" i="37" l="1"/>
  <c r="P47" i="37" l="1"/>
  <c r="O47" i="37"/>
  <c r="BH8" i="49" l="1"/>
  <c r="AM22" i="60"/>
  <c r="AM15" i="60"/>
  <c r="H74" i="23" l="1"/>
  <c r="G74" i="23"/>
  <c r="I74" i="23" s="1"/>
  <c r="K71" i="23"/>
  <c r="D57" i="49"/>
  <c r="BB57" i="49" s="1"/>
  <c r="K70" i="23" l="1"/>
  <c r="K69" i="23"/>
  <c r="P25" i="55"/>
  <c r="Q25" i="55" s="1"/>
  <c r="Q26" i="55"/>
  <c r="Q27" i="55"/>
  <c r="Q28" i="55"/>
  <c r="Q29" i="55"/>
  <c r="Q30" i="55"/>
  <c r="Q31" i="55"/>
  <c r="G73" i="23"/>
  <c r="I73" i="23" s="1"/>
  <c r="D56" i="49"/>
  <c r="H73" i="23" l="1"/>
  <c r="K58" i="23" l="1"/>
  <c r="K57" i="23"/>
  <c r="AU5" i="49" l="1"/>
  <c r="AV5" i="49" s="1"/>
  <c r="AY15" i="49" l="1"/>
  <c r="AY6" i="49"/>
  <c r="AY9" i="49"/>
  <c r="H9" i="62" l="1"/>
  <c r="D9" i="62"/>
  <c r="F8" i="61"/>
  <c r="E5" i="60"/>
  <c r="E7" i="60" s="1"/>
  <c r="H4" i="61"/>
  <c r="H5" i="61"/>
  <c r="AN5" i="61"/>
  <c r="AO5" i="61"/>
  <c r="H6" i="61"/>
  <c r="H7" i="61"/>
  <c r="H8" i="61"/>
  <c r="AN10" i="61"/>
  <c r="AD11" i="61"/>
  <c r="AD14" i="61" s="1"/>
  <c r="AE11" i="61"/>
  <c r="AE14" i="61" s="1"/>
  <c r="AF11" i="61"/>
  <c r="AF16" i="61" s="1"/>
  <c r="AG11" i="61"/>
  <c r="AG14" i="61" s="1"/>
  <c r="AH11" i="61"/>
  <c r="AH16" i="61" s="1"/>
  <c r="AI11" i="61"/>
  <c r="AP11" i="61"/>
  <c r="AP14" i="61" s="1"/>
  <c r="AQ11" i="61"/>
  <c r="AR11" i="61"/>
  <c r="AR14" i="61" s="1"/>
  <c r="AS11" i="61"/>
  <c r="AS14" i="61" s="1"/>
  <c r="AT11" i="61"/>
  <c r="AT14" i="61" s="1"/>
  <c r="AU11" i="61"/>
  <c r="AU14" i="61" s="1"/>
  <c r="AV11" i="61"/>
  <c r="AV14" i="61" s="1"/>
  <c r="AW11" i="61"/>
  <c r="AX11" i="61"/>
  <c r="AY11" i="61"/>
  <c r="AY14" i="61" s="1"/>
  <c r="AZ11" i="61"/>
  <c r="BA11" i="61"/>
  <c r="H12" i="61"/>
  <c r="AM15" i="61"/>
  <c r="AN15" i="61"/>
  <c r="AQ13" i="61"/>
  <c r="AQ15" i="61" s="1"/>
  <c r="AR13" i="61"/>
  <c r="AR15" i="61" s="1"/>
  <c r="AS13" i="61"/>
  <c r="AS15" i="61" s="1"/>
  <c r="AT13" i="61"/>
  <c r="AT15" i="61" s="1"/>
  <c r="AU13" i="61"/>
  <c r="AU15" i="61" s="1"/>
  <c r="AV13" i="61"/>
  <c r="AW13" i="61"/>
  <c r="AW15" i="61" s="1"/>
  <c r="AX13" i="61"/>
  <c r="AX15" i="61" s="1"/>
  <c r="AY13" i="61"/>
  <c r="AZ13" i="61"/>
  <c r="AZ15" i="61" s="1"/>
  <c r="BA13" i="61"/>
  <c r="BA15" i="61" s="1"/>
  <c r="AO14" i="61"/>
  <c r="AD15" i="61"/>
  <c r="AE15" i="61"/>
  <c r="AF15" i="61"/>
  <c r="AG15" i="61"/>
  <c r="AH15" i="61"/>
  <c r="AI15" i="61"/>
  <c r="AJ15" i="61"/>
  <c r="AK15" i="61"/>
  <c r="AL15" i="61"/>
  <c r="AO15" i="61"/>
  <c r="AO16" i="61"/>
  <c r="AM17" i="61"/>
  <c r="H17" i="61" s="1"/>
  <c r="AD18" i="61"/>
  <c r="AD23" i="61" s="1"/>
  <c r="AE18" i="61"/>
  <c r="AE21" i="61" s="1"/>
  <c r="AF18" i="61"/>
  <c r="AF23" i="61" s="1"/>
  <c r="AG18" i="61"/>
  <c r="AG21" i="61" s="1"/>
  <c r="AH18" i="61"/>
  <c r="AH21" i="61" s="1"/>
  <c r="AI18" i="61"/>
  <c r="AI21" i="61" s="1"/>
  <c r="AK18" i="61"/>
  <c r="AK21" i="61" s="1"/>
  <c r="AL18" i="61"/>
  <c r="AL21" i="61" s="1"/>
  <c r="AP18" i="61"/>
  <c r="AP21" i="61" s="1"/>
  <c r="AQ18" i="61"/>
  <c r="AR18" i="61"/>
  <c r="AR21" i="61" s="1"/>
  <c r="AS18" i="61"/>
  <c r="AT18" i="61"/>
  <c r="AT21" i="61" s="1"/>
  <c r="AU18" i="61"/>
  <c r="AU21" i="61" s="1"/>
  <c r="AV18" i="61"/>
  <c r="AV21" i="61" s="1"/>
  <c r="AW18" i="61"/>
  <c r="AW21" i="61" s="1"/>
  <c r="AX18" i="61"/>
  <c r="AX21" i="61" s="1"/>
  <c r="AY18" i="61"/>
  <c r="AY21" i="61" s="1"/>
  <c r="AZ18" i="61"/>
  <c r="AZ21" i="61" s="1"/>
  <c r="BA18" i="61"/>
  <c r="H19" i="61"/>
  <c r="AN23" i="61"/>
  <c r="AO22" i="61"/>
  <c r="AP20" i="61"/>
  <c r="AP22" i="61" s="1"/>
  <c r="AQ20" i="61"/>
  <c r="AQ22" i="61" s="1"/>
  <c r="AR20" i="61"/>
  <c r="AR22" i="61" s="1"/>
  <c r="AS20" i="61"/>
  <c r="AS22" i="61" s="1"/>
  <c r="AT20" i="61"/>
  <c r="AU20" i="61"/>
  <c r="AU22" i="61" s="1"/>
  <c r="AV20" i="61"/>
  <c r="AV22" i="61" s="1"/>
  <c r="AW20" i="61"/>
  <c r="AW22" i="61" s="1"/>
  <c r="AX20" i="61"/>
  <c r="AX22" i="61" s="1"/>
  <c r="AY20" i="61"/>
  <c r="AY22" i="61" s="1"/>
  <c r="AZ20" i="61"/>
  <c r="AZ22" i="61" s="1"/>
  <c r="BA20" i="61"/>
  <c r="BA22" i="61" s="1"/>
  <c r="AJ21" i="61"/>
  <c r="AN21" i="61"/>
  <c r="AO21" i="61"/>
  <c r="AO4" i="61" s="1" a="1"/>
  <c r="AO4" i="61" s="1"/>
  <c r="AD22" i="61"/>
  <c r="AE22" i="61"/>
  <c r="AF22" i="61"/>
  <c r="AG22" i="61"/>
  <c r="AH22" i="61"/>
  <c r="AI22" i="61"/>
  <c r="AJ22" i="61"/>
  <c r="AK22" i="61"/>
  <c r="AL22" i="61"/>
  <c r="AM22" i="61"/>
  <c r="AN22" i="61"/>
  <c r="AJ23" i="61"/>
  <c r="AO23" i="61"/>
  <c r="H24" i="61"/>
  <c r="H10" i="60"/>
  <c r="AN22" i="60"/>
  <c r="AO20" i="60"/>
  <c r="AO22" i="60" s="1"/>
  <c r="H4" i="60"/>
  <c r="H5" i="60"/>
  <c r="AO5" i="60"/>
  <c r="H6" i="60"/>
  <c r="H7" i="60"/>
  <c r="H8" i="60"/>
  <c r="AD11" i="60"/>
  <c r="AD14" i="60" s="1"/>
  <c r="AE11" i="60"/>
  <c r="AE16" i="60" s="1"/>
  <c r="AF11" i="60"/>
  <c r="AF14" i="60" s="1"/>
  <c r="AG11" i="60"/>
  <c r="AG14" i="60" s="1"/>
  <c r="AH11" i="60"/>
  <c r="AH16" i="60" s="1"/>
  <c r="AI11" i="60"/>
  <c r="AI16" i="60" s="1"/>
  <c r="AP11" i="60"/>
  <c r="AQ11" i="60"/>
  <c r="AR11" i="60"/>
  <c r="AS11" i="60"/>
  <c r="AS14" i="60" s="1"/>
  <c r="AT11" i="60"/>
  <c r="AT14" i="60" s="1"/>
  <c r="AU11" i="60"/>
  <c r="AU14" i="60" s="1"/>
  <c r="AV11" i="60"/>
  <c r="AV14" i="60" s="1"/>
  <c r="AW11" i="60"/>
  <c r="AW14" i="60" s="1"/>
  <c r="AX11" i="60"/>
  <c r="AX14" i="60" s="1"/>
  <c r="AY11" i="60"/>
  <c r="AY14" i="60" s="1"/>
  <c r="AZ11" i="60"/>
  <c r="BA11" i="60"/>
  <c r="BA14" i="60" s="1"/>
  <c r="H12" i="60"/>
  <c r="AQ13" i="60"/>
  <c r="AR13" i="60"/>
  <c r="AR15" i="60" s="1"/>
  <c r="AS13" i="60"/>
  <c r="AT13" i="60"/>
  <c r="AU13" i="60"/>
  <c r="AU15" i="60" s="1"/>
  <c r="AV13" i="60"/>
  <c r="AV15" i="60" s="1"/>
  <c r="AW13" i="60"/>
  <c r="AW15" i="60" s="1"/>
  <c r="AX13" i="60"/>
  <c r="AX15" i="60" s="1"/>
  <c r="AY13" i="60"/>
  <c r="AZ13" i="60"/>
  <c r="AZ15" i="60" s="1"/>
  <c r="BA13" i="60"/>
  <c r="AD15" i="60"/>
  <c r="AE15" i="60"/>
  <c r="AF15" i="60"/>
  <c r="AG15" i="60"/>
  <c r="AH15" i="60"/>
  <c r="AI15" i="60"/>
  <c r="AJ15" i="60"/>
  <c r="AK15" i="60"/>
  <c r="AL15" i="60"/>
  <c r="H17" i="60"/>
  <c r="AD18" i="60"/>
  <c r="AD23" i="60" s="1"/>
  <c r="AE18" i="60"/>
  <c r="AE23" i="60" s="1"/>
  <c r="AF18" i="60"/>
  <c r="AF21" i="60" s="1"/>
  <c r="AG18" i="60"/>
  <c r="AG21" i="60" s="1"/>
  <c r="AH18" i="60"/>
  <c r="AH23" i="60" s="1"/>
  <c r="AI18" i="60"/>
  <c r="AI23" i="60" s="1"/>
  <c r="AK18" i="60"/>
  <c r="AK23" i="60" s="1"/>
  <c r="AL18" i="60"/>
  <c r="AL21" i="60" s="1"/>
  <c r="AP18" i="60"/>
  <c r="AP21" i="60" s="1"/>
  <c r="AQ18" i="60"/>
  <c r="AQ21" i="60" s="1"/>
  <c r="AR18" i="60"/>
  <c r="AR21" i="60" s="1"/>
  <c r="AS18" i="60"/>
  <c r="AS21" i="60" s="1"/>
  <c r="AT18" i="60"/>
  <c r="AT21" i="60" s="1"/>
  <c r="AU18" i="60"/>
  <c r="AU21" i="60" s="1"/>
  <c r="AV18" i="60"/>
  <c r="AW18" i="60"/>
  <c r="AX18" i="60"/>
  <c r="AX21" i="60" s="1"/>
  <c r="AY18" i="60"/>
  <c r="AY21" i="60" s="1"/>
  <c r="AZ18" i="60"/>
  <c r="AZ21" i="60" s="1"/>
  <c r="BA18" i="60"/>
  <c r="BA21" i="60" s="1"/>
  <c r="H19" i="60"/>
  <c r="AP20" i="60"/>
  <c r="AP22" i="60" s="1"/>
  <c r="AQ20" i="60"/>
  <c r="AQ22" i="60" s="1"/>
  <c r="AR20" i="60"/>
  <c r="AR22" i="60" s="1"/>
  <c r="AS20" i="60"/>
  <c r="AS22" i="60" s="1"/>
  <c r="AT20" i="60"/>
  <c r="AT22" i="60" s="1"/>
  <c r="AU20" i="60"/>
  <c r="AV20" i="60"/>
  <c r="AV22" i="60" s="1"/>
  <c r="AW20" i="60"/>
  <c r="AW22" i="60" s="1"/>
  <c r="AX20" i="60"/>
  <c r="AX22" i="60" s="1"/>
  <c r="AY20" i="60"/>
  <c r="AY22" i="60" s="1"/>
  <c r="AZ20" i="60"/>
  <c r="AZ22" i="60" s="1"/>
  <c r="BA20" i="60"/>
  <c r="BA22" i="60" s="1"/>
  <c r="AJ21" i="60"/>
  <c r="AO21" i="60"/>
  <c r="AD22" i="60"/>
  <c r="AE22" i="60"/>
  <c r="AF22" i="60"/>
  <c r="AG22" i="60"/>
  <c r="AH22" i="60"/>
  <c r="AI22" i="60"/>
  <c r="AJ22" i="60"/>
  <c r="AK22" i="60"/>
  <c r="AL22" i="60"/>
  <c r="AJ23" i="60"/>
  <c r="H24" i="60"/>
  <c r="H12" i="62" l="1"/>
  <c r="AF14" i="61"/>
  <c r="AE14" i="60"/>
  <c r="AS16" i="60"/>
  <c r="BA16" i="60"/>
  <c r="AE23" i="61"/>
  <c r="AT16" i="60"/>
  <c r="BA16" i="61"/>
  <c r="AI5" i="61"/>
  <c r="AO23" i="60"/>
  <c r="AW5" i="60"/>
  <c r="AX16" i="61"/>
  <c r="AG16" i="61"/>
  <c r="H2" i="61"/>
  <c r="AZ16" i="60"/>
  <c r="BA5" i="61"/>
  <c r="AS5" i="61"/>
  <c r="AW21" i="60"/>
  <c r="BA15" i="60"/>
  <c r="H13" i="60"/>
  <c r="H30" i="60" s="1"/>
  <c r="AZ5" i="60"/>
  <c r="AR5" i="60"/>
  <c r="AK23" i="61"/>
  <c r="AY16" i="61"/>
  <c r="AD21" i="60"/>
  <c r="AD4" i="60" s="1" a="1"/>
  <c r="AD4" i="60" s="1"/>
  <c r="AQ5" i="60"/>
  <c r="AW23" i="61"/>
  <c r="AY23" i="60"/>
  <c r="AD16" i="60"/>
  <c r="AW23" i="60"/>
  <c r="AE21" i="60"/>
  <c r="AE4" i="60" s="1" a="1"/>
  <c r="AE4" i="60" s="1"/>
  <c r="AU23" i="60"/>
  <c r="AQ16" i="61"/>
  <c r="AI14" i="61"/>
  <c r="AU5" i="60"/>
  <c r="AT23" i="61"/>
  <c r="AE5" i="60"/>
  <c r="AK21" i="60"/>
  <c r="AL23" i="61"/>
  <c r="AI16" i="61"/>
  <c r="AI4" i="61" s="1" a="1"/>
  <c r="AI4" i="61" s="1"/>
  <c r="AT5" i="60"/>
  <c r="AD5" i="61"/>
  <c r="AV23" i="60"/>
  <c r="AS5" i="60"/>
  <c r="H2" i="60"/>
  <c r="AX14" i="61"/>
  <c r="AR16" i="60"/>
  <c r="AY23" i="61"/>
  <c r="AQ23" i="61"/>
  <c r="AY15" i="61"/>
  <c r="AQ14" i="61"/>
  <c r="AH14" i="61"/>
  <c r="AG23" i="60"/>
  <c r="AU22" i="60"/>
  <c r="AY5" i="60"/>
  <c r="AS16" i="61"/>
  <c r="AZ5" i="61"/>
  <c r="AR5" i="61"/>
  <c r="AI23" i="61"/>
  <c r="AT22" i="61"/>
  <c r="BA14" i="61"/>
  <c r="BA5" i="60"/>
  <c r="AF23" i="60"/>
  <c r="AI21" i="60"/>
  <c r="AS23" i="60"/>
  <c r="AH21" i="60"/>
  <c r="AT15" i="60"/>
  <c r="AZ14" i="60"/>
  <c r="AR14" i="60"/>
  <c r="AI14" i="60"/>
  <c r="AQ23" i="60"/>
  <c r="H20" i="60"/>
  <c r="H31" i="60" s="1"/>
  <c r="AS15" i="60"/>
  <c r="AS4" i="60" s="1" a="1"/>
  <c r="AS4" i="60" s="1"/>
  <c r="AQ14" i="60"/>
  <c r="AH14" i="60"/>
  <c r="AD5" i="60"/>
  <c r="AG16" i="60"/>
  <c r="AP14" i="60"/>
  <c r="AU16" i="60"/>
  <c r="AU23" i="61"/>
  <c r="AG23" i="61"/>
  <c r="AG4" i="61" s="1" a="1"/>
  <c r="AG4" i="61" s="1"/>
  <c r="AV23" i="61"/>
  <c r="AZ14" i="61"/>
  <c r="AG5" i="61"/>
  <c r="BA23" i="60"/>
  <c r="AQ21" i="61"/>
  <c r="AO7" i="61" a="1"/>
  <c r="AO7" i="61" s="1"/>
  <c r="AO8" i="61" s="1"/>
  <c r="H13" i="61"/>
  <c r="AY5" i="61"/>
  <c r="AQ5" i="61"/>
  <c r="AF21" i="61"/>
  <c r="AX5" i="61"/>
  <c r="AP5" i="61"/>
  <c r="AH5" i="61"/>
  <c r="AZ23" i="61"/>
  <c r="AR23" i="61"/>
  <c r="AD21" i="61"/>
  <c r="AV16" i="61"/>
  <c r="AN16" i="61"/>
  <c r="AV5" i="61"/>
  <c r="AF5" i="61"/>
  <c r="BA23" i="61"/>
  <c r="AS23" i="61"/>
  <c r="AW16" i="61"/>
  <c r="H10" i="61"/>
  <c r="AW5" i="61"/>
  <c r="AS21" i="61"/>
  <c r="H20" i="61"/>
  <c r="AU16" i="61"/>
  <c r="AE16" i="61"/>
  <c r="AE7" i="61" s="1" a="1"/>
  <c r="AE7" i="61" s="1"/>
  <c r="AW14" i="61"/>
  <c r="AE5" i="61"/>
  <c r="BA21" i="61"/>
  <c r="AV15" i="61"/>
  <c r="AU5" i="61"/>
  <c r="AX23" i="61"/>
  <c r="AP23" i="61"/>
  <c r="AH23" i="61"/>
  <c r="AT16" i="61"/>
  <c r="AD16" i="61"/>
  <c r="AN14" i="61"/>
  <c r="AT5" i="61"/>
  <c r="AZ16" i="61"/>
  <c r="AR16" i="61"/>
  <c r="AO6" i="61" a="1"/>
  <c r="AO6" i="61" s="1"/>
  <c r="AT23" i="60"/>
  <c r="AL23" i="60"/>
  <c r="AV21" i="60"/>
  <c r="AY16" i="60"/>
  <c r="AQ16" i="60"/>
  <c r="AX5" i="60"/>
  <c r="AP5" i="60"/>
  <c r="AH5" i="60"/>
  <c r="AG5" i="60"/>
  <c r="AX16" i="60"/>
  <c r="AY15" i="60"/>
  <c r="AQ15" i="60"/>
  <c r="AZ23" i="60"/>
  <c r="AR23" i="60"/>
  <c r="AW16" i="60"/>
  <c r="AV5" i="60"/>
  <c r="AF5" i="60"/>
  <c r="AI5" i="60"/>
  <c r="AV16" i="60"/>
  <c r="AF16" i="60"/>
  <c r="AX23" i="60"/>
  <c r="AP23" i="60"/>
  <c r="N50" i="37"/>
  <c r="O50" i="37"/>
  <c r="P50" i="37"/>
  <c r="H72" i="23"/>
  <c r="G72" i="23"/>
  <c r="I72" i="23" s="1"/>
  <c r="AF4" i="61" l="1" a="1"/>
  <c r="AF4" i="61" s="1"/>
  <c r="AH7" i="60" a="1"/>
  <c r="AH7" i="60" s="1"/>
  <c r="AH8" i="60" s="1"/>
  <c r="BA4" i="60" a="1"/>
  <c r="BA4" i="60" s="1"/>
  <c r="AW4" i="60" a="1"/>
  <c r="AW4" i="60" s="1"/>
  <c r="AZ4" i="60" a="1"/>
  <c r="AZ4" i="60" s="1"/>
  <c r="AQ4" i="61" a="1"/>
  <c r="AQ4" i="61" s="1"/>
  <c r="AX6" i="61" a="1"/>
  <c r="AX6" i="61" s="1"/>
  <c r="AI7" i="60" a="1"/>
  <c r="AI7" i="60" s="1"/>
  <c r="AI8" i="60" s="1"/>
  <c r="AY7" i="61" a="1"/>
  <c r="AY7" i="61" s="1"/>
  <c r="AY8" i="61" s="1"/>
  <c r="AU4" i="61" a="1"/>
  <c r="AU4" i="61" s="1"/>
  <c r="AD7" i="60" a="1"/>
  <c r="AD7" i="60" s="1"/>
  <c r="AD8" i="60" s="1"/>
  <c r="H22" i="60"/>
  <c r="AU4" i="60" a="1"/>
  <c r="AU4" i="60" s="1"/>
  <c r="AE6" i="60" a="1"/>
  <c r="AE6" i="60" s="1"/>
  <c r="AH6" i="60" a="1"/>
  <c r="AH6" i="60" s="1"/>
  <c r="AS4" i="61" a="1"/>
  <c r="AS4" i="61" s="1"/>
  <c r="AI6" i="60" a="1"/>
  <c r="AI6" i="60" s="1"/>
  <c r="AD6" i="60" a="1"/>
  <c r="AD6" i="60" s="1"/>
  <c r="AI4" i="60" a="1"/>
  <c r="AI4" i="60" s="1"/>
  <c r="AG6" i="60" a="1"/>
  <c r="AG6" i="60" s="1"/>
  <c r="AE7" i="60" a="1"/>
  <c r="AE7" i="60" s="1"/>
  <c r="AE8" i="60" s="1"/>
  <c r="AG4" i="60" a="1"/>
  <c r="AG4" i="60" s="1"/>
  <c r="BA7" i="60" a="1"/>
  <c r="BA7" i="60" s="1"/>
  <c r="BA8" i="60" s="1"/>
  <c r="AY4" i="61" a="1"/>
  <c r="AY4" i="61" s="1"/>
  <c r="AX7" i="60" a="1"/>
  <c r="AX7" i="60" s="1"/>
  <c r="AX8" i="60" s="1"/>
  <c r="H15" i="60"/>
  <c r="AW6" i="61" a="1"/>
  <c r="AW6" i="61" s="1"/>
  <c r="H32" i="60"/>
  <c r="AM32" i="60" s="1"/>
  <c r="AS7" i="60" a="1"/>
  <c r="AS7" i="60" s="1"/>
  <c r="AS8" i="60" s="1"/>
  <c r="BA6" i="60" a="1"/>
  <c r="BA6" i="60" s="1"/>
  <c r="AS6" i="60" a="1"/>
  <c r="AS6" i="60" s="1"/>
  <c r="AU6" i="60" a="1"/>
  <c r="AU6" i="60" s="1"/>
  <c r="AF7" i="60" a="1"/>
  <c r="AF7" i="60" s="1"/>
  <c r="AF8" i="60" s="1"/>
  <c r="AZ6" i="61" a="1"/>
  <c r="AZ6" i="61" s="1"/>
  <c r="AE4" i="61" a="1"/>
  <c r="AE4" i="61" s="1"/>
  <c r="AY6" i="61" a="1"/>
  <c r="AY6" i="61" s="1"/>
  <c r="AY4" i="60" a="1"/>
  <c r="AY4" i="60" s="1"/>
  <c r="AU7" i="60" a="1"/>
  <c r="AU7" i="60" s="1"/>
  <c r="AU8" i="60" s="1"/>
  <c r="BA7" i="61" a="1"/>
  <c r="BA7" i="61" s="1"/>
  <c r="BA8" i="61" s="1"/>
  <c r="AR7" i="60" a="1"/>
  <c r="AR7" i="60" s="1"/>
  <c r="AR8" i="60" s="1"/>
  <c r="AE6" i="61" a="1"/>
  <c r="AE6" i="61" s="1"/>
  <c r="AQ7" i="60" a="1"/>
  <c r="AQ7" i="60" s="1"/>
  <c r="AQ8" i="60" s="1"/>
  <c r="AI6" i="61" a="1"/>
  <c r="AI6" i="61" s="1"/>
  <c r="H15" i="61"/>
  <c r="H27" i="61"/>
  <c r="AH4" i="60" a="1"/>
  <c r="AH4" i="60" s="1"/>
  <c r="AV4" i="60" a="1"/>
  <c r="AV4" i="60" s="1"/>
  <c r="AV4" i="61" a="1"/>
  <c r="AV4" i="61" s="1"/>
  <c r="AW7" i="61" a="1"/>
  <c r="AW7" i="61" s="1"/>
  <c r="AW8" i="61" s="1"/>
  <c r="AQ6" i="61" a="1"/>
  <c r="AQ6" i="61" s="1"/>
  <c r="AD4" i="61" a="1"/>
  <c r="AD4" i="61" s="1"/>
  <c r="AI7" i="61" a="1"/>
  <c r="AI7" i="61" s="1"/>
  <c r="AI8" i="61" s="1"/>
  <c r="AF4" i="60" a="1"/>
  <c r="AF4" i="60" s="1"/>
  <c r="AY6" i="60" a="1"/>
  <c r="AY6" i="60" s="1"/>
  <c r="AT6" i="60" a="1"/>
  <c r="AT6" i="60" s="1"/>
  <c r="AT6" i="61" a="1"/>
  <c r="AT6" i="61" s="1"/>
  <c r="AQ7" i="61" a="1"/>
  <c r="AQ7" i="61" s="1"/>
  <c r="AQ8" i="61" s="1"/>
  <c r="AH4" i="61" a="1"/>
  <c r="AH4" i="61" s="1"/>
  <c r="H22" i="61"/>
  <c r="H28" i="61"/>
  <c r="AZ6" i="60" a="1"/>
  <c r="AZ6" i="60" s="1"/>
  <c r="AN6" i="61" a="1"/>
  <c r="AN6" i="61" s="1"/>
  <c r="AG7" i="60" a="1"/>
  <c r="AG7" i="60" s="1"/>
  <c r="AG8" i="60" s="1"/>
  <c r="AR4" i="61" a="1"/>
  <c r="AR4" i="61" s="1"/>
  <c r="AK11" i="61"/>
  <c r="AK11" i="60"/>
  <c r="AF6" i="60" a="1"/>
  <c r="AF6" i="60" s="1"/>
  <c r="AT7" i="60" a="1"/>
  <c r="AT7" i="60" s="1"/>
  <c r="AT8" i="60" s="1"/>
  <c r="AL11" i="61"/>
  <c r="AL11" i="60"/>
  <c r="AT4" i="60" a="1"/>
  <c r="AT4" i="60" s="1"/>
  <c r="AD7" i="61" a="1"/>
  <c r="AD7" i="61" s="1"/>
  <c r="AD8" i="61" s="1"/>
  <c r="AR6" i="60" a="1"/>
  <c r="AR6" i="60" s="1"/>
  <c r="AR4" i="60" a="1"/>
  <c r="AR4" i="60" s="1"/>
  <c r="AJ11" i="61"/>
  <c r="AJ11" i="60"/>
  <c r="AX6" i="60" a="1"/>
  <c r="AX6" i="60" s="1"/>
  <c r="AV6" i="61" a="1"/>
  <c r="AV6" i="61" s="1"/>
  <c r="AH6" i="61" a="1"/>
  <c r="AH6" i="61" s="1"/>
  <c r="AZ7" i="60" a="1"/>
  <c r="AZ7" i="60" s="1"/>
  <c r="AZ8" i="60" s="1"/>
  <c r="AV6" i="60" a="1"/>
  <c r="AV6" i="60" s="1"/>
  <c r="AQ4" i="60" a="1"/>
  <c r="AQ4" i="60" s="1"/>
  <c r="AW7" i="60" a="1"/>
  <c r="AW7" i="60" s="1"/>
  <c r="AW8" i="60" s="1"/>
  <c r="AX4" i="61" a="1"/>
  <c r="AX4" i="61" s="1"/>
  <c r="AH7" i="61" a="1"/>
  <c r="AH7" i="61" s="1"/>
  <c r="AH8" i="61" s="1"/>
  <c r="AY7" i="60" a="1"/>
  <c r="AY7" i="60" s="1"/>
  <c r="AY8" i="60" s="1"/>
  <c r="BA6" i="61" a="1"/>
  <c r="BA6" i="61" s="1"/>
  <c r="AU6" i="61" a="1"/>
  <c r="AU6" i="61" s="1"/>
  <c r="AW4" i="61" a="1"/>
  <c r="AW4" i="61" s="1"/>
  <c r="AX4" i="60" a="1"/>
  <c r="AX4" i="60" s="1"/>
  <c r="AG7" i="61" a="1"/>
  <c r="AG7" i="61" s="1"/>
  <c r="AG8" i="61" s="1"/>
  <c r="AG6" i="61" a="1"/>
  <c r="AG6" i="61" s="1"/>
  <c r="AX7" i="61" a="1"/>
  <c r="AX7" i="61" s="1"/>
  <c r="AX8" i="61" s="1"/>
  <c r="AF6" i="61" a="1"/>
  <c r="AF6" i="61" s="1"/>
  <c r="AV7" i="61" a="1"/>
  <c r="AV7" i="61" s="1"/>
  <c r="AV8" i="61" s="1"/>
  <c r="AZ4" i="61" a="1"/>
  <c r="AZ4" i="61" s="1"/>
  <c r="AU7" i="61" a="1"/>
  <c r="AU7" i="61" s="1"/>
  <c r="AU8" i="61" s="1"/>
  <c r="AD6" i="61" a="1"/>
  <c r="AD6" i="61" s="1"/>
  <c r="AR7" i="61" a="1"/>
  <c r="AR7" i="61" s="1"/>
  <c r="AR8" i="61" s="1"/>
  <c r="AZ7" i="61" a="1"/>
  <c r="AZ7" i="61" s="1"/>
  <c r="AZ8" i="61" s="1"/>
  <c r="AT7" i="61" a="1"/>
  <c r="AT7" i="61" s="1"/>
  <c r="AT8" i="61" s="1"/>
  <c r="AT4" i="61" a="1"/>
  <c r="AT4" i="61" s="1"/>
  <c r="AF7" i="61" a="1"/>
  <c r="AF7" i="61" s="1"/>
  <c r="AF8" i="61" s="1"/>
  <c r="BA4" i="61" a="1"/>
  <c r="BA4" i="61" s="1"/>
  <c r="AE8" i="61"/>
  <c r="AS6" i="61" a="1"/>
  <c r="AS6" i="61" s="1"/>
  <c r="AN4" i="61" a="1"/>
  <c r="AN4" i="61" s="1"/>
  <c r="AS7" i="61" a="1"/>
  <c r="AS7" i="61" s="1"/>
  <c r="AS8" i="61" s="1"/>
  <c r="AN7" i="61" a="1"/>
  <c r="AN7" i="61" s="1"/>
  <c r="AN8" i="61" s="1"/>
  <c r="AR6" i="61" a="1"/>
  <c r="AR6" i="61" s="1"/>
  <c r="AO6" i="60" a="1"/>
  <c r="AO6" i="60" s="1"/>
  <c r="AO7" i="60" a="1"/>
  <c r="AO7" i="60" s="1"/>
  <c r="AO8" i="60" s="1"/>
  <c r="AQ6" i="60" a="1"/>
  <c r="AQ6" i="60" s="1"/>
  <c r="AW6" i="60" a="1"/>
  <c r="AW6" i="60" s="1"/>
  <c r="AV7" i="60" a="1"/>
  <c r="AV7" i="60" s="1"/>
  <c r="AV8" i="60" s="1"/>
  <c r="AO4" i="60" a="1"/>
  <c r="AO4" i="60" s="1"/>
  <c r="BO4" i="49"/>
  <c r="BQ4" i="49"/>
  <c r="BS4" i="49"/>
  <c r="BU4" i="49"/>
  <c r="BW4" i="49"/>
  <c r="BP32" i="49"/>
  <c r="BR32" i="49"/>
  <c r="BT32" i="49"/>
  <c r="BV32" i="49"/>
  <c r="BX32" i="49"/>
  <c r="K63" i="23"/>
  <c r="H29" i="61" l="1"/>
  <c r="AJ5" i="60"/>
  <c r="AJ16" i="60"/>
  <c r="AJ14" i="60"/>
  <c r="AJ6" i="60" s="1" a="1"/>
  <c r="AJ6" i="60" s="1"/>
  <c r="AJ7" i="60" a="1"/>
  <c r="AJ7" i="60" s="1"/>
  <c r="AJ8" i="60" s="1"/>
  <c r="AL5" i="60"/>
  <c r="AL14" i="60"/>
  <c r="AL16" i="60"/>
  <c r="AJ5" i="61"/>
  <c r="AJ14" i="61"/>
  <c r="AJ16" i="61"/>
  <c r="AL5" i="61"/>
  <c r="AL14" i="61"/>
  <c r="AL16" i="61"/>
  <c r="AK16" i="60"/>
  <c r="AK5" i="60"/>
  <c r="AK14" i="60"/>
  <c r="AK16" i="61"/>
  <c r="AK5" i="61"/>
  <c r="AK14" i="61"/>
  <c r="AK4" i="61" s="1" a="1"/>
  <c r="AK4" i="61" s="1"/>
  <c r="BF8" i="49"/>
  <c r="BD8" i="49"/>
  <c r="AL4" i="60" l="1" a="1"/>
  <c r="AL4" i="60" s="1"/>
  <c r="AL4" i="61" a="1"/>
  <c r="AL4" i="61" s="1"/>
  <c r="AK7" i="60" a="1"/>
  <c r="AK7" i="60" s="1"/>
  <c r="AK8" i="60" s="1"/>
  <c r="AJ4" i="61" a="1"/>
  <c r="AJ4" i="61" s="1"/>
  <c r="AK6" i="60" a="1"/>
  <c r="AK6" i="60" s="1"/>
  <c r="AK4" i="60" a="1"/>
  <c r="AK4" i="60" s="1"/>
  <c r="AJ4" i="60" a="1"/>
  <c r="AJ4" i="60" s="1"/>
  <c r="AL7" i="60" a="1"/>
  <c r="AL7" i="60" s="1"/>
  <c r="AL8" i="60" s="1"/>
  <c r="AL6" i="61" a="1"/>
  <c r="AL6" i="61" s="1"/>
  <c r="AJ7" i="61" a="1"/>
  <c r="AJ7" i="61" s="1"/>
  <c r="AJ8" i="61" s="1"/>
  <c r="AK6" i="61" a="1"/>
  <c r="AK6" i="61" s="1"/>
  <c r="AJ6" i="61" a="1"/>
  <c r="AJ6" i="61" s="1"/>
  <c r="AL6" i="60" a="1"/>
  <c r="AL6" i="60" s="1"/>
  <c r="AK7" i="61" a="1"/>
  <c r="AK7" i="61" s="1"/>
  <c r="AK8" i="61" s="1"/>
  <c r="AL7" i="61" a="1"/>
  <c r="AL7" i="61" s="1"/>
  <c r="AL8" i="61" s="1"/>
  <c r="BF48" i="49"/>
  <c r="BH48" i="49"/>
  <c r="D54" i="49"/>
  <c r="AT32" i="49"/>
  <c r="N26" i="25"/>
  <c r="H69" i="23" l="1"/>
  <c r="H70" i="23"/>
  <c r="H71" i="23"/>
  <c r="G69" i="23"/>
  <c r="I69" i="23" s="1"/>
  <c r="G70" i="23"/>
  <c r="I70" i="23" s="1"/>
  <c r="G71" i="23"/>
  <c r="I71" i="23" s="1"/>
  <c r="BD48" i="49" l="1"/>
  <c r="D53" i="49"/>
  <c r="BB53" i="49" s="1"/>
  <c r="D52" i="49"/>
  <c r="Q22" i="33" l="1"/>
  <c r="K67" i="23" l="1"/>
  <c r="K65" i="23" l="1"/>
  <c r="K66" i="23"/>
  <c r="AZ48" i="49"/>
  <c r="AX48" i="49"/>
  <c r="AY7" i="49"/>
  <c r="H68" i="23" l="1"/>
  <c r="G68" i="23"/>
  <c r="I68" i="23" s="1"/>
  <c r="D55" i="49" l="1"/>
  <c r="BM4" i="49" l="1"/>
  <c r="BM10" i="49" l="1"/>
  <c r="BN10" i="49" s="1"/>
  <c r="BM9" i="49"/>
  <c r="BN9" i="49" s="1"/>
  <c r="BM22" i="49"/>
  <c r="BN22" i="49" s="1"/>
  <c r="BM13" i="49"/>
  <c r="BN13" i="49" s="1"/>
  <c r="BM11" i="49"/>
  <c r="BN11" i="49" s="1"/>
  <c r="BM12" i="49"/>
  <c r="BN12" i="49" s="1"/>
  <c r="BM19" i="49"/>
  <c r="BN19" i="49" s="1"/>
  <c r="BM20" i="49"/>
  <c r="BN20" i="49" s="1"/>
  <c r="BM5" i="49"/>
  <c r="BN5" i="49" s="1"/>
  <c r="BM21" i="49"/>
  <c r="BN21" i="49" s="1"/>
  <c r="BM14" i="49"/>
  <c r="BN14" i="49" s="1"/>
  <c r="BM6" i="49"/>
  <c r="BN6" i="49" s="1"/>
  <c r="BM15" i="49"/>
  <c r="BN15" i="49" s="1"/>
  <c r="BM7" i="49"/>
  <c r="BN7" i="49" s="1"/>
  <c r="BM16" i="49"/>
  <c r="BN16" i="49" s="1"/>
  <c r="BM18" i="49"/>
  <c r="BN18" i="49" s="1"/>
  <c r="BM17" i="49"/>
  <c r="BN17" i="49" s="1"/>
  <c r="C25" i="49"/>
  <c r="BN32" i="49" l="1"/>
  <c r="K60" i="23"/>
  <c r="P12" i="55" l="1"/>
  <c r="G67" i="23" l="1"/>
  <c r="I67" i="23" s="1"/>
  <c r="H67" i="23"/>
  <c r="K59" i="23" l="1"/>
  <c r="K53" i="23" l="1"/>
  <c r="G66" i="23" l="1"/>
  <c r="I66" i="23" s="1"/>
  <c r="H66" i="23"/>
  <c r="BA4" i="49" l="1"/>
  <c r="BC4" i="49"/>
  <c r="BE4" i="49"/>
  <c r="BG4" i="49"/>
  <c r="BI4" i="49"/>
  <c r="BK4" i="49"/>
  <c r="BK9" i="49" l="1"/>
  <c r="BL9" i="49" s="1"/>
  <c r="BK22" i="49"/>
  <c r="BL22" i="49" s="1"/>
  <c r="BK12" i="49"/>
  <c r="BL12" i="49" s="1"/>
  <c r="BK13" i="49"/>
  <c r="BL13" i="49" s="1"/>
  <c r="BK11" i="49"/>
  <c r="BL11" i="49" s="1"/>
  <c r="BK10" i="49"/>
  <c r="BL10" i="49" s="1"/>
  <c r="BG9" i="49"/>
  <c r="BH9" i="49" s="1"/>
  <c r="BG22" i="49"/>
  <c r="BE13" i="49"/>
  <c r="BF13" i="49" s="1"/>
  <c r="BE22" i="49"/>
  <c r="BC13" i="49"/>
  <c r="BC22" i="49"/>
  <c r="BI10" i="49"/>
  <c r="BJ10" i="49" s="1"/>
  <c r="BI9" i="49"/>
  <c r="BJ9" i="49" s="1"/>
  <c r="BI14" i="49"/>
  <c r="BJ14" i="49" s="1"/>
  <c r="BI15" i="49"/>
  <c r="BJ15" i="49" s="1"/>
  <c r="BI13" i="49"/>
  <c r="BJ13" i="49" s="1"/>
  <c r="BI11" i="49"/>
  <c r="BJ11" i="49" s="1"/>
  <c r="BI22" i="49"/>
  <c r="BJ22" i="49" s="1"/>
  <c r="BI12" i="49"/>
  <c r="BJ12" i="49" s="1"/>
  <c r="BA5" i="49"/>
  <c r="BB5" i="49" s="1"/>
  <c r="BA22" i="49"/>
  <c r="BB22" i="49" s="1"/>
  <c r="BA10" i="49"/>
  <c r="BB10" i="49" s="1"/>
  <c r="BA11" i="49"/>
  <c r="BB11" i="49" s="1"/>
  <c r="BA12" i="49"/>
  <c r="BB12" i="49" s="1"/>
  <c r="BA13" i="49"/>
  <c r="BB13" i="49" s="1"/>
  <c r="BA9" i="49"/>
  <c r="BB9" i="49" s="1"/>
  <c r="BG11" i="49"/>
  <c r="BH11" i="49" s="1"/>
  <c r="BG13" i="49"/>
  <c r="BH13" i="49" s="1"/>
  <c r="BG12" i="49"/>
  <c r="BH12" i="49" s="1"/>
  <c r="BG10" i="49"/>
  <c r="BH10" i="49" s="1"/>
  <c r="BK19" i="49"/>
  <c r="BL19" i="49" s="1"/>
  <c r="BK20" i="49"/>
  <c r="BL20" i="49" s="1"/>
  <c r="BK21" i="49"/>
  <c r="BL21" i="49" s="1"/>
  <c r="BK5" i="49"/>
  <c r="BL5" i="49" s="1"/>
  <c r="BK14" i="49"/>
  <c r="BL14" i="49" s="1"/>
  <c r="BK6" i="49"/>
  <c r="BL6" i="49" s="1"/>
  <c r="BK15" i="49"/>
  <c r="BL15" i="49" s="1"/>
  <c r="BK16" i="49"/>
  <c r="BL16" i="49" s="1"/>
  <c r="BK17" i="49"/>
  <c r="BL17" i="49" s="1"/>
  <c r="BK18" i="49"/>
  <c r="BL18" i="49" s="1"/>
  <c r="BK7" i="49"/>
  <c r="BL7" i="49" s="1"/>
  <c r="BI19" i="49"/>
  <c r="BJ19" i="49" s="1"/>
  <c r="BI20" i="49"/>
  <c r="BJ20" i="49" s="1"/>
  <c r="BI21" i="49"/>
  <c r="BJ21" i="49" s="1"/>
  <c r="BI5" i="49"/>
  <c r="BJ5" i="49" s="1"/>
  <c r="BI6" i="49"/>
  <c r="BJ6" i="49" s="1"/>
  <c r="BI18" i="49"/>
  <c r="BJ18" i="49" s="1"/>
  <c r="BI16" i="49"/>
  <c r="BJ16" i="49" s="1"/>
  <c r="BI17" i="49"/>
  <c r="BJ17" i="49" s="1"/>
  <c r="BI7" i="49"/>
  <c r="BJ7" i="49" s="1"/>
  <c r="BG19" i="49"/>
  <c r="BH19" i="49" s="1"/>
  <c r="BG20" i="49"/>
  <c r="BH20" i="49" s="1"/>
  <c r="BG21" i="49"/>
  <c r="BH21" i="49" s="1"/>
  <c r="BG14" i="49"/>
  <c r="BH14" i="49" s="1"/>
  <c r="BH22" i="49"/>
  <c r="BG6" i="49"/>
  <c r="BH6" i="49" s="1"/>
  <c r="BG15" i="49"/>
  <c r="BH15" i="49" s="1"/>
  <c r="BG5" i="49"/>
  <c r="BH5" i="49" s="1"/>
  <c r="BG7" i="49"/>
  <c r="BH7" i="49" s="1"/>
  <c r="BG16" i="49"/>
  <c r="BH16" i="49" s="1"/>
  <c r="BG17" i="49"/>
  <c r="BH17" i="49" s="1"/>
  <c r="BG18" i="49"/>
  <c r="BH18" i="49" s="1"/>
  <c r="BE11" i="49"/>
  <c r="BF11" i="49" s="1"/>
  <c r="BE14" i="49"/>
  <c r="BF14" i="49" s="1"/>
  <c r="BF22" i="49"/>
  <c r="BE10" i="49"/>
  <c r="BF10" i="49" s="1"/>
  <c r="BE15" i="49"/>
  <c r="BF15" i="49" s="1"/>
  <c r="BE9" i="49"/>
  <c r="BF9" i="49" s="1"/>
  <c r="BE16" i="49"/>
  <c r="BF16" i="49" s="1"/>
  <c r="BE17" i="49"/>
  <c r="BF17" i="49" s="1"/>
  <c r="BE5" i="49"/>
  <c r="BF5" i="49" s="1"/>
  <c r="BE18" i="49"/>
  <c r="BF18" i="49" s="1"/>
  <c r="BE7" i="49"/>
  <c r="BF7" i="49" s="1"/>
  <c r="BE19" i="49"/>
  <c r="BF19" i="49" s="1"/>
  <c r="BE12" i="49"/>
  <c r="BF12" i="49" s="1"/>
  <c r="BE20" i="49"/>
  <c r="BF20" i="49" s="1"/>
  <c r="BE21" i="49"/>
  <c r="BF21" i="49" s="1"/>
  <c r="BE6" i="49"/>
  <c r="BF6" i="49" s="1"/>
  <c r="BC14" i="49"/>
  <c r="BD14" i="49" s="1"/>
  <c r="BC5" i="49"/>
  <c r="BD5" i="49" s="1"/>
  <c r="BD13" i="49"/>
  <c r="BC15" i="49"/>
  <c r="BD15" i="49" s="1"/>
  <c r="BC12" i="49"/>
  <c r="BD12" i="49" s="1"/>
  <c r="BC16" i="49"/>
  <c r="BD16" i="49" s="1"/>
  <c r="BC11" i="49"/>
  <c r="BD11" i="49" s="1"/>
  <c r="BC9" i="49"/>
  <c r="BD9" i="49" s="1"/>
  <c r="BC17" i="49"/>
  <c r="BD17" i="49" s="1"/>
  <c r="BC10" i="49"/>
  <c r="BD10" i="49" s="1"/>
  <c r="BC18" i="49"/>
  <c r="BD18" i="49" s="1"/>
  <c r="BC19" i="49"/>
  <c r="BD19" i="49" s="1"/>
  <c r="BC20" i="49"/>
  <c r="BD20" i="49" s="1"/>
  <c r="BC21" i="49"/>
  <c r="BD21" i="49" s="1"/>
  <c r="BD22" i="49"/>
  <c r="BC6" i="49"/>
  <c r="BD6" i="49" s="1"/>
  <c r="BC7" i="49"/>
  <c r="BD7" i="49" s="1"/>
  <c r="BA18" i="49"/>
  <c r="BB18" i="49" s="1"/>
  <c r="BA7" i="49"/>
  <c r="BB7" i="49" s="1"/>
  <c r="BA6" i="49"/>
  <c r="BB6" i="49" s="1"/>
  <c r="BA14" i="49"/>
  <c r="BB14" i="49" s="1"/>
  <c r="BA20" i="49"/>
  <c r="BB20" i="49" s="1"/>
  <c r="BA21" i="49"/>
  <c r="BB21" i="49" s="1"/>
  <c r="BB8" i="49"/>
  <c r="BA15" i="49"/>
  <c r="BB15" i="49" s="1"/>
  <c r="BA16" i="49"/>
  <c r="BB16" i="49" s="1"/>
  <c r="BA19" i="49"/>
  <c r="BB19" i="49" s="1"/>
  <c r="BA17" i="49"/>
  <c r="BB17" i="49" s="1"/>
  <c r="D41" i="49"/>
  <c r="C41" i="49" s="1"/>
  <c r="D42" i="49"/>
  <c r="C42" i="49" s="1"/>
  <c r="AT43" i="49"/>
  <c r="AV43" i="49"/>
  <c r="AX43" i="49"/>
  <c r="AZ43" i="49"/>
  <c r="AR43" i="49"/>
  <c r="BL32" i="49" l="1"/>
  <c r="BJ32" i="49"/>
  <c r="BH32" i="49"/>
  <c r="BF32" i="49"/>
  <c r="BD32" i="49"/>
  <c r="BB32" i="49"/>
  <c r="AR65" i="49"/>
  <c r="AR64" i="49"/>
  <c r="AS64" i="49" s="1"/>
  <c r="AP18" i="11" l="1"/>
  <c r="AP21" i="11" s="1"/>
  <c r="AQ18" i="11"/>
  <c r="AQ21" i="11" s="1"/>
  <c r="AR18" i="11"/>
  <c r="AR21" i="11" s="1"/>
  <c r="AS18" i="11"/>
  <c r="AS21" i="11" s="1"/>
  <c r="AT18" i="11"/>
  <c r="AT21" i="11" s="1"/>
  <c r="AU18" i="11"/>
  <c r="AV18" i="11"/>
  <c r="AV21" i="11" s="1"/>
  <c r="AW18" i="11"/>
  <c r="AW21" i="11" s="1"/>
  <c r="AX18" i="11"/>
  <c r="AX21" i="11" s="1"/>
  <c r="AY18" i="11"/>
  <c r="AY21" i="11" s="1"/>
  <c r="AZ18" i="11"/>
  <c r="AZ21" i="11" s="1"/>
  <c r="BA18" i="11"/>
  <c r="BA21" i="11" s="1"/>
  <c r="AP20" i="11"/>
  <c r="AP22" i="11" s="1"/>
  <c r="AQ20" i="11"/>
  <c r="AQ22" i="11" s="1"/>
  <c r="AR20" i="11"/>
  <c r="AS20" i="11"/>
  <c r="AT20" i="11"/>
  <c r="AT22" i="11" s="1"/>
  <c r="AU20" i="11"/>
  <c r="AU22" i="11" s="1"/>
  <c r="AV20" i="11"/>
  <c r="AV22" i="11" s="1"/>
  <c r="AW20" i="11"/>
  <c r="AW22" i="11" s="1"/>
  <c r="AX20" i="11"/>
  <c r="AX22" i="11" s="1"/>
  <c r="AY20" i="11"/>
  <c r="AY22" i="11" s="1"/>
  <c r="AZ20" i="11"/>
  <c r="BA20" i="11"/>
  <c r="AP11" i="11"/>
  <c r="AQ11" i="11"/>
  <c r="AR11" i="11"/>
  <c r="AS11" i="11"/>
  <c r="AT11" i="11"/>
  <c r="AU11" i="11"/>
  <c r="AU14" i="11" s="1"/>
  <c r="AV11" i="11"/>
  <c r="AV14" i="11" s="1"/>
  <c r="AW11" i="11"/>
  <c r="AW14" i="11" s="1"/>
  <c r="AX11" i="11"/>
  <c r="AY11" i="11"/>
  <c r="AY5" i="11" s="1"/>
  <c r="AZ11" i="11"/>
  <c r="BA11" i="11"/>
  <c r="AQ13" i="11"/>
  <c r="AQ15" i="11" s="1"/>
  <c r="AR13" i="11"/>
  <c r="AR15" i="11" s="1"/>
  <c r="AS13" i="11"/>
  <c r="AS15" i="11" s="1"/>
  <c r="AT13" i="11"/>
  <c r="AT15" i="11" s="1"/>
  <c r="AU13" i="11"/>
  <c r="AU15" i="11" s="1"/>
  <c r="AV13" i="11"/>
  <c r="AW13" i="11"/>
  <c r="AX13" i="11"/>
  <c r="AX15" i="11" s="1"/>
  <c r="AY13" i="11"/>
  <c r="AY15" i="11" s="1"/>
  <c r="AZ13" i="11"/>
  <c r="AZ15" i="11" s="1"/>
  <c r="BA13" i="11"/>
  <c r="BA15" i="11" s="1"/>
  <c r="AZ5" i="11" l="1"/>
  <c r="AP5" i="11"/>
  <c r="AX5" i="11"/>
  <c r="AQ5" i="11"/>
  <c r="AU23" i="11"/>
  <c r="AS23" i="11"/>
  <c r="AZ23" i="11"/>
  <c r="AR23" i="11"/>
  <c r="AS5" i="11"/>
  <c r="AR5" i="11"/>
  <c r="BA23" i="11"/>
  <c r="AZ14" i="11"/>
  <c r="AT5" i="11"/>
  <c r="AW16" i="11"/>
  <c r="BA5" i="11"/>
  <c r="AV16" i="11"/>
  <c r="AT14" i="11"/>
  <c r="AP23" i="11"/>
  <c r="AS22" i="11"/>
  <c r="AR22" i="11"/>
  <c r="AR14" i="11"/>
  <c r="AR16" i="11"/>
  <c r="BA22" i="11"/>
  <c r="AV5" i="11"/>
  <c r="BA14" i="11"/>
  <c r="AS14" i="11"/>
  <c r="AY14" i="11"/>
  <c r="AX14" i="11"/>
  <c r="AP14" i="11"/>
  <c r="AQ14" i="11"/>
  <c r="AW15" i="11"/>
  <c r="AV15" i="11"/>
  <c r="AT23" i="11"/>
  <c r="AX23" i="11"/>
  <c r="AU21" i="11"/>
  <c r="AU16" i="11"/>
  <c r="AV23" i="11"/>
  <c r="AT16" i="11"/>
  <c r="AZ22" i="11"/>
  <c r="BA16" i="11"/>
  <c r="BA4" i="11" s="1" a="1"/>
  <c r="BA4" i="11" s="1"/>
  <c r="AS16" i="11"/>
  <c r="AY23" i="11"/>
  <c r="AQ23" i="11"/>
  <c r="AW23" i="11"/>
  <c r="AZ16" i="11"/>
  <c r="AY16" i="11"/>
  <c r="AQ16" i="11"/>
  <c r="AX16" i="11"/>
  <c r="AW5" i="11"/>
  <c r="AU5" i="11"/>
  <c r="V19" i="59"/>
  <c r="V20" i="59" s="1"/>
  <c r="V21" i="59" s="1"/>
  <c r="BA7" i="11" l="1" a="1"/>
  <c r="BA7" i="11" s="1"/>
  <c r="BA8" i="11" s="1"/>
  <c r="AQ7" i="11" a="1"/>
  <c r="AQ7" i="11" s="1"/>
  <c r="AQ8" i="11" s="1"/>
  <c r="AV6" i="11" a="1"/>
  <c r="AV6" i="11" s="1"/>
  <c r="AU4" i="11" a="1"/>
  <c r="AU4" i="11" s="1"/>
  <c r="AS7" i="11" a="1"/>
  <c r="AS7" i="11" s="1"/>
  <c r="AS8" i="11" s="1"/>
  <c r="AR4" i="11" a="1"/>
  <c r="AR4" i="11" s="1"/>
  <c r="AR7" i="11" a="1"/>
  <c r="AR7" i="11" s="1"/>
  <c r="AR8" i="11" s="1"/>
  <c r="AZ7" i="11" a="1"/>
  <c r="AZ7" i="11" s="1"/>
  <c r="AZ8" i="11" s="1"/>
  <c r="AU7" i="11" a="1"/>
  <c r="AU7" i="11" s="1"/>
  <c r="AU8" i="11" s="1"/>
  <c r="AX4" i="11" a="1"/>
  <c r="AX4" i="11" s="1"/>
  <c r="AU6" i="11" a="1"/>
  <c r="AU6" i="11" s="1"/>
  <c r="AR6" i="11" a="1"/>
  <c r="AR6" i="11" s="1"/>
  <c r="AQ4" i="11" a="1"/>
  <c r="AQ4" i="11" s="1"/>
  <c r="BA6" i="11" a="1"/>
  <c r="BA6" i="11" s="1"/>
  <c r="AV4" i="11" a="1"/>
  <c r="AV4" i="11" s="1"/>
  <c r="AS4" i="11" a="1"/>
  <c r="AS4" i="11" s="1"/>
  <c r="AW7" i="11" a="1"/>
  <c r="AW7" i="11" s="1"/>
  <c r="AW8" i="11" s="1"/>
  <c r="AT4" i="11" a="1"/>
  <c r="AT4" i="11" s="1"/>
  <c r="AX7" i="11" a="1"/>
  <c r="AX7" i="11" s="1"/>
  <c r="AX8" i="11" s="1"/>
  <c r="AZ4" i="11" a="1"/>
  <c r="AZ4" i="11" s="1"/>
  <c r="AX6" i="11" a="1"/>
  <c r="AX6" i="11" s="1"/>
  <c r="AQ6" i="11" a="1"/>
  <c r="AQ6" i="11" s="1"/>
  <c r="AS6" i="11" a="1"/>
  <c r="AS6" i="11" s="1"/>
  <c r="AV7" i="11" a="1"/>
  <c r="AV7" i="11" s="1"/>
  <c r="AV8" i="11" s="1"/>
  <c r="AY6" i="11" a="1"/>
  <c r="AY6" i="11" s="1"/>
  <c r="AT7" i="11" a="1"/>
  <c r="AT7" i="11" s="1"/>
  <c r="AT8" i="11" s="1"/>
  <c r="AT6" i="11" a="1"/>
  <c r="AT6" i="11" s="1"/>
  <c r="AZ6" i="11" a="1"/>
  <c r="AZ6" i="11" s="1"/>
  <c r="AY7" i="11" a="1"/>
  <c r="AY7" i="11" s="1"/>
  <c r="AY8" i="11" s="1"/>
  <c r="AY4" i="11" a="1"/>
  <c r="AY4" i="11" s="1"/>
  <c r="AW4" i="11" a="1"/>
  <c r="AW4" i="11" s="1"/>
  <c r="AW6" i="11" a="1"/>
  <c r="AW6" i="11" s="1"/>
  <c r="K64" i="23" l="1"/>
  <c r="K62" i="23"/>
  <c r="D38" i="49" l="1"/>
  <c r="C38" i="49" s="1"/>
  <c r="D39" i="49"/>
  <c r="C39" i="49" s="1"/>
  <c r="D40" i="49"/>
  <c r="C40" i="49" s="1"/>
  <c r="K56" i="23" l="1"/>
  <c r="AY13" i="49" l="1"/>
  <c r="H65" i="23" l="1"/>
  <c r="G65" i="23"/>
  <c r="I65" i="23" s="1"/>
  <c r="H64" i="23"/>
  <c r="G64" i="23"/>
  <c r="I64" i="23" s="1"/>
  <c r="AY11" i="49"/>
  <c r="AY12" i="49"/>
  <c r="D46" i="49" l="1"/>
  <c r="Q3" i="55"/>
  <c r="P4" i="55"/>
  <c r="Q5" i="55"/>
  <c r="Q7" i="55"/>
  <c r="Q8" i="55"/>
  <c r="Q9" i="55"/>
  <c r="Q10" i="55"/>
  <c r="Q12" i="55"/>
  <c r="Q13" i="55"/>
  <c r="Q15" i="55"/>
  <c r="P16" i="55"/>
  <c r="Q16" i="55" s="1"/>
  <c r="Q17" i="55"/>
  <c r="P18" i="55"/>
  <c r="Q18" i="55" s="1"/>
  <c r="Q19" i="55"/>
  <c r="Q20" i="55"/>
  <c r="Q21" i="55"/>
  <c r="Q22" i="55"/>
  <c r="Q23" i="55"/>
  <c r="Q24" i="55"/>
  <c r="Q4" i="55" l="1"/>
  <c r="AP43" i="49"/>
  <c r="D24" i="33" l="1"/>
  <c r="AP28" i="49" l="1"/>
  <c r="D58" i="49" l="1"/>
  <c r="G62" i="23"/>
  <c r="I62" i="23" s="1"/>
  <c r="G63" i="23"/>
  <c r="I63" i="23" s="1"/>
  <c r="H62" i="23"/>
  <c r="H63" i="23"/>
  <c r="BB48" i="49" l="1"/>
  <c r="K54" i="23"/>
  <c r="K61" i="23"/>
  <c r="Q34" i="37" l="1"/>
  <c r="S34" i="37"/>
  <c r="D23" i="33" l="1"/>
  <c r="K55" i="23" l="1"/>
  <c r="H61" i="23" l="1"/>
  <c r="H60" i="23"/>
  <c r="G60" i="23"/>
  <c r="I60" i="23" s="1"/>
  <c r="G61" i="23" l="1"/>
  <c r="I61" i="23" s="1"/>
  <c r="H57" i="23"/>
  <c r="H58" i="23"/>
  <c r="H59" i="23"/>
  <c r="G57" i="23"/>
  <c r="I57" i="23" s="1"/>
  <c r="G58" i="23"/>
  <c r="I58" i="23" s="1"/>
  <c r="G59" i="23"/>
  <c r="I59" i="23" s="1"/>
  <c r="S34" i="33" l="1"/>
  <c r="H53" i="23" l="1"/>
  <c r="K43" i="23" l="1"/>
  <c r="K48" i="23" l="1"/>
  <c r="H56" i="23" l="1"/>
  <c r="G56" i="23"/>
  <c r="I56" i="23" s="1"/>
  <c r="H54" i="23" l="1"/>
  <c r="H55" i="23"/>
  <c r="G54" i="23"/>
  <c r="I54" i="23" s="1"/>
  <c r="G55" i="23"/>
  <c r="I55" i="23" s="1"/>
  <c r="T6" i="59" l="1"/>
  <c r="T7" i="59"/>
  <c r="T8" i="59"/>
  <c r="T9" i="59"/>
  <c r="T10" i="59"/>
  <c r="T11" i="59"/>
  <c r="T12" i="59"/>
  <c r="T5" i="59"/>
  <c r="R6" i="59"/>
  <c r="R7" i="59"/>
  <c r="R8" i="59"/>
  <c r="R9" i="59"/>
  <c r="R10" i="59"/>
  <c r="R11" i="59"/>
  <c r="R12" i="59"/>
  <c r="R5" i="59"/>
  <c r="P6" i="59"/>
  <c r="P7" i="59"/>
  <c r="P8" i="59"/>
  <c r="P9" i="59"/>
  <c r="P10" i="59"/>
  <c r="P11" i="59"/>
  <c r="P12" i="59"/>
  <c r="P5" i="59"/>
  <c r="L6" i="59"/>
  <c r="L7" i="59"/>
  <c r="L8" i="59"/>
  <c r="L9" i="59"/>
  <c r="L10" i="59"/>
  <c r="L11" i="59"/>
  <c r="L12" i="59"/>
  <c r="N12" i="59"/>
  <c r="N6" i="59"/>
  <c r="N7" i="59"/>
  <c r="N8" i="59"/>
  <c r="N9" i="59"/>
  <c r="N10" i="59"/>
  <c r="N11" i="59"/>
  <c r="N5" i="59"/>
  <c r="L5" i="59"/>
  <c r="J6" i="59"/>
  <c r="J7" i="59"/>
  <c r="J8" i="59"/>
  <c r="J9" i="59"/>
  <c r="J10" i="59"/>
  <c r="J11" i="59"/>
  <c r="J12" i="59"/>
  <c r="J5" i="59"/>
  <c r="H6" i="59"/>
  <c r="H7" i="59"/>
  <c r="H8" i="59"/>
  <c r="H9" i="59"/>
  <c r="H10" i="59"/>
  <c r="H11" i="59"/>
  <c r="H12" i="59"/>
  <c r="H5" i="59"/>
  <c r="H13" i="59" l="1"/>
  <c r="K52" i="23" l="1"/>
  <c r="K47" i="23" l="1"/>
  <c r="H52" i="23" l="1"/>
  <c r="G52" i="23" l="1"/>
  <c r="F16" i="59" l="1"/>
  <c r="F17" i="59" s="1"/>
  <c r="K45" i="23" l="1"/>
  <c r="K46" i="23"/>
  <c r="K50" i="23"/>
  <c r="G53" i="23" l="1"/>
  <c r="I53" i="23" s="1"/>
  <c r="K49" i="23"/>
  <c r="K51" i="23"/>
  <c r="AJ21" i="49" l="1"/>
  <c r="AJ19" i="49"/>
  <c r="AJ18" i="49"/>
  <c r="AJ17" i="49"/>
  <c r="AJ14" i="49"/>
  <c r="AJ13" i="49"/>
  <c r="AJ10" i="49"/>
  <c r="AJ9" i="49"/>
  <c r="AJ8" i="49"/>
  <c r="D12" i="33"/>
  <c r="D13" i="33"/>
  <c r="D14" i="33"/>
  <c r="D15" i="33"/>
  <c r="D16" i="33"/>
  <c r="D17" i="33"/>
  <c r="D18" i="33"/>
  <c r="D19" i="33"/>
  <c r="D20" i="33"/>
  <c r="D21" i="33"/>
  <c r="D22" i="33"/>
  <c r="D8" i="33"/>
  <c r="D9" i="33"/>
  <c r="D10" i="33"/>
  <c r="D11" i="33"/>
  <c r="D7" i="33"/>
  <c r="AI16" i="49" l="1"/>
  <c r="AJ16" i="49" s="1"/>
  <c r="L23" i="59"/>
  <c r="L22" i="59" l="1"/>
  <c r="L24" i="59"/>
  <c r="L25" i="59"/>
  <c r="L21" i="59"/>
  <c r="U12" i="59"/>
  <c r="V12" i="59" s="1"/>
  <c r="W12" i="59"/>
  <c r="X12" i="59" s="1"/>
  <c r="Y12" i="59"/>
  <c r="Z12" i="59" s="1"/>
  <c r="AA12" i="59"/>
  <c r="AB12" i="59" s="1"/>
  <c r="I52" i="23" l="1"/>
  <c r="AH19" i="49" l="1"/>
  <c r="Q34" i="33" l="1"/>
  <c r="R34" i="33"/>
  <c r="C17" i="59" l="1"/>
  <c r="AA9" i="59"/>
  <c r="AB9" i="59" s="1"/>
  <c r="Y9" i="59"/>
  <c r="Z9" i="59" s="1"/>
  <c r="W9" i="59"/>
  <c r="X9" i="59" s="1"/>
  <c r="U9" i="59"/>
  <c r="V9" i="59" s="1"/>
  <c r="AA6" i="59"/>
  <c r="AB6" i="59" s="1"/>
  <c r="AA7" i="59"/>
  <c r="AB7" i="59" s="1"/>
  <c r="AA8" i="59"/>
  <c r="AB8" i="59" s="1"/>
  <c r="AA10" i="59"/>
  <c r="AB10" i="59" s="1"/>
  <c r="AA11" i="59"/>
  <c r="AB11" i="59" s="1"/>
  <c r="AA5" i="59"/>
  <c r="AB5" i="59" s="1"/>
  <c r="Y6" i="59"/>
  <c r="Z6" i="59" s="1"/>
  <c r="Y7" i="59"/>
  <c r="Z7" i="59" s="1"/>
  <c r="Y8" i="59"/>
  <c r="Z8" i="59" s="1"/>
  <c r="Y10" i="59"/>
  <c r="Z10" i="59" s="1"/>
  <c r="Y11" i="59"/>
  <c r="Z11" i="59" s="1"/>
  <c r="Y5" i="59"/>
  <c r="Z5" i="59" s="1"/>
  <c r="W6" i="59"/>
  <c r="X6" i="59" s="1"/>
  <c r="W7" i="59"/>
  <c r="X7" i="59" s="1"/>
  <c r="W8" i="59"/>
  <c r="X8" i="59" s="1"/>
  <c r="W10" i="59"/>
  <c r="X10" i="59" s="1"/>
  <c r="W11" i="59"/>
  <c r="X11" i="59" s="1"/>
  <c r="W5" i="59"/>
  <c r="X5" i="59" s="1"/>
  <c r="U6" i="59"/>
  <c r="V6" i="59" s="1"/>
  <c r="U7" i="59"/>
  <c r="V7" i="59" s="1"/>
  <c r="U8" i="59"/>
  <c r="V8" i="59" s="1"/>
  <c r="U10" i="59"/>
  <c r="V10" i="59" s="1"/>
  <c r="U11" i="59"/>
  <c r="V11" i="59" s="1"/>
  <c r="U5" i="59"/>
  <c r="V5" i="59" s="1"/>
  <c r="J13" i="59"/>
  <c r="L13" i="59"/>
  <c r="N13" i="59"/>
  <c r="P13" i="59"/>
  <c r="R13" i="59"/>
  <c r="T13" i="59"/>
  <c r="F13" i="59"/>
  <c r="S4" i="59"/>
  <c r="Q4" i="59"/>
  <c r="O4" i="59"/>
  <c r="M4" i="59"/>
  <c r="K4" i="59"/>
  <c r="I4" i="59"/>
  <c r="G4" i="59"/>
  <c r="E4" i="59"/>
  <c r="X13" i="59" l="1"/>
  <c r="M21" i="59"/>
  <c r="N21" i="59" s="1"/>
  <c r="M23" i="59"/>
  <c r="M22" i="59"/>
  <c r="N22" i="59" s="1"/>
  <c r="AB13" i="59"/>
  <c r="V13" i="59"/>
  <c r="Z13" i="59"/>
  <c r="M24" i="59" l="1"/>
  <c r="N23" i="59"/>
  <c r="C13" i="59"/>
  <c r="C15" i="59" s="1"/>
  <c r="N24" i="59" l="1"/>
  <c r="M25" i="59"/>
  <c r="N25" i="59" s="1"/>
  <c r="H51" i="23"/>
  <c r="G51" i="23"/>
  <c r="I51" i="23" s="1"/>
  <c r="G50" i="23" l="1"/>
  <c r="I50" i="23" s="1"/>
  <c r="H50" i="23"/>
  <c r="AH8" i="49" l="1"/>
  <c r="H47" i="23" l="1"/>
  <c r="H49" i="23"/>
  <c r="G49" i="23"/>
  <c r="I49" i="23" s="1"/>
  <c r="H48" i="23"/>
  <c r="G48" i="23"/>
  <c r="I48" i="23" s="1"/>
  <c r="G47" i="23"/>
  <c r="I47" i="23" s="1"/>
  <c r="H46" i="23" l="1"/>
  <c r="G46" i="23"/>
  <c r="I46" i="23" s="1"/>
  <c r="AL43" i="49" l="1"/>
  <c r="AI15" i="49" l="1"/>
  <c r="AJ15" i="49" s="1"/>
  <c r="AH43" i="49" l="1"/>
  <c r="H45" i="23" l="1"/>
  <c r="G45" i="23"/>
  <c r="I45" i="23" s="1"/>
  <c r="AF43" i="49"/>
  <c r="AJ43" i="49" l="1"/>
  <c r="AN43" i="49"/>
  <c r="AZ8" i="49" l="1"/>
  <c r="AX8" i="49"/>
  <c r="AV8" i="49"/>
  <c r="AR8" i="49"/>
  <c r="AP8" i="49"/>
  <c r="AN8" i="49"/>
  <c r="Q26" i="37"/>
  <c r="R26" i="37"/>
  <c r="S26" i="37"/>
  <c r="Q28" i="37"/>
  <c r="S28" i="37"/>
  <c r="Q30" i="37"/>
  <c r="Q32" i="37"/>
  <c r="S32" i="37"/>
  <c r="Q40" i="37"/>
  <c r="S40" i="37"/>
  <c r="Q42" i="37"/>
  <c r="S42" i="37"/>
  <c r="Q44" i="37"/>
  <c r="S44" i="37"/>
  <c r="Q46" i="37"/>
  <c r="R46" i="37"/>
  <c r="S46" i="37"/>
  <c r="Q24" i="37"/>
  <c r="R24" i="37"/>
  <c r="S24" i="37"/>
  <c r="Q20" i="37"/>
  <c r="R20" i="37"/>
  <c r="S20" i="37"/>
  <c r="Q18" i="37"/>
  <c r="R18" i="37"/>
  <c r="S18" i="37"/>
  <c r="Q16" i="37"/>
  <c r="R16" i="37"/>
  <c r="S16" i="37"/>
  <c r="Q14" i="37"/>
  <c r="R14" i="37"/>
  <c r="S14" i="37"/>
  <c r="Q12" i="37"/>
  <c r="R12" i="37"/>
  <c r="S12" i="37"/>
  <c r="Q10" i="37"/>
  <c r="R10" i="37"/>
  <c r="S10" i="37"/>
  <c r="Q8" i="37"/>
  <c r="R8" i="37"/>
  <c r="S8" i="37"/>
  <c r="Q6" i="37"/>
  <c r="R6" i="37"/>
  <c r="S6" i="37"/>
  <c r="Q4" i="37"/>
  <c r="S4" i="37"/>
  <c r="Q46" i="33"/>
  <c r="R46" i="33"/>
  <c r="S46" i="33"/>
  <c r="Q44" i="33"/>
  <c r="R44" i="33"/>
  <c r="S44" i="33"/>
  <c r="Q42" i="33"/>
  <c r="R42" i="33"/>
  <c r="S42" i="33"/>
  <c r="Q40" i="33"/>
  <c r="R40" i="33"/>
  <c r="S40" i="33"/>
  <c r="Q32" i="33"/>
  <c r="R32" i="33"/>
  <c r="S32" i="33"/>
  <c r="Q30" i="33"/>
  <c r="R30" i="33"/>
  <c r="S30" i="33"/>
  <c r="Q28" i="33"/>
  <c r="R28" i="33"/>
  <c r="S28" i="33"/>
  <c r="Q26" i="33"/>
  <c r="R26" i="33"/>
  <c r="S26" i="33"/>
  <c r="Q24" i="33"/>
  <c r="R24" i="33"/>
  <c r="S24" i="33"/>
  <c r="Q20" i="33"/>
  <c r="R20" i="33"/>
  <c r="S20" i="33"/>
  <c r="Q18" i="33"/>
  <c r="R18" i="33"/>
  <c r="S18" i="33"/>
  <c r="Q16" i="33"/>
  <c r="R16" i="33"/>
  <c r="S16" i="33"/>
  <c r="Q14" i="33"/>
  <c r="R14" i="33"/>
  <c r="S14" i="33"/>
  <c r="Q12" i="33"/>
  <c r="R12" i="33"/>
  <c r="S12" i="33"/>
  <c r="Q10" i="33"/>
  <c r="R10" i="33"/>
  <c r="S10" i="33"/>
  <c r="Q8" i="33"/>
  <c r="R8" i="33"/>
  <c r="S8" i="33"/>
  <c r="Q6" i="33"/>
  <c r="R6" i="33"/>
  <c r="S6" i="33"/>
  <c r="Q4" i="33"/>
  <c r="R4" i="33"/>
  <c r="S4" i="33"/>
  <c r="K38" i="23"/>
  <c r="R47" i="37" l="1"/>
  <c r="Q47" i="37"/>
  <c r="Q50" i="37" s="1"/>
  <c r="AM11" i="60" s="1"/>
  <c r="S47" i="37"/>
  <c r="G17" i="66" s="1"/>
  <c r="AJ11" i="11"/>
  <c r="AL11" i="11"/>
  <c r="R51" i="33"/>
  <c r="Q51" i="33"/>
  <c r="S51" i="33"/>
  <c r="AJ21" i="11"/>
  <c r="AI18" i="11"/>
  <c r="AI11" i="11"/>
  <c r="AH11" i="11"/>
  <c r="S50" i="37" l="1"/>
  <c r="AO11" i="11" s="1"/>
  <c r="S54" i="33"/>
  <c r="G32" i="66"/>
  <c r="G33" i="66" s="1"/>
  <c r="G34" i="66" s="1"/>
  <c r="AM18" i="60"/>
  <c r="AM18" i="11"/>
  <c r="G20" i="66"/>
  <c r="G21" i="66" s="1"/>
  <c r="G22" i="66" s="1"/>
  <c r="G5" i="66"/>
  <c r="G8" i="66" s="1"/>
  <c r="G9" i="66" s="1"/>
  <c r="G10" i="66" s="1"/>
  <c r="R50" i="37"/>
  <c r="C17" i="66"/>
  <c r="R54" i="33"/>
  <c r="C29" i="66"/>
  <c r="AN18" i="60"/>
  <c r="AM14" i="60"/>
  <c r="AM16" i="60"/>
  <c r="AM11" i="11"/>
  <c r="AM11" i="61"/>
  <c r="Q54" i="33"/>
  <c r="AM18" i="61"/>
  <c r="AK18" i="11"/>
  <c r="AH18" i="11"/>
  <c r="AP15" i="11" l="1"/>
  <c r="AP13" i="61"/>
  <c r="AP15" i="61" s="1"/>
  <c r="AP13" i="60"/>
  <c r="AP16" i="60" s="1"/>
  <c r="AM23" i="60"/>
  <c r="AM21" i="60"/>
  <c r="F20" i="66"/>
  <c r="H17" i="66"/>
  <c r="I17" i="66" s="1"/>
  <c r="I20" i="66" s="1"/>
  <c r="AN23" i="60"/>
  <c r="AN21" i="60"/>
  <c r="F5" i="66"/>
  <c r="C5" i="66" s="1"/>
  <c r="F32" i="66"/>
  <c r="H29" i="66"/>
  <c r="AM14" i="61"/>
  <c r="AM5" i="61"/>
  <c r="AM16" i="61"/>
  <c r="H11" i="61"/>
  <c r="H14" i="61" s="1"/>
  <c r="AM5" i="60"/>
  <c r="AM4" i="60" a="1"/>
  <c r="AM4" i="60" s="1"/>
  <c r="H18" i="60"/>
  <c r="AP16" i="11"/>
  <c r="AP4" i="11" s="1" a="1"/>
  <c r="AP4" i="11" s="1"/>
  <c r="AM21" i="61"/>
  <c r="AM23" i="61"/>
  <c r="H18" i="61"/>
  <c r="H19" i="11"/>
  <c r="AP15" i="60" l="1"/>
  <c r="AP6" i="60" s="1" a="1"/>
  <c r="AP6" i="60" s="1"/>
  <c r="AP16" i="61"/>
  <c r="AP6" i="61" s="1" a="1"/>
  <c r="AP6" i="61" s="1"/>
  <c r="C20" i="66"/>
  <c r="H20" i="66"/>
  <c r="F21" i="66"/>
  <c r="C21" i="66" s="1"/>
  <c r="C32" i="66"/>
  <c r="H32" i="66"/>
  <c r="F33" i="66"/>
  <c r="F8" i="66"/>
  <c r="C8" i="66" s="1"/>
  <c r="C9" i="66" s="1"/>
  <c r="C10" i="66" s="1"/>
  <c r="H5" i="66"/>
  <c r="AM6" i="60" a="1"/>
  <c r="AM6" i="60" s="1"/>
  <c r="AM4" i="61" a="1"/>
  <c r="AM4" i="61" s="1"/>
  <c r="AM7" i="61" a="1"/>
  <c r="AM7" i="61" s="1"/>
  <c r="AM8" i="61" s="1"/>
  <c r="H16" i="61"/>
  <c r="AM7" i="60" a="1"/>
  <c r="AM7" i="60" s="1"/>
  <c r="AM8" i="60" s="1"/>
  <c r="AP4" i="60" a="1"/>
  <c r="AP4" i="60" s="1"/>
  <c r="H21" i="61"/>
  <c r="H23" i="61"/>
  <c r="AP7" i="11" a="1"/>
  <c r="AP7" i="11" s="1"/>
  <c r="AP8" i="11" s="1"/>
  <c r="H23" i="60"/>
  <c r="H21" i="60"/>
  <c r="AM6" i="61" a="1"/>
  <c r="AM6" i="61" s="1"/>
  <c r="AP6" i="11" a="1"/>
  <c r="AP6" i="11" s="1"/>
  <c r="H12" i="11"/>
  <c r="H17" i="11"/>
  <c r="AP7" i="60" l="1" a="1"/>
  <c r="AP7" i="60" s="1"/>
  <c r="AP8" i="60" s="1"/>
  <c r="C22" i="66"/>
  <c r="AP4" i="61" a="1"/>
  <c r="AP4" i="61" s="1"/>
  <c r="AP7" i="61" a="1"/>
  <c r="AP7" i="61" s="1"/>
  <c r="AP8" i="61" s="1"/>
  <c r="F22" i="66"/>
  <c r="H21" i="66"/>
  <c r="H22" i="66" s="1"/>
  <c r="F9" i="66"/>
  <c r="F10" i="66" s="1"/>
  <c r="H8" i="66"/>
  <c r="H9" i="66" s="1"/>
  <c r="H10" i="66" s="1"/>
  <c r="C33" i="66"/>
  <c r="C34" i="66" s="1"/>
  <c r="F34" i="66"/>
  <c r="H33" i="66"/>
  <c r="H34" i="66" s="1"/>
  <c r="H24" i="11"/>
  <c r="AL18" i="11"/>
  <c r="AN18" i="11"/>
  <c r="AO18" i="11"/>
  <c r="I21" i="66" l="1"/>
  <c r="I22" i="66" s="1"/>
  <c r="H13" i="11"/>
  <c r="AG11" i="11"/>
  <c r="H20" i="11"/>
  <c r="AE11" i="11"/>
  <c r="Z15" i="49"/>
  <c r="Z32" i="49" s="1"/>
  <c r="AF11" i="11"/>
  <c r="AE18" i="11"/>
  <c r="AF18" i="11" l="1"/>
  <c r="AD18" i="11"/>
  <c r="AG18" i="11"/>
  <c r="K44" i="23"/>
  <c r="G44" i="23" s="1"/>
  <c r="I44" i="23" s="1"/>
  <c r="H18" i="11" l="1"/>
  <c r="H21" i="11" s="1"/>
  <c r="H44" i="23"/>
  <c r="K39" i="23" l="1"/>
  <c r="G43" i="23" l="1"/>
  <c r="I43" i="23" s="1"/>
  <c r="H43" i="23"/>
  <c r="K37" i="23" l="1"/>
  <c r="K34" i="23"/>
  <c r="K41" i="23" l="1"/>
  <c r="AF21" i="49" l="1"/>
  <c r="K32" i="23" l="1"/>
  <c r="K42" i="23" l="1"/>
  <c r="AE18" i="49" l="1"/>
  <c r="G39" i="23" l="1"/>
  <c r="G40" i="23"/>
  <c r="G41" i="23"/>
  <c r="G42" i="23"/>
  <c r="H42" i="23"/>
  <c r="AD43" i="49" l="1"/>
  <c r="K36" i="23" l="1"/>
  <c r="K31" i="23"/>
  <c r="O26" i="25" l="1"/>
  <c r="O34" i="25"/>
  <c r="O35" i="25"/>
  <c r="O36" i="25"/>
  <c r="O37" i="25"/>
  <c r="H39" i="23" l="1"/>
  <c r="H40" i="23"/>
  <c r="H41" i="23"/>
  <c r="AL8" i="49" l="1"/>
  <c r="AG22" i="11" l="1"/>
  <c r="AH22" i="11"/>
  <c r="AI22" i="11"/>
  <c r="AJ22" i="11"/>
  <c r="AL22" i="11"/>
  <c r="AM22" i="11"/>
  <c r="AN22" i="11"/>
  <c r="AO22" i="11"/>
  <c r="AH21" i="11"/>
  <c r="AI21" i="11"/>
  <c r="AJ23" i="11"/>
  <c r="AK21" i="11"/>
  <c r="AM21" i="11"/>
  <c r="AN21" i="11"/>
  <c r="AI15" i="11"/>
  <c r="AJ15" i="11"/>
  <c r="AK15" i="11"/>
  <c r="AO15" i="11"/>
  <c r="AM15" i="11"/>
  <c r="AN15" i="11"/>
  <c r="AG14" i="11"/>
  <c r="AK11" i="11"/>
  <c r="AK14" i="11" s="1"/>
  <c r="AL14" i="11"/>
  <c r="AM14" i="11"/>
  <c r="AO14" i="11"/>
  <c r="AK16" i="11" l="1"/>
  <c r="AJ16" i="11"/>
  <c r="AI16" i="11"/>
  <c r="AL5" i="11"/>
  <c r="AO5" i="11"/>
  <c r="AJ14" i="11"/>
  <c r="AI14" i="11"/>
  <c r="AL16" i="11"/>
  <c r="AM16" i="11"/>
  <c r="AN16" i="11"/>
  <c r="AK23" i="11"/>
  <c r="AN23" i="11"/>
  <c r="AL21" i="11"/>
  <c r="AM23" i="11"/>
  <c r="AM4" i="11" s="1" a="1"/>
  <c r="AM4" i="11" s="1"/>
  <c r="AO23" i="11"/>
  <c r="AG23" i="11"/>
  <c r="AL23" i="11"/>
  <c r="AO21" i="11"/>
  <c r="AG21" i="11"/>
  <c r="AI23" i="11"/>
  <c r="AH23" i="11"/>
  <c r="AJ5" i="11"/>
  <c r="AI5" i="11"/>
  <c r="AK22" i="11"/>
  <c r="AH5" i="11"/>
  <c r="AG5" i="11"/>
  <c r="AL15" i="11"/>
  <c r="AO16" i="11"/>
  <c r="AN5" i="11"/>
  <c r="AM5" i="11"/>
  <c r="AK5" i="11"/>
  <c r="AI6" i="11" l="1" a="1"/>
  <c r="AI6" i="11" s="1"/>
  <c r="AM6" i="11" a="1"/>
  <c r="AM6" i="11" s="1"/>
  <c r="AM7" i="11" a="1"/>
  <c r="AM7" i="11" s="1"/>
  <c r="AM8" i="11" s="1"/>
  <c r="AJ6" i="11" a="1"/>
  <c r="AJ6" i="11" s="1"/>
  <c r="AI4" i="11" a="1"/>
  <c r="AI4" i="11" s="1"/>
  <c r="AK7" i="11" a="1"/>
  <c r="AK7" i="11" s="1"/>
  <c r="AK8" i="11" s="1"/>
  <c r="AJ4" i="11" a="1"/>
  <c r="AJ4" i="11" s="1"/>
  <c r="AJ7" i="11" a="1"/>
  <c r="AJ7" i="11" s="1"/>
  <c r="AJ8" i="11" s="1"/>
  <c r="AK4" i="11" a="1"/>
  <c r="AK4" i="11" s="1"/>
  <c r="AK6" i="11" a="1"/>
  <c r="AK6" i="11" s="1"/>
  <c r="AI7" i="11" a="1"/>
  <c r="AI7" i="11" s="1"/>
  <c r="AI8" i="11" s="1"/>
  <c r="AL6" i="11" a="1"/>
  <c r="AL6" i="11" s="1"/>
  <c r="AL4" i="11" a="1"/>
  <c r="AL4" i="11" s="1"/>
  <c r="AL7" i="11" a="1"/>
  <c r="AL7" i="11" s="1"/>
  <c r="AL8" i="11" s="1"/>
  <c r="H38" i="23" l="1"/>
  <c r="G38" i="23"/>
  <c r="K29" i="23"/>
  <c r="AG15" i="11" l="1"/>
  <c r="AG16" i="11"/>
  <c r="AG7" i="11" s="1" a="1"/>
  <c r="AG7" i="11" s="1"/>
  <c r="AG8" i="11" s="1"/>
  <c r="AG4" i="11" a="1"/>
  <c r="AG4" i="11" s="1"/>
  <c r="AG6" i="11" l="1" a="1"/>
  <c r="AG6" i="11" s="1"/>
  <c r="AH15" i="11"/>
  <c r="AH16" i="11"/>
  <c r="AH14" i="11" l="1"/>
  <c r="AH6" i="11" s="1" a="1"/>
  <c r="AH6" i="11" s="1"/>
  <c r="AH4" i="11" a="1"/>
  <c r="AH4" i="11" s="1"/>
  <c r="AH7" i="11" l="1" a="1"/>
  <c r="AH7" i="11" s="1"/>
  <c r="AH8" i="11" s="1"/>
  <c r="AY4" i="49"/>
  <c r="AW4" i="49"/>
  <c r="AW18" i="49" s="1"/>
  <c r="AU4" i="49"/>
  <c r="AU10" i="49" s="1"/>
  <c r="AS4" i="49"/>
  <c r="AQ4" i="49"/>
  <c r="AO4" i="49"/>
  <c r="AM4" i="49"/>
  <c r="AM11" i="49" s="1"/>
  <c r="AK4" i="49"/>
  <c r="AW20" i="49" l="1"/>
  <c r="AX20" i="49" s="1"/>
  <c r="AW14" i="49"/>
  <c r="AW12" i="49"/>
  <c r="AW5" i="49"/>
  <c r="AX5" i="49" s="1"/>
  <c r="AW15" i="49"/>
  <c r="AX15" i="49" s="1"/>
  <c r="AW6" i="49"/>
  <c r="AX6" i="49" s="1"/>
  <c r="AW19" i="49"/>
  <c r="AX19" i="49" s="1"/>
  <c r="AW17" i="49"/>
  <c r="AX17" i="49" s="1"/>
  <c r="AW10" i="49"/>
  <c r="AX10" i="49" s="1"/>
  <c r="AW11" i="49"/>
  <c r="AX11" i="49" s="1"/>
  <c r="AW13" i="49"/>
  <c r="AX13" i="49" s="1"/>
  <c r="AX14" i="49"/>
  <c r="AU6" i="49"/>
  <c r="AV6" i="49" s="1"/>
  <c r="AU21" i="49"/>
  <c r="AV21" i="49" s="1"/>
  <c r="AV19" i="49"/>
  <c r="AS6" i="49"/>
  <c r="AV15" i="49"/>
  <c r="AS13" i="49"/>
  <c r="AS11" i="49"/>
  <c r="AS12" i="49"/>
  <c r="AS5" i="49"/>
  <c r="AK10" i="49"/>
  <c r="AL10" i="49" s="1"/>
  <c r="AO5" i="49"/>
  <c r="AP5" i="49" s="1"/>
  <c r="AS18" i="49"/>
  <c r="AS10" i="49"/>
  <c r="AV10" i="49"/>
  <c r="AZ22" i="49"/>
  <c r="AY10" i="49"/>
  <c r="AZ10" i="49" s="1"/>
  <c r="AS7" i="49"/>
  <c r="AQ15" i="49"/>
  <c r="AR15" i="49" s="1"/>
  <c r="AQ20" i="49"/>
  <c r="AR20" i="49" s="1"/>
  <c r="AQ18" i="49"/>
  <c r="AR18" i="49" s="1"/>
  <c r="AQ6" i="49"/>
  <c r="AR6" i="49" s="1"/>
  <c r="AQ11" i="49"/>
  <c r="AR11" i="49" s="1"/>
  <c r="AQ5" i="49"/>
  <c r="AR5" i="49" s="1"/>
  <c r="AQ7" i="49"/>
  <c r="AR7" i="49" s="1"/>
  <c r="AQ17" i="49"/>
  <c r="AR17" i="49" s="1"/>
  <c r="AW22" i="49"/>
  <c r="AX22" i="49" s="1"/>
  <c r="AQ9" i="49"/>
  <c r="AR9" i="49" s="1"/>
  <c r="AQ12" i="49"/>
  <c r="AR12" i="49" s="1"/>
  <c r="AQ21" i="49"/>
  <c r="AR21" i="49" s="1"/>
  <c r="AQ16" i="49"/>
  <c r="AR16" i="49" s="1"/>
  <c r="AV9" i="49"/>
  <c r="AV13" i="49"/>
  <c r="AO19" i="49"/>
  <c r="AP19" i="49" s="1"/>
  <c r="AO14" i="49"/>
  <c r="AP14" i="49" s="1"/>
  <c r="AR13" i="49"/>
  <c r="AS15" i="49"/>
  <c r="AS17" i="49"/>
  <c r="AS9" i="49"/>
  <c r="AW21" i="49"/>
  <c r="AX21" i="49" s="1"/>
  <c r="AY21" i="49"/>
  <c r="AZ21" i="49" s="1"/>
  <c r="AZ15" i="49"/>
  <c r="AR22" i="49"/>
  <c r="AS21" i="49"/>
  <c r="AS22" i="49"/>
  <c r="AO9" i="49"/>
  <c r="AP9" i="49" s="1"/>
  <c r="AQ10" i="49"/>
  <c r="AR10" i="49" s="1"/>
  <c r="AQ19" i="49"/>
  <c r="AR19" i="49" s="1"/>
  <c r="AQ14" i="49"/>
  <c r="AR14" i="49" s="1"/>
  <c r="AO12" i="49"/>
  <c r="AP12" i="49" s="1"/>
  <c r="AO13" i="49"/>
  <c r="AP13" i="49" s="1"/>
  <c r="AO18" i="49"/>
  <c r="AP18" i="49" s="1"/>
  <c r="AO20" i="49"/>
  <c r="AP20" i="49" s="1"/>
  <c r="AP21" i="49"/>
  <c r="AO6" i="49"/>
  <c r="AP6" i="49" s="1"/>
  <c r="AM7" i="49"/>
  <c r="AN7" i="49" s="1"/>
  <c r="AM6" i="49"/>
  <c r="AN6" i="49" s="1"/>
  <c r="AV17" i="49"/>
  <c r="AV11" i="49"/>
  <c r="AO11" i="49"/>
  <c r="AP11" i="49" s="1"/>
  <c r="AZ11" i="49"/>
  <c r="AO16" i="49"/>
  <c r="AP16" i="49" s="1"/>
  <c r="AO17" i="49"/>
  <c r="AP17" i="49" s="1"/>
  <c r="AY17" i="49"/>
  <c r="AZ17" i="49" s="1"/>
  <c r="AM20" i="49"/>
  <c r="AN20" i="49" s="1"/>
  <c r="AN15" i="49"/>
  <c r="AM12" i="49"/>
  <c r="AN12" i="49" s="1"/>
  <c r="AM18" i="49"/>
  <c r="AN18" i="49" s="1"/>
  <c r="AM13" i="49"/>
  <c r="AN13" i="49" s="1"/>
  <c r="AU22" i="49"/>
  <c r="AV22" i="49" s="1"/>
  <c r="AM14" i="49"/>
  <c r="AN14" i="49" s="1"/>
  <c r="AK9" i="49"/>
  <c r="AL9" i="49" s="1"/>
  <c r="AK20" i="49"/>
  <c r="AL20" i="49" s="1"/>
  <c r="AO22" i="49"/>
  <c r="AP22" i="49" s="1"/>
  <c r="AM5" i="49"/>
  <c r="AN5" i="49" s="1"/>
  <c r="AM19" i="49"/>
  <c r="AN19" i="49" s="1"/>
  <c r="AL11" i="49"/>
  <c r="AK5" i="49"/>
  <c r="AL5" i="49" s="1"/>
  <c r="AM9" i="49"/>
  <c r="AN9" i="49" s="1"/>
  <c r="AU12" i="49"/>
  <c r="AV12" i="49" s="1"/>
  <c r="AU14" i="49"/>
  <c r="AV14" i="49" s="1"/>
  <c r="AV18" i="49"/>
  <c r="AV20" i="49"/>
  <c r="AV7" i="49"/>
  <c r="AU16" i="49"/>
  <c r="AV16" i="49" s="1"/>
  <c r="AW9" i="49"/>
  <c r="AX9" i="49" s="1"/>
  <c r="AW7" i="49"/>
  <c r="AX7" i="49" s="1"/>
  <c r="AX16" i="49"/>
  <c r="AX12" i="49"/>
  <c r="AX18" i="49"/>
  <c r="AZ12" i="49"/>
  <c r="AZ13" i="49"/>
  <c r="AZ7" i="49"/>
  <c r="AZ14" i="49"/>
  <c r="AZ9" i="49"/>
  <c r="AZ18" i="49"/>
  <c r="AY19" i="49"/>
  <c r="AZ19" i="49" s="1"/>
  <c r="AZ16" i="49"/>
  <c r="AZ20" i="49"/>
  <c r="AZ6" i="49"/>
  <c r="AP10" i="49"/>
  <c r="AO15" i="49"/>
  <c r="AP15" i="49" s="1"/>
  <c r="AO7" i="49"/>
  <c r="AP7" i="49" s="1"/>
  <c r="AS14" i="49"/>
  <c r="AS16" i="49"/>
  <c r="AS20" i="49"/>
  <c r="AS19" i="49"/>
  <c r="AM22" i="49"/>
  <c r="AN22" i="49" s="1"/>
  <c r="AM21" i="49"/>
  <c r="AN21" i="49" s="1"/>
  <c r="AN16" i="49"/>
  <c r="AN11" i="49"/>
  <c r="AM17" i="49"/>
  <c r="AN17" i="49" s="1"/>
  <c r="AM10" i="49"/>
  <c r="AN10" i="49" s="1"/>
  <c r="AL22" i="49"/>
  <c r="AL21" i="49"/>
  <c r="AK16" i="49"/>
  <c r="AL16" i="49" s="1"/>
  <c r="AL12" i="49"/>
  <c r="AL13" i="49"/>
  <c r="AL15" i="49"/>
  <c r="AL17" i="49"/>
  <c r="AL6" i="49"/>
  <c r="AL18" i="49"/>
  <c r="AL14" i="49"/>
  <c r="AL19" i="49"/>
  <c r="AZ32" i="49" l="1"/>
  <c r="AX32" i="49"/>
  <c r="K35" i="23"/>
  <c r="O31" i="25" l="1"/>
  <c r="H36" i="23" l="1"/>
  <c r="G36" i="23"/>
  <c r="H31" i="23" l="1"/>
  <c r="G31" i="23"/>
  <c r="K28" i="23" l="1"/>
  <c r="G28" i="23" l="1"/>
  <c r="AB43" i="49" l="1"/>
  <c r="Z43" i="49"/>
  <c r="X43" i="49" l="1"/>
  <c r="H32" i="23" l="1"/>
  <c r="G32" i="23"/>
  <c r="K30" i="23" l="1"/>
  <c r="H35" i="23" l="1"/>
  <c r="G35" i="23"/>
  <c r="K27" i="23" l="1"/>
  <c r="G34" i="23" l="1"/>
  <c r="H34" i="23"/>
  <c r="G33" i="23" l="1"/>
  <c r="H33" i="23"/>
  <c r="AD22" i="11" l="1"/>
  <c r="AF22" i="11"/>
  <c r="AF21" i="11"/>
  <c r="AF5" i="11"/>
  <c r="AD15" i="11"/>
  <c r="AF15" i="11"/>
  <c r="AE15" i="11" l="1"/>
  <c r="H15" i="11"/>
  <c r="AE22" i="11"/>
  <c r="H22" i="11"/>
  <c r="AF16" i="11"/>
  <c r="AE16" i="11"/>
  <c r="AF14" i="11"/>
  <c r="AF23" i="11"/>
  <c r="AE14" i="11"/>
  <c r="T43" i="49"/>
  <c r="AF7" i="11" l="1" a="1"/>
  <c r="AF7" i="11" s="1"/>
  <c r="AF8" i="11" s="1"/>
  <c r="AF4" i="11" a="1"/>
  <c r="AF4" i="11" s="1"/>
  <c r="AF6" i="11" a="1"/>
  <c r="AF6" i="11" s="1"/>
  <c r="K26" i="23" l="1"/>
  <c r="H27" i="23"/>
  <c r="G27" i="23"/>
  <c r="K25" i="23" l="1"/>
  <c r="AF19" i="49" l="1"/>
  <c r="H29" i="23" l="1"/>
  <c r="H28" i="23"/>
  <c r="H30" i="23"/>
  <c r="G29" i="23"/>
  <c r="G30" i="23"/>
  <c r="AD11" i="11" l="1"/>
  <c r="H11" i="11" s="1"/>
  <c r="AD14" i="11" l="1"/>
  <c r="AD16" i="11"/>
  <c r="V43" i="49"/>
  <c r="G26" i="23" l="1"/>
  <c r="H26" i="23"/>
  <c r="O32" i="25" l="1"/>
  <c r="AF8" i="49" l="1"/>
  <c r="AD8" i="49"/>
  <c r="K20" i="23" l="1"/>
  <c r="K19" i="23" l="1"/>
  <c r="R43" i="49" l="1"/>
  <c r="AE23" i="11" l="1"/>
  <c r="AE21" i="11"/>
  <c r="AE4" i="11" s="1" a="1"/>
  <c r="AE4" i="11" s="1"/>
  <c r="AE5" i="11"/>
  <c r="AD5" i="11"/>
  <c r="AE6" i="11" l="1" a="1"/>
  <c r="AE6" i="11" s="1"/>
  <c r="AE7" i="11" a="1"/>
  <c r="AE7" i="11" s="1"/>
  <c r="AE8" i="11" s="1"/>
  <c r="AD21" i="11"/>
  <c r="AD23" i="11"/>
  <c r="AD4" i="11" s="1" a="1"/>
  <c r="AD4" i="11" s="1"/>
  <c r="AD7" i="11" l="1" a="1"/>
  <c r="AD7" i="11" s="1"/>
  <c r="AD8" i="11" s="1"/>
  <c r="AD6" i="11" a="1"/>
  <c r="AD6" i="11" s="1"/>
  <c r="M13" i="49"/>
  <c r="N43" i="49" l="1"/>
  <c r="N8" i="49"/>
  <c r="N9" i="49"/>
  <c r="N13" i="49"/>
  <c r="G19" i="23" l="1"/>
  <c r="Q15" i="25"/>
  <c r="K21" i="23" l="1"/>
  <c r="O28" i="25" l="1"/>
  <c r="K22" i="23" l="1"/>
  <c r="H25" i="23"/>
  <c r="G25" i="23"/>
  <c r="K23" i="23"/>
  <c r="M4" i="49"/>
  <c r="M11" i="49" s="1"/>
  <c r="M6" i="49" l="1"/>
  <c r="N6" i="49" s="1"/>
  <c r="N11" i="49"/>
  <c r="M10" i="49"/>
  <c r="M12" i="49"/>
  <c r="L37" i="49" l="1"/>
  <c r="O21" i="25" l="1"/>
  <c r="E43" i="49" l="1"/>
  <c r="G43" i="49"/>
  <c r="I43" i="49"/>
  <c r="K43" i="49"/>
  <c r="M43" i="49"/>
  <c r="O43" i="49"/>
  <c r="H22" i="23" l="1"/>
  <c r="G22" i="23"/>
  <c r="F36" i="49"/>
  <c r="H37" i="49"/>
  <c r="L43" i="49"/>
  <c r="J37" i="49"/>
  <c r="J43" i="49" s="1"/>
  <c r="J13" i="49" l="1"/>
  <c r="H23" i="23" l="1"/>
  <c r="G24" i="23"/>
  <c r="H24" i="23"/>
  <c r="F37" i="49"/>
  <c r="D37" i="49" s="1"/>
  <c r="C37" i="49" s="1"/>
  <c r="H36" i="49"/>
  <c r="D36" i="49" s="1"/>
  <c r="J8" i="49"/>
  <c r="H8" i="49"/>
  <c r="F8" i="49"/>
  <c r="AL7" i="49"/>
  <c r="AL32" i="49" s="1"/>
  <c r="AI4" i="49"/>
  <c r="AI20" i="49" s="1"/>
  <c r="AG4" i="49"/>
  <c r="AE4" i="49"/>
  <c r="AC4" i="49"/>
  <c r="AA4" i="49"/>
  <c r="Y4" i="49"/>
  <c r="W4" i="49"/>
  <c r="U4" i="49"/>
  <c r="Q4" i="49"/>
  <c r="O4" i="49"/>
  <c r="K4" i="49"/>
  <c r="I4" i="49"/>
  <c r="G4" i="49"/>
  <c r="E4" i="49"/>
  <c r="E11" i="49" s="1"/>
  <c r="F11" i="49" s="1"/>
  <c r="AJ22" i="49" l="1"/>
  <c r="AI11" i="49"/>
  <c r="AH18" i="49"/>
  <c r="AG9" i="49"/>
  <c r="AH9" i="49" s="1"/>
  <c r="AG6" i="49"/>
  <c r="AH6" i="49" s="1"/>
  <c r="AJ6" i="49"/>
  <c r="G9" i="49"/>
  <c r="H9" i="49" s="1"/>
  <c r="AG13" i="49"/>
  <c r="AH13" i="49" s="1"/>
  <c r="AG17" i="49"/>
  <c r="AH17" i="49" s="1"/>
  <c r="AG12" i="49"/>
  <c r="AH12" i="49" s="1"/>
  <c r="AG10" i="49"/>
  <c r="AH10" i="49" s="1"/>
  <c r="AG20" i="49"/>
  <c r="AH20" i="49" s="1"/>
  <c r="AE12" i="49"/>
  <c r="AF12" i="49" s="1"/>
  <c r="AG22" i="49"/>
  <c r="AH22" i="49" s="1"/>
  <c r="AG21" i="49"/>
  <c r="AH21" i="49" s="1"/>
  <c r="AF22" i="49"/>
  <c r="AE9" i="49"/>
  <c r="AF9" i="49" s="1"/>
  <c r="AE6" i="49"/>
  <c r="AF6" i="49" s="1"/>
  <c r="AI12" i="49"/>
  <c r="AJ12" i="49" s="1"/>
  <c r="AF14" i="49"/>
  <c r="AE10" i="49"/>
  <c r="AF10" i="49" s="1"/>
  <c r="AE20" i="49"/>
  <c r="AF20" i="49" s="1"/>
  <c r="AE16" i="49"/>
  <c r="AF16" i="49" s="1"/>
  <c r="AH11" i="49"/>
  <c r="AE11" i="49"/>
  <c r="AF11" i="49" s="1"/>
  <c r="AF13" i="49"/>
  <c r="AC11" i="49"/>
  <c r="AD11" i="49" s="1"/>
  <c r="AG16" i="49"/>
  <c r="AH16" i="49" s="1"/>
  <c r="AC16" i="49"/>
  <c r="AD16" i="49" s="1"/>
  <c r="AC19" i="49"/>
  <c r="AD19" i="49" s="1"/>
  <c r="AC6" i="49"/>
  <c r="AD6" i="49" s="1"/>
  <c r="AJ20" i="49"/>
  <c r="AC15" i="49"/>
  <c r="AD15" i="49" s="1"/>
  <c r="AD12" i="49"/>
  <c r="AC10" i="49"/>
  <c r="AD10" i="49" s="1"/>
  <c r="AC20" i="49"/>
  <c r="AD20" i="49" s="1"/>
  <c r="AD9" i="49"/>
  <c r="AC7" i="49"/>
  <c r="AD7" i="49" s="1"/>
  <c r="AD13" i="49"/>
  <c r="AD17" i="49"/>
  <c r="AE17" i="49"/>
  <c r="AF17" i="49" s="1"/>
  <c r="AF18" i="49"/>
  <c r="AG7" i="49"/>
  <c r="AH7" i="49" s="1"/>
  <c r="AF7" i="49"/>
  <c r="AI7" i="49"/>
  <c r="AJ7" i="49" s="1"/>
  <c r="AD14" i="49"/>
  <c r="AF15" i="49"/>
  <c r="AG14" i="49"/>
  <c r="AH14" i="49" s="1"/>
  <c r="AG15" i="49"/>
  <c r="AH15" i="49" s="1"/>
  <c r="M7" i="49"/>
  <c r="N7" i="49" s="1"/>
  <c r="N32" i="49" s="1"/>
  <c r="I6" i="49"/>
  <c r="J6" i="49" s="1"/>
  <c r="I12" i="49"/>
  <c r="J12" i="49" s="1"/>
  <c r="F43" i="49"/>
  <c r="H43" i="49"/>
  <c r="I7" i="49"/>
  <c r="J7" i="49" s="1"/>
  <c r="I9" i="49"/>
  <c r="J9" i="49" s="1"/>
  <c r="E7" i="49"/>
  <c r="F7" i="49" s="1"/>
  <c r="I11" i="49"/>
  <c r="J11" i="49" s="1"/>
  <c r="E9" i="49"/>
  <c r="F9" i="49" s="1"/>
  <c r="I5" i="49"/>
  <c r="J5" i="49" s="1"/>
  <c r="E10" i="49"/>
  <c r="F10" i="49" s="1"/>
  <c r="G23" i="23"/>
  <c r="E6" i="49"/>
  <c r="F6" i="49" s="1"/>
  <c r="G6" i="49"/>
  <c r="H6" i="49" s="1"/>
  <c r="G5" i="49"/>
  <c r="H5" i="49" s="1"/>
  <c r="G10" i="49"/>
  <c r="H10" i="49" s="1"/>
  <c r="G11" i="49"/>
  <c r="H11" i="49" s="1"/>
  <c r="G7" i="49"/>
  <c r="H7" i="49" s="1"/>
  <c r="E12" i="49"/>
  <c r="F12" i="49" s="1"/>
  <c r="E5" i="49"/>
  <c r="F5" i="49" s="1"/>
  <c r="G12" i="49"/>
  <c r="H12" i="49" s="1"/>
  <c r="I10" i="49"/>
  <c r="J10" i="49" s="1"/>
  <c r="AH32" i="49" l="1"/>
  <c r="AJ32" i="49"/>
  <c r="AF32" i="49"/>
  <c r="AD32" i="49"/>
  <c r="AB32" i="49"/>
  <c r="X32" i="49"/>
  <c r="J32" i="49"/>
  <c r="H32" i="49"/>
  <c r="F32" i="49"/>
  <c r="G21" i="23" l="1"/>
  <c r="H21" i="23"/>
  <c r="O22" i="25"/>
  <c r="K18" i="23" l="1"/>
  <c r="O12" i="25" l="1"/>
  <c r="O20" i="25"/>
  <c r="O19" i="25"/>
  <c r="O17" i="25"/>
  <c r="O6" i="25"/>
  <c r="O7" i="25"/>
  <c r="O8" i="25"/>
  <c r="O9" i="25"/>
  <c r="O10" i="25"/>
  <c r="O11" i="25"/>
  <c r="O13" i="25"/>
  <c r="O14" i="25"/>
  <c r="O15" i="25"/>
  <c r="O16" i="25"/>
  <c r="G17" i="23"/>
  <c r="H17" i="23"/>
  <c r="G16" i="23"/>
  <c r="H16" i="23"/>
  <c r="H18" i="23"/>
  <c r="G18" i="23"/>
  <c r="K14" i="23" l="1"/>
  <c r="G20" i="23" l="1"/>
  <c r="H20" i="23"/>
  <c r="K13" i="23" l="1"/>
  <c r="H13" i="23" s="1"/>
  <c r="O3" i="25"/>
  <c r="K15" i="23" l="1"/>
  <c r="H15" i="23" s="1"/>
  <c r="H19" i="23"/>
  <c r="G15" i="23" l="1"/>
  <c r="H14" i="23" l="1"/>
  <c r="G14" i="23"/>
  <c r="G13" i="23" l="1"/>
  <c r="H12" i="23" l="1"/>
  <c r="H11" i="23" l="1"/>
  <c r="H6" i="23" l="1"/>
  <c r="H7" i="23"/>
  <c r="H9" i="23"/>
  <c r="H10" i="23"/>
  <c r="G8" i="23"/>
  <c r="H16" i="11" l="1"/>
  <c r="O4" i="25" l="1"/>
  <c r="O5" i="25"/>
  <c r="H5" i="23" l="1"/>
  <c r="H4" i="23"/>
  <c r="O18" i="25" l="1"/>
  <c r="O24" i="25" l="1"/>
  <c r="O23" i="25" l="1"/>
  <c r="O25" i="25" l="1"/>
  <c r="O29" i="25" l="1"/>
  <c r="O30" i="25"/>
  <c r="P43" i="49" l="1"/>
  <c r="H23" i="11" l="1"/>
  <c r="H7" i="11" l="1"/>
  <c r="H6" i="11"/>
  <c r="H4" i="11" l="1"/>
  <c r="H8" i="11"/>
  <c r="H5" i="11"/>
  <c r="H2" i="11" l="1"/>
  <c r="H37" i="23"/>
  <c r="G37" i="23"/>
  <c r="O33" i="25" l="1"/>
  <c r="O38" i="25" l="1"/>
  <c r="Q11" i="55"/>
  <c r="C36" i="49" l="1"/>
  <c r="C43" i="49" s="1"/>
  <c r="D43" i="49"/>
  <c r="C24" i="49" l="1"/>
  <c r="AN5" i="60"/>
  <c r="H11" i="60"/>
  <c r="H14" i="60" s="1"/>
  <c r="AN4" i="60" a="1"/>
  <c r="AN4" i="60" s="1"/>
  <c r="AN7" i="60" a="1"/>
  <c r="AN7" i="60" s="1"/>
  <c r="AN6" i="60" a="1"/>
  <c r="AN6" i="60" s="1"/>
  <c r="H16" i="60" l="1"/>
  <c r="AN8" i="60"/>
  <c r="AN4" i="11" a="1"/>
  <c r="AN4" i="11" s="1"/>
  <c r="AN14" i="11"/>
  <c r="H10" i="11"/>
  <c r="H14" i="11" s="1"/>
  <c r="AN6" i="11" l="1" a="1"/>
  <c r="AN6" i="11" s="1"/>
  <c r="AO7" i="11" a="1"/>
  <c r="AO7" i="11" s="1"/>
  <c r="AO8" i="11" s="1"/>
  <c r="AO4" i="11" a="1"/>
  <c r="AO4" i="11" s="1"/>
  <c r="AO6" i="11" a="1"/>
  <c r="AO6" i="11" s="1"/>
  <c r="AN7" i="11" a="1"/>
  <c r="AN7" i="11" s="1"/>
  <c r="AN8" i="11" s="1"/>
  <c r="AM48" i="49"/>
  <c r="AN48" i="49"/>
  <c r="AL48" i="49"/>
  <c r="Q14" i="55"/>
  <c r="P14" i="55"/>
  <c r="AK48" i="49"/>
  <c r="O27" i="25"/>
  <c r="N27" i="25"/>
  <c r="AJ48" i="49"/>
  <c r="Q6" i="55"/>
  <c r="P6" i="55"/>
  <c r="AO48" i="4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tc={5462642C-E851-40BE-A285-6DB8689CEA94}</author>
    <author>tc={A898A557-4CB5-4E8A-8D44-9EED0D04B084}</author>
  </authors>
  <commentList>
    <comment ref="B10" authorId="0" shapeId="0" xr:uid="{5462642C-E851-40BE-A285-6DB8689CEA94}">
      <text>
        <t xml:space="preserve">[Threaded comment]
Your version of Excel allows you to read this threaded comment; however, any edits to it will get removed if the file is opened in a newer version of Excel. Learn more: https://go.microsoft.com/fwlink/?linkid=870924
Comment:
    45%+5 di bd al mese
</t>
      </text>
    </comment>
    <comment ref="B11" authorId="1" shapeId="0" xr:uid="{A898A557-4CB5-4E8A-8D44-9EED0D04B084}">
      <text>
        <t>[Threaded comment]
Your version of Excel allows you to read this threaded comment; however, any edits to it will get removed if the file is opened in a newer version of Excel. Learn more: https://go.microsoft.com/fwlink/?linkid=870924
Comment:
    95% con noi</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tc={62387351-901D-49BB-942A-FB8FA3D6D172}</author>
    <author>tc={D5A07EA9-E50E-4FC8-A998-3B650C988043}</author>
    <author>tc={ABDEC10F-374E-4E25-B04F-5BC1B7A5318D}</author>
  </authors>
  <commentList>
    <comment ref="M9" authorId="0" shapeId="0" xr:uid="{62387351-901D-49BB-942A-FB8FA3D6D172}">
      <text>
        <t>[Threaded comment]
Your version of Excel allows you to read this threaded comment; however, any edits to it will get removed if the file is opened in a newer version of Excel. Learn more: https://go.microsoft.com/fwlink/?linkid=870924
Comment:
    Residuo 2024</t>
      </text>
    </comment>
    <comment ref="M10" authorId="1" shapeId="0" xr:uid="{D5A07EA9-E50E-4FC8-A998-3B650C988043}">
      <text>
        <t>[Threaded comment]
Your version of Excel allows you to read this threaded comment; however, any edits to it will get removed if the file is opened in a newer version of Excel. Learn more: https://go.microsoft.com/fwlink/?linkid=870924
Comment:
    Residuo 2024</t>
      </text>
    </comment>
    <comment ref="M11" authorId="2" shapeId="0" xr:uid="{ABDEC10F-374E-4E25-B04F-5BC1B7A5318D}">
      <text>
        <t>[Threaded comment]
Your version of Excel allows you to read this threaded comment; however, any edits to it will get removed if the file is opened in a newer version of Excel. Learn more: https://go.microsoft.com/fwlink/?linkid=870924
Comment:
    Residuo 20204</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C50" authorId="0" shapeId="0" xr:uid="{9224B6C6-C818-4FA7-B2EC-C89DE78562F1}">
      <text>
        <r>
          <rPr>
            <b/>
            <sz val="9"/>
            <color indexed="81"/>
            <rFont val="Tahoma"/>
            <family val="2"/>
          </rPr>
          <t>Author:</t>
        </r>
        <r>
          <rPr>
            <sz val="9"/>
            <color indexed="81"/>
            <rFont val="Tahoma"/>
            <family val="2"/>
          </rPr>
          <t xml:space="preserve">
fare booking entro dicembre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tc={2B1795BE-591D-4740-8163-0737399E5272}</author>
    <author>tc={6EA25D68-65D3-4946-8969-F0C17309977C}</author>
    <author>tc={7E043626-BEBC-4ADC-B180-DAF2A48ED8DB}</author>
    <author>tc={B77F3F57-113F-428B-94EB-557CF32C50E7}</author>
    <author>tc={4981CA67-0F81-462F-8A94-EBFEA205EBB4}</author>
    <author>tc={72E46887-1035-4198-A7D3-DB66650722BC}</author>
    <author>tc={FA6FBF0E-B56C-46F1-BA22-FDCE63FF057A}</author>
    <author>tc={041E56A0-0465-4266-93F1-733B590B62D8}</author>
    <author>tc={BC02C3BD-F90A-4826-9F93-ED59E4DB846F}</author>
    <author>tc={50A2729F-7D3D-4B23-8FC9-64E4D275EEB3}</author>
    <author>tc={A5D8B7CE-7AA9-4C17-BA86-B347DCA3EB0E}</author>
    <author>tc={3510B293-7A25-4C2E-9922-7B3C1479414B}</author>
    <author>tc={500CA02D-FEA3-4260-A14E-22164E15F707}</author>
    <author>Author</author>
    <author>tc={F62B5A03-B4BF-4A9C-B880-6722613E777A}</author>
    <author>tc={ACB12B2C-F677-45FE-8B57-0B62FCF48B70}</author>
    <author>tc={C92135FF-B2DD-4413-AC7B-94293F5F14B8}</author>
    <author>tc={EE8E3874-C04F-4110-8898-EFD168AFD061}</author>
    <author>tc={F15FC8DD-0D60-4D44-99FB-D105ED113F99}</author>
    <author>tc={ACD35657-CE18-440C-9604-6B3AEA023C63}</author>
    <author>tc={413FC41E-D7F0-4AC5-8C5B-6D69D099F2E1}</author>
    <author>tc={32CCCE1B-BA6C-4ACA-9A7B-C0B1D38BDFBE}</author>
    <author>tc={5D6DCFAF-BFF7-446A-89A5-C94DD79727A2}</author>
    <author>tc={98B48D33-269D-4A3F-919A-BF31D93D60B0}</author>
    <author>tc={2B60DC36-5A41-4B67-A17B-654ADE8D62C8}</author>
    <author>tc={D3A665A0-23DA-4260-9C12-D1B7A9A29DD9}</author>
    <author>tc={1221411B-57FC-4A7D-BE11-8EEDA7D81150}</author>
    <author>tc={D935709B-4D7C-490C-A663-0C282D174E67}</author>
    <author>tc={AC5021A8-C897-437B-9E1E-5E2E49BAE154}</author>
    <author>tc={EE962C21-78A5-4BF3-BBE9-F07DA53D4D5B}</author>
    <author>tc={D4B55714-6FBD-4F26-9CD6-2D0EA2344AE9}</author>
    <author>tc={13F4FBE0-9A0C-4625-93F2-F6EE09E4F459}</author>
    <author>tc={1A9F4EAD-B29A-4541-98F0-22D097AF864A}</author>
    <author>tc={22399501-FEC3-4469-9BF5-E04D56D0E9A5}</author>
    <author>tc={270473B5-CC13-4754-B349-02A6DEB7F37E}</author>
    <author>tc={C0623998-FD67-415B-BB83-B472EE1295A6}</author>
    <author>tc={F4C81805-7BC1-4D49-805D-A88DD706687C}</author>
    <author>tc={FFFBF2BC-9BC4-442F-9D05-B4B4D8B1160A}</author>
    <author>tc={21191B64-9FBF-40F4-8D7A-F00F457D6E15}</author>
    <author>tc={870F362A-7E45-4CF4-AEAC-080C8819D3DC}</author>
    <author>tc={85780F43-27E8-41EB-B32E-A3E08241AEE7}</author>
    <author>tc={581917B1-7BEE-4EF0-A552-1B290947D6D0}</author>
    <author>tc={DF3A6C15-CCC0-4570-9AF7-19241D78AA1C}</author>
    <author>tc={C80D2CFB-5B08-4C34-ADBD-4BDD46AD89EF}</author>
    <author>tc={50538EE3-4B8E-4F8E-A9BD-E884E691065D}</author>
    <author>tc={CD108A5C-3FA4-4E9E-9F73-3C3F87669B14}</author>
    <author>tc={C78AB2F5-4ED2-4968-B332-001664F77BE6}</author>
    <author>tc={9B0B74A1-F9E0-4604-BBDD-96F748573295}</author>
    <author>tc={4233F093-6B44-48B4-A390-7AAC8FFDC80B}</author>
    <author>tc={B17B55BE-63C5-437B-B234-106B3EBC23F0}</author>
    <author>tc={93B17C83-1E23-43C0-A507-AA4CFA1B7089}</author>
    <author>tc={199264DE-B28A-4809-A119-A34C2ACAB8F9}</author>
    <author>tc={74F1AD99-4527-4F70-B044-3170C50F09B8}</author>
    <author>tc={F275F00C-BFE1-4A86-AE68-3BC3EE7C391B}</author>
    <author>tc={49BC926D-EDD4-4471-A9D8-440852A04B30}</author>
    <author>tc={6938FC8F-5444-4DE4-9480-9D045B7FFF26}</author>
    <author>tc={AE22D27D-6207-4203-8286-14486D4A2BF6}</author>
    <author>tc={7ECEE375-C8D4-4B30-A351-DF7325B6C350}</author>
    <author>tc={B2ACD695-AD2A-4C5A-9917-AB4CD19870D2}</author>
    <author>tc={8DF17CCE-86C9-4B9F-B0CF-80F734D0036B}</author>
  </authors>
  <commentList>
    <comment ref="AO5" authorId="0" shapeId="0" xr:uid="{2B1795BE-591D-4740-8163-0737399E5272}">
      <text>
        <t>[Threaded comment]
Your version of Excel allows you to read this threaded comment; however, any edits to it will get removed if the file is opened in a newer version of Excel. Learn more: https://go.microsoft.com/fwlink/?linkid=870924
Comment:
    16h Cabel - 8 Ferie</t>
      </text>
    </comment>
    <comment ref="AS5" authorId="1" shapeId="0" xr:uid="{6EA25D68-65D3-4946-8969-F0C17309977C}">
      <text>
        <t>[Threaded comment]
Your version of Excel allows you to read this threaded comment; however, any edits to it will get removed if the file is opened in a newer version of Excel. Learn more: https://go.microsoft.com/fwlink/?linkid=870924
Comment:
    20h cabel</t>
      </text>
    </comment>
    <comment ref="AU5" authorId="2" shapeId="0" xr:uid="{7E043626-BEBC-4ADC-B180-DAF2A48ED8DB}">
      <text>
        <t>[Threaded comment]
Your version of Excel allows you to read this threaded comment; however, any edits to it will get removed if the file is opened in a newer version of Excel. Learn more: https://go.microsoft.com/fwlink/?linkid=870924
Comment:
    20h cabel</t>
      </text>
    </comment>
    <comment ref="AW5" authorId="3" shapeId="0" xr:uid="{B77F3F57-113F-428B-94EB-557CF32C50E7}">
      <text>
        <t>[Threaded comment]
Your version of Excel allows you to read this threaded comment; however, any edits to it will get removed if the file is opened in a newer version of Excel. Learn more: https://go.microsoft.com/fwlink/?linkid=870924
Comment:
    3 e 6 ferie</t>
      </text>
    </comment>
    <comment ref="AZ5" authorId="4" shapeId="0" xr:uid="{4981CA67-0F81-462F-8A94-EBFEA205EBB4}">
      <text>
        <t>[Threaded comment]
Your version of Excel allows you to read this threaded comment; however, any edits to it will get removed if the file is opened in a newer version of Excel. Learn more: https://go.microsoft.com/fwlink/?linkid=870924
Comment:
    Coperte da cabel</t>
      </text>
    </comment>
    <comment ref="AO6" authorId="5" shapeId="0" xr:uid="{72E46887-1035-4198-A7D3-DB66650722BC}">
      <text>
        <t>[Threaded comment]
Your version of Excel allows you to read this threaded comment; however, any edits to it will get removed if the file is opened in a newer version of Excel. Learn more: https://go.microsoft.com/fwlink/?linkid=870924
Comment:
    8h permesso</t>
      </text>
    </comment>
    <comment ref="AW6" authorId="6" shapeId="0" xr:uid="{FA6FBF0E-B56C-46F1-BA22-FDCE63FF057A}">
      <text>
        <t>[Threaded comment]
Your version of Excel allows you to read this threaded comment; however, any edits to it will get removed if the file is opened in a newer version of Excel. Learn more: https://go.microsoft.com/fwlink/?linkid=870924
Comment:
    4 permesso</t>
      </text>
    </comment>
    <comment ref="K7" authorId="7" shapeId="0" xr:uid="{041E56A0-0465-4266-93F1-733B590B62D8}">
      <text>
        <t>[Threaded comment]
Your version of Excel allows you to read this threaded comment; however, any edits to it will get removed if the file is opened in a newer version of Excel. Learn more: https://go.microsoft.com/fwlink/?linkid=870924
Comment:
    7h straordinari</t>
      </text>
    </comment>
    <comment ref="AQ7" authorId="8" shapeId="0" xr:uid="{BC02C3BD-F90A-4826-9F93-ED59E4DB846F}">
      <text>
        <t>[Threaded comment]
Your version of Excel allows you to read this threaded comment; however, any edits to it will get removed if the file is opened in a newer version of Excel. Learn more: https://go.microsoft.com/fwlink/?linkid=870924
Comment:
    48h ferie</t>
      </text>
    </comment>
    <comment ref="AS7" authorId="9" shapeId="0" xr:uid="{50A2729F-7D3D-4B23-8FC9-64E4D275EEB3}">
      <text>
        <t>[Threaded comment]
Your version of Excel allows you to read this threaded comment; however, any edits to it will get removed if the file is opened in a newer version of Excel. Learn more: https://go.microsoft.com/fwlink/?linkid=870924
Comment:
    40h ferie</t>
      </text>
    </comment>
    <comment ref="BA7" authorId="10" shapeId="0" xr:uid="{A5D8B7CE-7AA9-4C17-BA86-B347DCA3EB0E}">
      <text>
        <t>[Threaded comment]
Your version of Excel allows you to read this threaded comment; however, any edits to it will get removed if the file is opened in a newer version of Excel. Learn more: https://go.microsoft.com/fwlink/?linkid=870924
Comment:
    32h ferie</t>
      </text>
    </comment>
    <comment ref="O9" authorId="11" shapeId="0" xr:uid="{3510B293-7A25-4C2E-9922-7B3C1479414B}">
      <text>
        <t>[Threaded comment]
Your version of Excel allows you to read this threaded comment; however, any edits to it will get removed if the file is opened in a newer version of Excel. Learn more: https://go.microsoft.com/fwlink/?linkid=870924
Comment:
    15 gg di congedo parentale</t>
      </text>
    </comment>
    <comment ref="AA9" authorId="12" shapeId="0" xr:uid="{500CA02D-FEA3-4260-A14E-22164E15F707}">
      <text>
        <t>[Threaded comment]
Your version of Excel allows you to read this threaded comment; however, any edits to it will get removed if the file is opened in a newer version of Excel. Learn more: https://go.microsoft.com/fwlink/?linkid=870924
Comment:
    Recupero ore di Kappa luglio</t>
      </text>
    </comment>
    <comment ref="AI9" authorId="13" shapeId="0" xr:uid="{ADE6FF4A-DD01-4780-865D-22B376AA2BCE}">
      <text>
        <r>
          <rPr>
            <b/>
            <sz val="9"/>
            <color indexed="81"/>
            <rFont val="Tahoma"/>
            <family val="2"/>
          </rPr>
          <t>Author:</t>
        </r>
        <r>
          <rPr>
            <sz val="9"/>
            <color indexed="81"/>
            <rFont val="Tahoma"/>
            <family val="2"/>
          </rPr>
          <t xml:space="preserve">
23 ferie
</t>
        </r>
      </text>
    </comment>
    <comment ref="AO9" authorId="14" shapeId="0" xr:uid="{F62B5A03-B4BF-4A9C-B880-6722613E777A}">
      <text>
        <t>[Threaded comment]
Your version of Excel allows you to read this threaded comment; however, any edits to it will get removed if the file is opened in a newer version of Excel. Learn more: https://go.microsoft.com/fwlink/?linkid=870924
Comment:
    40h ferie</t>
      </text>
    </comment>
    <comment ref="AG10" authorId="13" shapeId="0" xr:uid="{DFD66740-1B79-485C-BAC3-98E0A96E5227}">
      <text>
        <r>
          <rPr>
            <b/>
            <sz val="9"/>
            <color indexed="81"/>
            <rFont val="Tahoma"/>
            <family val="2"/>
          </rPr>
          <t>Author:</t>
        </r>
        <r>
          <rPr>
            <sz val="9"/>
            <color indexed="81"/>
            <rFont val="Tahoma"/>
            <family val="2"/>
          </rPr>
          <t xml:space="preserve">
50% Kappa</t>
        </r>
      </text>
    </comment>
    <comment ref="AS10" authorId="15" shapeId="0" xr:uid="{ACB12B2C-F677-45FE-8B57-0B62FCF48B70}">
      <text>
        <t>[Threaded comment]
Your version of Excel allows you to read this threaded comment; however, any edits to it will get removed if the file is opened in a newer version of Excel. Learn more: https://go.microsoft.com/fwlink/?linkid=870924
Comment:
    40h di training</t>
      </text>
    </comment>
    <comment ref="AW10" authorId="16" shapeId="0" xr:uid="{C92135FF-B2DD-4413-AC7B-94293F5F14B8}">
      <text>
        <t>[Threaded comment]
Your version of Excel allows you to read this threaded comment; however, any edits to it will get removed if the file is opened in a newer version of Excel. Learn more: https://go.microsoft.com/fwlink/?linkid=870924
Comment:
    2 visita medica</t>
      </text>
    </comment>
    <comment ref="BA10" authorId="17" shapeId="0" xr:uid="{EE8E3874-C04F-4110-8898-EFD168AFD061}">
      <text>
        <t>[Threaded comment]
Your version of Excel allows you to read this threaded comment; however, any edits to it will get removed if the file is opened in a newer version of Excel. Learn more: https://go.microsoft.com/fwlink/?linkid=870924
Comment:
    16 h CDP 1q</t>
      </text>
    </comment>
    <comment ref="AQ11" authorId="18" shapeId="0" xr:uid="{F15FC8DD-0D60-4D44-99FB-D105ED113F99}">
      <text>
        <t>[Threaded comment]
Your version of Excel allows you to read this threaded comment; however, any edits to it will get removed if the file is opened in a newer version of Excel. Learn more: https://go.microsoft.com/fwlink/?linkid=870924
Comment:
    26,5 rol+visita medica</t>
      </text>
    </comment>
    <comment ref="AS11" authorId="19" shapeId="0" xr:uid="{ACD35657-CE18-440C-9604-6B3AEA023C63}">
      <text>
        <t>[Threaded comment]
Your version of Excel allows you to read this threaded comment; however, any edits to it will get removed if the file is opened in a newer version of Excel. Learn more: https://go.microsoft.com/fwlink/?linkid=870924
Comment:
    Ferie 4 maggio</t>
      </text>
    </comment>
    <comment ref="AW11" authorId="20" shapeId="0" xr:uid="{413FC41E-D7F0-4AC5-8C5B-6D69D099F2E1}">
      <text>
        <t>[Threaded comment]
Your version of Excel allows you to read this threaded comment; however, any edits to it will get removed if the file is opened in a newer version of Excel. Learn more: https://go.microsoft.com/fwlink/?linkid=870924
Comment:
    6 visita</t>
      </text>
    </comment>
    <comment ref="AQ12" authorId="21" shapeId="0" xr:uid="{32CCCE1B-BA6C-4ACA-9A7B-C0B1D38BDFBE}">
      <text>
        <t>[Threaded comment]
Your version of Excel allows you to read this threaded comment; however, any edits to it will get removed if the file is opened in a newer version of Excel. Learn more: https://go.microsoft.com/fwlink/?linkid=870924
Comment:
    Ferie 8 aprile+permesso 3h mattina 14</t>
      </text>
    </comment>
    <comment ref="AW12" authorId="22" shapeId="0" xr:uid="{5D6DCFAF-BFF7-446A-89A5-C94DD79727A2}">
      <text>
        <t>[Threaded comment]
Your version of Excel allows you to read this threaded comment; however, any edits to it will get removed if the file is opened in a newer version of Excel. Learn more: https://go.microsoft.com/fwlink/?linkid=870924
Comment:
    3+2+2 visita medica</t>
      </text>
    </comment>
    <comment ref="AO13" authorId="23" shapeId="0" xr:uid="{98B48D33-269D-4A3F-919A-BF31D93D60B0}">
      <text>
        <t>[Threaded comment]
Your version of Excel allows you to read this threaded comment; however, any edits to it will get removed if the file is opened in a newer version of Excel. Learn more: https://go.microsoft.com/fwlink/?linkid=870924
Comment:
    34h permesso studio+104</t>
      </text>
    </comment>
    <comment ref="AQ13" authorId="24" shapeId="0" xr:uid="{2B60DC36-5A41-4B67-A17B-654ADE8D62C8}">
      <text>
        <t>[Threaded comment]
Your version of Excel allows you to read this threaded comment; however, any edits to it will get removed if the file is opened in a newer version of Excel. Learn more: https://go.microsoft.com/fwlink/?linkid=870924
Comment:
    malattia</t>
      </text>
    </comment>
    <comment ref="AS13" authorId="25" shapeId="0" xr:uid="{D3A665A0-23DA-4260-9C12-D1B7A9A29DD9}">
      <text>
        <t>[Threaded comment]
Your version of Excel allows you to read this threaded comment; however, any edits to it will get removed if the file is opened in a newer version of Excel. Learn more: https://go.microsoft.com/fwlink/?linkid=870924
Comment:
    40h malattia</t>
      </text>
    </comment>
    <comment ref="O14" authorId="26" shapeId="0" xr:uid="{1221411B-57FC-4A7D-BE11-8EEDA7D81150}">
      <text>
        <t>[Threaded comment]
Your version of Excel allows you to read this threaded comment; however, any edits to it will get removed if the file is opened in a newer version of Excel. Learn more: https://go.microsoft.com/fwlink/?linkid=870924
Comment:
    Qui va aggiunto il carico di gennaio, chiedere a Giovanni Buonocore il valore</t>
      </text>
    </comment>
    <comment ref="AO14" authorId="27" shapeId="0" xr:uid="{D935709B-4D7C-490C-A663-0C282D174E67}">
      <text>
        <t>[Threaded comment]
Your version of Excel allows you to read this threaded comment; however, any edits to it will get removed if the file is opened in a newer version of Excel. Learn more: https://go.microsoft.com/fwlink/?linkid=870924
Comment:
    8h ferie</t>
      </text>
    </comment>
    <comment ref="AW14" authorId="28" shapeId="0" xr:uid="{AC5021A8-C897-437B-9E1E-5E2E49BAE154}">
      <text>
        <t>[Threaded comment]
Your version of Excel allows you to read this threaded comment; however, any edits to it will get removed if the file is opened in a newer version of Excel. Learn more: https://go.microsoft.com/fwlink/?linkid=870924
Comment:
    16h ferie</t>
      </text>
    </comment>
    <comment ref="AY14" authorId="29" shapeId="0" xr:uid="{EE962C21-78A5-4BF3-BBE9-F07DA53D4D5B}">
      <text>
        <t>[Threaded comment]
Your version of Excel allows you to read this threaded comment; however, any edits to it will get removed if the file is opened in a newer version of Excel. Learn more: https://go.microsoft.com/fwlink/?linkid=870924
Comment:
    Non può caricare ore chg durante la chisura aggiunte 4,4h chg</t>
      </text>
    </comment>
    <comment ref="AM15" authorId="30" shapeId="0" xr:uid="{D4B55714-6FBD-4F26-9CD6-2D0EA2344AE9}">
      <text>
        <t>[Threaded comment]
Your version of Excel allows you to read this threaded comment; however, any edits to it will get removed if the file is opened in a newer version of Excel. Learn more: https://go.microsoft.com/fwlink/?linkid=870924
Comment:
    1 settimana di malattia</t>
      </text>
    </comment>
    <comment ref="AQ15" authorId="31" shapeId="0" xr:uid="{13F4FBE0-9A0C-4625-93F2-F6EE09E4F459}">
      <text>
        <t>[Threaded comment]
Your version of Excel allows you to read this threaded comment; however, any edits to it will get removed if the file is opened in a newer version of Excel. Learn more: https://go.microsoft.com/fwlink/?linkid=870924
Comment:
    4h visita medica</t>
      </text>
    </comment>
    <comment ref="AW15" authorId="32" shapeId="0" xr:uid="{1A9F4EAD-B29A-4541-98F0-22D097AF864A}">
      <text>
        <t>[Threaded comment]
Your version of Excel allows you to read this threaded comment; however, any edits to it will get removed if the file is opened in a newer version of Excel. Learn more: https://go.microsoft.com/fwlink/?linkid=870924
Comment:
    80h ferie</t>
      </text>
    </comment>
    <comment ref="B16" authorId="33" shapeId="0" xr:uid="{22399501-FEC3-4469-9BF5-E04D56D0E9A5}">
      <text>
        <t>[Threaded comment]
Your version of Excel allows you to read this threaded comment; however, any edits to it will get removed if the file is opened in a newer version of Excel. Learn more: https://go.microsoft.com/fwlink/?linkid=870924
Comment:
    CON NOI AL 47%</t>
      </text>
    </comment>
    <comment ref="AO16" authorId="34" shapeId="0" xr:uid="{270473B5-CC13-4754-B349-02A6DEB7F37E}">
      <text>
        <t>[Threaded comment]
Your version of Excel allows you to read this threaded comment; however, any edits to it will get removed if the file is opened in a newer version of Excel. Learn more: https://go.microsoft.com/fwlink/?linkid=870924
Comment:
    16 ferie</t>
      </text>
    </comment>
    <comment ref="AW16" authorId="35" shapeId="0" xr:uid="{C0623998-FD67-415B-BB83-B472EE1295A6}">
      <text>
        <t>[Threaded comment]
Your version of Excel allows you to read this threaded comment; however, any edits to it will get removed if the file is opened in a newer version of Excel. Learn more: https://go.microsoft.com/fwlink/?linkid=870924
Comment:
    5h visite medica</t>
      </text>
    </comment>
    <comment ref="AU17" authorId="36" shapeId="0" xr:uid="{F4C81805-7BC1-4D49-805D-A88DD706687C}">
      <text>
        <t>[Threaded comment]
Your version of Excel allows you to read this threaded comment; however, any edits to it will get removed if the file is opened in a newer version of Excel. Learn more: https://go.microsoft.com/fwlink/?linkid=870924
Comment:
    24h ferie</t>
      </text>
    </comment>
    <comment ref="AW17" authorId="37" shapeId="0" xr:uid="{FFFBF2BC-9BC4-442F-9D05-B4B4D8B1160A}">
      <text>
        <t>[Threaded comment]
Your version of Excel allows you to read this threaded comment; however, any edits to it will get removed if the file is opened in a newer version of Excel. Learn more: https://go.microsoft.com/fwlink/?linkid=870924
Comment:
    36h rol</t>
      </text>
    </comment>
    <comment ref="R18" authorId="38" shapeId="0" xr:uid="{21191B64-9FBF-40F4-8D7A-F00F457D6E15}">
      <text>
        <t>[Threaded comment]
Your version of Excel allows you to read this threaded comment; however, any edits to it will get removed if the file is opened in a newer version of Excel. Learn more: https://go.microsoft.com/fwlink/?linkid=870924
Comment:
    Storno da siteminder per via di MYACRI + storno pappalardo errore febbraio</t>
      </text>
    </comment>
    <comment ref="AO18" authorId="39" shapeId="0" xr:uid="{870F362A-7E45-4CF4-AEAC-080C8819D3DC}">
      <text>
        <t>[Threaded comment]
Your version of Excel allows you to read this threaded comment; however, any edits to it will get removed if the file is opened in a newer version of Excel. Learn more: https://go.microsoft.com/fwlink/?linkid=870924
Comment:
    2h visita medica+8 ferie</t>
      </text>
    </comment>
    <comment ref="AQ18" authorId="40" shapeId="0" xr:uid="{85780F43-27E8-41EB-B32E-A3E08241AEE7}">
      <text>
        <t>[Threaded comment]
Your version of Excel allows you to read this threaded comment; however, any edits to it will get removed if the file is opened in a newer version of Excel. Learn more: https://go.microsoft.com/fwlink/?linkid=870924
Comment:
    12h permesso</t>
      </text>
    </comment>
    <comment ref="AS18" authorId="41" shapeId="0" xr:uid="{581917B1-7BEE-4EF0-A552-1B290947D6D0}">
      <text>
        <t>[Threaded comment]
Your version of Excel allows you to read this threaded comment; however, any edits to it will get removed if the file is opened in a newer version of Excel. Learn more: https://go.microsoft.com/fwlink/?linkid=870924
Comment:
    8h permesso</t>
      </text>
    </comment>
    <comment ref="AW18" authorId="42" shapeId="0" xr:uid="{DF3A6C15-CCC0-4570-9AF7-19241D78AA1C}">
      <text>
        <t>[Threaded comment]
Your version of Excel allows you to read this threaded comment; however, any edits to it will get removed if the file is opened in a newer version of Excel. Learn more: https://go.microsoft.com/fwlink/?linkid=870924
Comment:
    8 malattia 3 visita</t>
      </text>
    </comment>
    <comment ref="BA18" authorId="43" shapeId="0" xr:uid="{C80D2CFB-5B08-4C34-ADBD-4BDD46AD89EF}">
      <text>
        <t>[Threaded comment]
Your version of Excel allows you to read this threaded comment; however, any edits to it will get removed if the file is opened in a newer version of Excel. Learn more: https://go.microsoft.com/fwlink/?linkid=870924
Comment:
    64h ferie</t>
      </text>
    </comment>
    <comment ref="B19" authorId="44" shapeId="0" xr:uid="{50538EE3-4B8E-4F8E-A9BD-E884E691065D}">
      <text>
        <t xml:space="preserve">[Threaded comment]
Your version of Excel allows you to read this threaded comment; however, any edits to it will get removed if the file is opened in a newer version of Excel. Learn more: https://go.microsoft.com/fwlink/?linkid=870924
Comment:
    45%+5 di bd al mese
</t>
      </text>
    </comment>
    <comment ref="AW19" authorId="45" shapeId="0" xr:uid="{CD108A5C-3FA4-4E9E-9F73-3C3F87669B14}">
      <text>
        <t>[Threaded comment]
Your version of Excel allows you to read this threaded comment; however, any edits to it will get removed if the file is opened in a newer version of Excel. Learn more: https://go.microsoft.com/fwlink/?linkid=870924
Comment:
    24 malattia 4 permesso</t>
      </text>
    </comment>
    <comment ref="B20" authorId="46" shapeId="0" xr:uid="{C78AB2F5-4ED2-4968-B332-001664F77BE6}">
      <text>
        <t>[Threaded comment]
Your version of Excel allows you to read this threaded comment; however, any edits to it will get removed if the file is opened in a newer version of Excel. Learn more: https://go.microsoft.com/fwlink/?linkid=870924
Comment:
    95% con noi</t>
      </text>
    </comment>
    <comment ref="AQ20" authorId="47" shapeId="0" xr:uid="{9B0B74A1-F9E0-4604-BBDD-96F748573295}">
      <text>
        <t>[Threaded comment]
Your version of Excel allows you to read this threaded comment; however, any edits to it will get removed if the file is opened in a newer version of Excel. Learn more: https://go.microsoft.com/fwlink/?linkid=870924
Comment:
    2h visita medica</t>
      </text>
    </comment>
    <comment ref="AW20" authorId="48" shapeId="0" xr:uid="{4233F093-6B44-48B4-A390-7AAC8FFDC80B}">
      <text>
        <t>[Threaded comment]
Your version of Excel allows you to read this threaded comment; however, any edits to it will get removed if the file is opened in a newer version of Excel. Learn more: https://go.microsoft.com/fwlink/?linkid=870924
Comment:
    6,5h permesso</t>
      </text>
    </comment>
    <comment ref="AO21" authorId="49" shapeId="0" xr:uid="{B17B55BE-63C5-437B-B234-106B3EBC23F0}">
      <text>
        <t>[Threaded comment]
Your version of Excel allows you to read this threaded comment; however, any edits to it will get removed if the file is opened in a newer version of Excel. Learn more: https://go.microsoft.com/fwlink/?linkid=870924
Comment:
    12 e 13 ferie
Reply:
    50 1q, 100% 2q adeguare
Reply:
    2 gg di ferie 1q+ 100 dal secondo q</t>
      </text>
    </comment>
    <comment ref="C31" authorId="50" shapeId="0" xr:uid="{93B17C83-1E23-43C0-A507-AA4CFA1B7089}">
      <text>
        <t>[Threaded comment]
Your version of Excel allows you to read this threaded comment; however, any edits to it will get removed if the file is opened in a newer version of Excel. Learn more: https://go.microsoft.com/fwlink/?linkid=870924
Comment:
    Devono essere 14k</t>
      </text>
    </comment>
    <comment ref="B36" authorId="51" shapeId="0" xr:uid="{199264DE-B28A-4809-A119-A34C2ACAB8F9}">
      <text>
        <t>[Threaded comment]
Your version of Excel allows you to read this threaded comment; however, any edits to it will get removed if the file is opened in a newer version of Excel. Learn more: https://go.microsoft.com/fwlink/?linkid=870924
Comment:
    Zeta 390093,25 spalmati da maggio 25 a ottobre 27</t>
      </text>
    </comment>
    <comment ref="F37" authorId="52" shapeId="0" xr:uid="{74F1AD99-4527-4F70-B044-3170C50F09B8}">
      <text>
        <t>[Threaded comment]
Your version of Excel allows you to read this threaded comment; however, any edits to it will get removed if the file is opened in a newer version of Excel. Learn more: https://go.microsoft.com/fwlink/?linkid=870924
Comment:
    IT Continuity lug-sett</t>
      </text>
    </comment>
    <comment ref="H37" authorId="53" shapeId="0" xr:uid="{F275F00C-BFE1-4A86-AE68-3BC3EE7C391B}">
      <text>
        <t>[Threaded comment]
Your version of Excel allows you to read this threaded comment; however, any edits to it will get removed if the file is opened in a newer version of Excel. Learn more: https://go.microsoft.com/fwlink/?linkid=870924
Comment:
    IT Continuity lug-sett</t>
      </text>
    </comment>
    <comment ref="J37" authorId="54" shapeId="0" xr:uid="{49BC926D-EDD4-4471-A9D8-440852A04B30}">
      <text>
        <t>[Threaded comment]
Your version of Excel allows you to read this threaded comment; however, any edits to it will get removed if the file is opened in a newer version of Excel. Learn more: https://go.microsoft.com/fwlink/?linkid=870924
Comment:
    IT Continuity lug-sett</t>
      </text>
    </comment>
    <comment ref="L37" authorId="55" shapeId="0" xr:uid="{6938FC8F-5444-4DE4-9480-9D045B7FFF26}">
      <text>
        <t>[Threaded comment]
Your version of Excel allows you to read this threaded comment; however, any edits to it will get removed if the file is opened in a newer version of Excel. Learn more: https://go.microsoft.com/fwlink/?linkid=870924
Comment:
    19071,7 RSB capuani</t>
      </text>
    </comment>
    <comment ref="P37" authorId="56" shapeId="0" xr:uid="{AE22D27D-6207-4203-8286-14486D4A2BF6}">
      <text>
        <t>[Threaded comment]
Your version of Excel allows you to read this threaded comment; however, any edits to it will get removed if the file is opened in a newer version of Excel. Learn more: https://go.microsoft.com/fwlink/?linkid=870924
Comment:
    iam</t>
      </text>
    </comment>
    <comment ref="R37" authorId="57" shapeId="0" xr:uid="{7ECEE375-C8D4-4B30-A351-DF7325B6C350}">
      <text>
        <t>[Threaded comment]
Your version of Excel allows you to read this threaded comment; however, any edits to it will get removed if the file is opened in a newer version of Excel. Learn more: https://go.microsoft.com/fwlink/?linkid=870924
Comment:
    iam</t>
      </text>
    </comment>
    <comment ref="BB38" authorId="58" shapeId="0" xr:uid="{B2ACD695-AD2A-4C5A-9917-AB4CD19870D2}">
      <text>
        <t>[Threaded comment]
Your version of Excel allows you to read this threaded comment; however, any edits to it will get removed if the file is opened in a newer version of Excel. Learn more: https://go.microsoft.com/fwlink/?linkid=870924
Comment:
    Andiamo in continuità?</t>
      </text>
    </comment>
    <comment ref="BB56" authorId="59" shapeId="0" xr:uid="{8DF17CCE-86C9-4B9F-B0CF-80F734D0036B}">
      <text>
        <t>[Threaded comment]
Your version of Excel allows you to read this threaded comment; however, any edits to it will get removed if the file is opened in a newer version of Excel. Learn more: https://go.microsoft.com/fwlink/?linkid=870924
Comment:
    Decidere con alberto come spalmare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tc={EF74719A-F8B2-4BEA-858A-05A9995DF2C8}</author>
  </authors>
  <commentList>
    <comment ref="R24" authorId="0" shapeId="0" xr:uid="{EF74719A-F8B2-4BEA-858A-05A9995DF2C8}">
      <text>
        <t>[Threaded comment]
Your version of Excel allows you to read this threaded comment; however, any edits to it will get removed if the file is opened in a newer version of Excel. Learn more: https://go.microsoft.com/fwlink/?linkid=870924
Comment:
    3K in più per costi Audit SIAED</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Author</author>
    <author>tc={C16D80E2-7AF3-4609-8B6E-F0E06634D246}</author>
    <author>tc={5B631918-C074-4A71-A54D-4191D6A5E296}</author>
    <author>tc={471ACEA3-92F4-403B-A275-17C3D0E82EF5}</author>
    <author>tc={E6698601-C979-4248-9B7F-02ECC6742693}</author>
    <author>tc={B3CBE66F-133F-4AAD-BF8D-94C0558C9A39}</author>
  </authors>
  <commentList>
    <comment ref="I22" authorId="0" shapeId="0" xr:uid="{314A55FC-BCD1-4F0B-9EA3-94B311534246}">
      <text>
        <r>
          <rPr>
            <b/>
            <sz val="9"/>
            <color indexed="81"/>
            <rFont val="Tahoma"/>
            <family val="2"/>
          </rPr>
          <t>Author:</t>
        </r>
        <r>
          <rPr>
            <sz val="9"/>
            <color indexed="81"/>
            <rFont val="Tahoma"/>
            <family val="2"/>
          </rPr>
          <t xml:space="preserve">
azin 8h
</t>
        </r>
      </text>
    </comment>
    <comment ref="O22" authorId="1" shapeId="0" xr:uid="{C16D80E2-7AF3-4609-8B6E-F0E06634D246}">
      <text>
        <t>[Threaded comment]
Your version of Excel allows you to read this threaded comment; however, any edits to it will get removed if the file is opened in a newer version of Excel. Learn more: https://go.microsoft.com/fwlink/?linkid=870924
Comment:
    33k fusco microseg +9k tommasina antifrode</t>
      </text>
    </comment>
    <comment ref="P22" authorId="2" shapeId="0" xr:uid="{5B631918-C074-4A71-A54D-4191D6A5E296}">
      <text>
        <t>[Threaded comment]
Your version of Excel allows you to read this threaded comment; however, any edits to it will get removed if the file is opened in a newer version of Excel. Learn more: https://go.microsoft.com/fwlink/?linkid=870924
Comment:
    9k tommasina</t>
      </text>
    </comment>
    <comment ref="Q22" authorId="3" shapeId="0" xr:uid="{471ACEA3-92F4-403B-A275-17C3D0E82EF5}">
      <text>
        <t>[Threaded comment]
Your version of Excel allows you to read this threaded comment; however, any edits to it will get removed if the file is opened in a newer version of Excel. Learn more: https://go.microsoft.com/fwlink/?linkid=870924
Comment:
    10k ugc</t>
      </text>
    </comment>
    <comment ref="R22" authorId="4" shapeId="0" xr:uid="{E6698601-C979-4248-9B7F-02ECC6742693}">
      <text>
        <t>[Threaded comment]
Your version of Excel allows you to read this threaded comment; however, any edits to it will get removed if the file is opened in a newer version of Excel. Learn more: https://go.microsoft.com/fwlink/?linkid=870924
Comment:
    Unicredit + antifrode + formazione</t>
      </text>
    </comment>
    <comment ref="S22" authorId="5" shapeId="0" xr:uid="{B3CBE66F-133F-4AAD-BF8D-94C0558C9A39}">
      <text>
        <t>[Threaded comment]
Your version of Excel allows you to read this threaded comment; however, any edits to it will get removed if the file is opened in a newer version of Excel. Learn more: https://go.microsoft.com/fwlink/?linkid=870924
Comment:
    Antifrode + formazione + 2k carlomagno</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tc={30CF06C0-7F37-46DB-A3DB-3EBE8D984351}</author>
    <author>tc={54A8FCBA-45F3-4BA3-9A5D-5976E1C2F43E}</author>
    <author>tc={F6CE2A40-1110-4B0C-A159-B56198DB58EF}</author>
  </authors>
  <commentList>
    <comment ref="H22" authorId="0" shapeId="0" xr:uid="{30CF06C0-7F37-46DB-A3DB-3EBE8D984351}">
      <text>
        <t>[Threaded comment]
Your version of Excel allows you to read this threaded comment; however, any edits to it will get removed if the file is opened in a newer version of Excel. Learn more: https://go.microsoft.com/fwlink/?linkid=870924
Comment:
    Buonocore+recupero unicredit</t>
      </text>
    </comment>
    <comment ref="Q22" authorId="1" shapeId="0" xr:uid="{54A8FCBA-45F3-4BA3-9A5D-5976E1C2F43E}">
      <text>
        <t>[Threaded comment]
Your version of Excel allows you to read this threaded comment; however, any edits to it will get removed if the file is opened in a newer version of Excel. Learn more: https://go.microsoft.com/fwlink/?linkid=870924
Comment:
    28k fusco</t>
      </text>
    </comment>
    <comment ref="R22" authorId="2" shapeId="0" xr:uid="{F6CE2A40-1110-4B0C-A159-B56198DB58EF}">
      <text>
        <t>[Threaded comment]
Your version of Excel allows you to read this threaded comment; however, any edits to it will get removed if the file is opened in a newer version of Excel. Learn more: https://go.microsoft.com/fwlink/?linkid=870924
Comment:
    Fusco</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tc={3265A483-CB61-4A81-B117-A64586B0BCD9}</author>
    <author>tc={B524D5A6-F848-48B4-AD6F-992E1BF385E8}</author>
    <author>tc={EF6762A6-1D2D-400B-93B9-A44A0AC8F649}</author>
    <author>tc={7DDC571B-7FAC-41BF-9ABF-FA38E5D6BFE1}</author>
    <author>tc={4B242089-CA91-4ADF-A8BB-B73D0445AF51}</author>
  </authors>
  <commentList>
    <comment ref="AN13" authorId="0" shapeId="0" xr:uid="{3265A483-CB61-4A81-B117-A64586B0BCD9}">
      <text>
        <t>[Threaded comment]
Your version of Excel allows you to read this threaded comment; however, any edits to it will get removed if the file is opened in a newer version of Excel. Learn more: https://go.microsoft.com/fwlink/?linkid=870924
Comment:
    125,83 capital charge</t>
      </text>
    </comment>
    <comment ref="AO13" authorId="1" shapeId="0" xr:uid="{B524D5A6-F848-48B4-AD6F-992E1BF385E8}">
      <text>
        <t>[Threaded comment]
Your version of Excel allows you to read this threaded comment; however, any edits to it will get removed if the file is opened in a newer version of Excel. Learn more: https://go.microsoft.com/fwlink/?linkid=870924
Comment:
    0,22  capital charge</t>
      </text>
    </comment>
    <comment ref="AN20" authorId="2" shapeId="0" xr:uid="{EF6762A6-1D2D-400B-93B9-A44A0AC8F649}">
      <text>
        <t>[Threaded comment]
Your version of Excel allows you to read this threaded comment; however, any edits to it will get removed if the file is opened in a newer version of Excel. Learn more: https://go.microsoft.com/fwlink/?linkid=870924
Comment:
    2302,31 capital charge</t>
      </text>
    </comment>
    <comment ref="AO20" authorId="3" shapeId="0" xr:uid="{7DDC571B-7FAC-41BF-9ABF-FA38E5D6BFE1}">
      <text>
        <t>[Threaded comment]
Your version of Excel allows you to read this threaded comment; however, any edits to it will get removed if the file is opened in a newer version of Excel. Learn more: https://go.microsoft.com/fwlink/?linkid=870924
Comment:
    1256,17  capital charge</t>
      </text>
    </comment>
    <comment ref="R24" authorId="4" shapeId="0" xr:uid="{4B242089-CA91-4ADF-A8BB-B73D0445AF51}">
      <text>
        <t>[Threaded comment]
Your version of Excel allows you to read this threaded comment; however, any edits to it will get removed if the file is opened in a newer version of Excel. Learn more: https://go.microsoft.com/fwlink/?linkid=870924
Comment:
    3K in più per costi Audit SIAED</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tc={60557B8B-6C70-4036-B378-602AE0FF559C}</author>
    <author>tc={06634281-2D19-401D-A045-114ED548E57F}</author>
    <author>tc={21AFC0D2-BBE8-4B55-B30C-76A2722AAEA0}</author>
    <author>tc={FE7DEDF7-04D9-4F50-9C7A-00E308AFDCCD}</author>
    <author>tc={A96B8935-58B4-4A7D-A0DE-DFEBBCF1DA25}</author>
    <author>tc={DEC3E804-7EBE-4DC5-B573-F8598A1EE92E}</author>
    <author>tc={F2345EE5-23BE-47FC-9360-CE7C2A90CF9E}</author>
  </authors>
  <commentList>
    <comment ref="AM13" authorId="0" shapeId="0" xr:uid="{60557B8B-6C70-4036-B378-602AE0FF559C}">
      <text>
        <t>[Threaded comment]
Your version of Excel allows you to read this threaded comment; however, any edits to it will get removed if the file is opened in a newer version of Excel. Learn more: https://go.microsoft.com/fwlink/?linkid=870924
Comment:
    2170,97 capital charge</t>
      </text>
    </comment>
    <comment ref="AN13" authorId="1" shapeId="0" xr:uid="{06634281-2D19-401D-A045-114ED548E57F}">
      <text>
        <t>[Threaded comment]
Your version of Excel allows you to read this threaded comment; however, any edits to it will get removed if the file is opened in a newer version of Excel. Learn more: https://go.microsoft.com/fwlink/?linkid=870924
Comment:
    125,83 capital charge</t>
      </text>
    </comment>
    <comment ref="AO13" authorId="2" shapeId="0" xr:uid="{21AFC0D2-BBE8-4B55-B30C-76A2722AAEA0}">
      <text>
        <t>[Threaded comment]
Your version of Excel allows you to read this threaded comment; however, any edits to it will get removed if the file is opened in a newer version of Excel. Learn more: https://go.microsoft.com/fwlink/?linkid=870924
Comment:
    0,22  capital charge</t>
      </text>
    </comment>
    <comment ref="AM20" authorId="3" shapeId="0" xr:uid="{FE7DEDF7-04D9-4F50-9C7A-00E308AFDCCD}">
      <text>
        <t>[Threaded comment]
Your version of Excel allows you to read this threaded comment; however, any edits to it will get removed if the file is opened in a newer version of Excel. Learn more: https://go.microsoft.com/fwlink/?linkid=870924
Comment:
     capital charge 4165,55</t>
      </text>
    </comment>
    <comment ref="AN20" authorId="4" shapeId="0" xr:uid="{A96B8935-58B4-4A7D-A0DE-DFEBBCF1DA25}">
      <text>
        <t>[Threaded comment]
Your version of Excel allows you to read this threaded comment; however, any edits to it will get removed if the file is opened in a newer version of Excel. Learn more: https://go.microsoft.com/fwlink/?linkid=870924
Comment:
    2302,31 capital charge</t>
      </text>
    </comment>
    <comment ref="AO20" authorId="5" shapeId="0" xr:uid="{DEC3E804-7EBE-4DC5-B573-F8598A1EE92E}">
      <text>
        <t>[Threaded comment]
Your version of Excel allows you to read this threaded comment; however, any edits to it will get removed if the file is opened in a newer version of Excel. Learn more: https://go.microsoft.com/fwlink/?linkid=870924
Comment:
    1256,17  capital charge</t>
      </text>
    </comment>
    <comment ref="R24" authorId="6" shapeId="0" xr:uid="{F2345EE5-23BE-47FC-9360-CE7C2A90CF9E}">
      <text>
        <t>[Threaded comment]
Your version of Excel allows you to read this threaded comment; however, any edits to it will get removed if the file is opened in a newer version of Excel. Learn more: https://go.microsoft.com/fwlink/?linkid=870924
Comment:
    3K in più per costi Audit SIAED</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<sst xmlns="http://schemas.openxmlformats.org/spreadsheetml/2006/main" count="2110" uniqueCount="796">
  <si>
    <t>Q1</t>
  </si>
  <si>
    <t>Q2</t>
  </si>
  <si>
    <t>Q3</t>
  </si>
  <si>
    <t>Q4</t>
  </si>
  <si>
    <t>Totals</t>
  </si>
  <si>
    <t>Amount</t>
  </si>
  <si>
    <t>Revenues</t>
  </si>
  <si>
    <t>Client</t>
  </si>
  <si>
    <t>SG</t>
  </si>
  <si>
    <t>WBS</t>
  </si>
  <si>
    <t>Note</t>
  </si>
  <si>
    <t>Delta</t>
  </si>
  <si>
    <t>Description</t>
  </si>
  <si>
    <t>Cost Type</t>
  </si>
  <si>
    <t>IMS</t>
  </si>
  <si>
    <t>Cliente</t>
  </si>
  <si>
    <t>Opp</t>
  </si>
  <si>
    <t>OppID</t>
  </si>
  <si>
    <t>Totale</t>
  </si>
  <si>
    <t>Consumato</t>
  </si>
  <si>
    <t>Axb</t>
  </si>
  <si>
    <t>BetaCredit</t>
  </si>
  <si>
    <t>Contract</t>
  </si>
  <si>
    <t>BMM6S001</t>
  </si>
  <si>
    <t>Project</t>
  </si>
  <si>
    <t>CHG Accenture Italia</t>
  </si>
  <si>
    <t>8871789615</t>
  </si>
  <si>
    <t>BU6O0001</t>
  </si>
  <si>
    <t>Before Gen 2024</t>
  </si>
  <si>
    <t>Before 2024</t>
  </si>
  <si>
    <t>Costs</t>
  </si>
  <si>
    <t>Actual Revenues</t>
  </si>
  <si>
    <t>Forecast Revenues</t>
  </si>
  <si>
    <t>Forecast Costs</t>
  </si>
  <si>
    <t>Forecast CCI %</t>
  </si>
  <si>
    <t>Actual CCI%</t>
  </si>
  <si>
    <t>Actual Cost</t>
  </si>
  <si>
    <t>Delta Cost</t>
  </si>
  <si>
    <t>BQ6JR001</t>
  </si>
  <si>
    <t>Available</t>
  </si>
  <si>
    <t>WBS BD</t>
  </si>
  <si>
    <t>Resource</t>
  </si>
  <si>
    <t>LP</t>
  </si>
  <si>
    <t>cost per month</t>
  </si>
  <si>
    <t>Spese &amp; Costi on Top</t>
  </si>
  <si>
    <t>Gamma</t>
  </si>
  <si>
    <t>WBS L1</t>
  </si>
  <si>
    <t>WBS L2</t>
  </si>
  <si>
    <t>BYDIG001</t>
  </si>
  <si>
    <t>COBMV001</t>
  </si>
  <si>
    <t>Supporto Studio Siteminder</t>
  </si>
  <si>
    <t>1761468578</t>
  </si>
  <si>
    <t>3765539974</t>
  </si>
  <si>
    <t>Onboarding Fuori IAM_ Supporto RSB Fase1</t>
  </si>
  <si>
    <t>Beta-Supporto IT Sec Gov 2023 Fase 3</t>
  </si>
  <si>
    <t>1245510568</t>
  </si>
  <si>
    <t>CJ66H001</t>
  </si>
  <si>
    <t>Caricato PDC + Fabio Colombo a Gennaio 2024</t>
  </si>
  <si>
    <t>COL29001</t>
  </si>
  <si>
    <t>Beta-Supporto IT Sec Gov 2024 Fase 1</t>
  </si>
  <si>
    <t>0948625791</t>
  </si>
  <si>
    <t>CVH18001</t>
  </si>
  <si>
    <t>0218906001</t>
  </si>
  <si>
    <t>IT Continuity e BCM 2024</t>
  </si>
  <si>
    <t>CO840001</t>
  </si>
  <si>
    <t>Beta-Supporto IT Sec Gov 2023 Fase 2</t>
  </si>
  <si>
    <t>8874098591</t>
  </si>
  <si>
    <t>Supporto studio siteminder</t>
  </si>
  <si>
    <t>antonio.martini</t>
  </si>
  <si>
    <t>laura.russo</t>
  </si>
  <si>
    <t>tommaso.barbieri</t>
  </si>
  <si>
    <t>Martina Romano</t>
  </si>
  <si>
    <t>Delta - Supporto Security Comitato Rischi</t>
  </si>
  <si>
    <t>B7TEM001</t>
  </si>
  <si>
    <t>Grand Total</t>
  </si>
  <si>
    <t>Sum of Revenues</t>
  </si>
  <si>
    <t>Billed</t>
  </si>
  <si>
    <t>To be billed</t>
  </si>
  <si>
    <t>ODA ID</t>
  </si>
  <si>
    <t>Luca Greco</t>
  </si>
  <si>
    <t>Opp ID MMS</t>
  </si>
  <si>
    <t>1521397896</t>
  </si>
  <si>
    <t>Onboarding Fuori IAM</t>
  </si>
  <si>
    <t>Supporto RSB - Riportafogliazione Commerciale 2024</t>
  </si>
  <si>
    <t>56574 - 10000247730</t>
  </si>
  <si>
    <t>4548777663</t>
  </si>
  <si>
    <t>55006 - 10000251107</t>
  </si>
  <si>
    <t>ORF / 642 / 2023
ORF / 634 / 2023
ORF Proposta ACCENTURE Offerta firmata per accettazione
636_2023
ORF Proposta Accenture_SCTASK1888833
680_2023
ORF Proposta ACCENTURE SCTASK1888832</t>
  </si>
  <si>
    <t>ORF/435/2023
ORF/436/2023
ORF/536/2023
ORF/482/2023
ORF/467/2023
ORF/545/2023
ORF/540/2023
ORF / 572 / 2023
ORF / 568 / 2024</t>
  </si>
  <si>
    <t>4659527761</t>
  </si>
  <si>
    <t>56224 - 10000246907</t>
  </si>
  <si>
    <t>Estensione supporto MFA IBM e Access Log</t>
  </si>
  <si>
    <t>Remediation Fornitori Prod Sec</t>
  </si>
  <si>
    <t xml:space="preserve">0740771984 </t>
  </si>
  <si>
    <t>53371 - 10000244430</t>
  </si>
  <si>
    <t>4042480119</t>
  </si>
  <si>
    <t>0627619269</t>
  </si>
  <si>
    <t>54978 - 10000245044</t>
  </si>
  <si>
    <t>elena.leone</t>
  </si>
  <si>
    <t>LC</t>
  </si>
  <si>
    <t>Beta</t>
  </si>
  <si>
    <t>Beta</t>
  </si>
  <si>
    <t>UC</t>
  </si>
  <si>
    <t>caricato Fabio Colombo</t>
  </si>
  <si>
    <t>- Raccolta Seat Charge Assag e Contribuzione SeCAL
- Schinoppi e Soluri</t>
  </si>
  <si>
    <t>2Q Genn BD Schinoppi Lotito 
1Q Febb 400 euro Colombo
1Q Feb PDC
1Q feb 12 Schinoppi
2Q feb Schinoppi e Ligori
2Q Feb Colombo</t>
  </si>
  <si>
    <t>Beta-Supporto IT Sec Gov 2024 Fase 2</t>
  </si>
  <si>
    <t>5397945729</t>
  </si>
  <si>
    <t>C1YSW001</t>
  </si>
  <si>
    <t>giulia.caruso</t>
  </si>
  <si>
    <t>Supporto RSB Fase 2</t>
  </si>
  <si>
    <t>8351313876</t>
  </si>
  <si>
    <t>Carichi Colombo e PDC</t>
  </si>
  <si>
    <t>CJF7I001</t>
  </si>
  <si>
    <t>PMO Governance Production Security_2024</t>
  </si>
  <si>
    <t>4347339552</t>
  </si>
  <si>
    <t>CYYHU001</t>
  </si>
  <si>
    <t>Data Securization for extra EU</t>
  </si>
  <si>
    <t>9608413000</t>
  </si>
  <si>
    <t>CZ7WU001</t>
  </si>
  <si>
    <t>1Q Aprile Colombo (285*0,2)
1000 euro Marvardi</t>
  </si>
  <si>
    <t>Supporto RSB alle abilitazioni DPAC</t>
  </si>
  <si>
    <t>3614117253</t>
  </si>
  <si>
    <t xml:space="preserve"> </t>
  </si>
  <si>
    <t>C0RKG001</t>
  </si>
  <si>
    <t>CCQBK001</t>
  </si>
  <si>
    <t>IT Continuity Critical Asset Recovery</t>
  </si>
  <si>
    <t>DORA &amp; Cyber Risk Program</t>
  </si>
  <si>
    <t>2745830268</t>
  </si>
  <si>
    <t>6789519731</t>
  </si>
  <si>
    <t>CZJR2001</t>
  </si>
  <si>
    <t>Supporto IT Sec Gov 2024 Fase 4</t>
  </si>
  <si>
    <t>5200683467</t>
  </si>
  <si>
    <t>CJATQ001</t>
  </si>
  <si>
    <t>trasferta davide luglio: 900
Spese team: 390 luglio 1q (7 diarie)</t>
  </si>
  <si>
    <t>Beta-Supporto IT Sec Gov 2024 Fase 3</t>
  </si>
  <si>
    <t>5383612719</t>
  </si>
  <si>
    <t>Vedi file Lista Proposte in Axb Security - General\Projects\BetaCredit\PM Tecnico_Supporto Sec Governance</t>
  </si>
  <si>
    <t>spese trasferta Lopez/Lotito per 02/05 (Lopez 1Q 418 2Q 500 euro)
1Q Maggio 140,52 euro Pagliardi
2Q Maggio 140,52 euro Pagliardi
Lotito 1Q Giugno 8 diarie 696 euro (87*8)
Senatra complessivo Giugno 1200
Lopez 1Q Giugno 179  euro AR Milano
Ambrosi: 549,7 euro
Marvardi complessivo Giugno 2811 euro
Lopez Madrid: 1800
Cesarano: 160
Lotito: 1 diaria luglio 1q
Raudino: 336 euro diarie giugno</t>
  </si>
  <si>
    <t>Recupero da UC su FY25 di 6200€</t>
  </si>
  <si>
    <t>CYBER DEFENSE - Validazione Zeta</t>
  </si>
  <si>
    <t>0129625673</t>
  </si>
  <si>
    <t>luca.rossi</t>
  </si>
  <si>
    <t>andrea.caruso</t>
  </si>
  <si>
    <t>Sigma</t>
  </si>
  <si>
    <t>CHVCN001</t>
  </si>
  <si>
    <r>
      <rPr>
        <sz val="11"/>
        <rFont val="Calibri"/>
        <family val="2"/>
        <scheme val="minor"/>
      </rPr>
      <t>1Q Luglio Ambrosi: 311,8 € + 228</t>
    </r>
    <r>
      <rPr>
        <sz val="11"/>
        <color theme="1"/>
        <rFont val="Calibri"/>
        <family val="2"/>
        <scheme val="minor"/>
      </rPr>
      <t xml:space="preserve">
1Q Luglio Raudino: 1366,94 €
Marvardi Luglio/Agosto: 13346 (già inseriti nel calcolo)+440
Lopez Milano Luglio 2Q 2 trasferte (consolidato): 1722
Lotito Milano: Luglio/Sett 2Q 2044
Schinoppi: Luglio/Ago/Sett 2Q 976+670
Trasferta Ambrosi 1Q 1553,6 + 2Q 900
Buonocore Settembre: 442 
Tasferta Raudino Settembre: 1902
Tasferta Bettacchi Settembre: 978
Trasferta Ciuna Settembre: 135,80
Trasferta Cesarano Settembre: 118,80
Trasferta Cesarano Ottobre: 400 €
Trasferta Ambrosi Ottobre: 1070€</t>
    </r>
  </si>
  <si>
    <t>Task Force IAM Pantheon/Delta e HQRE</t>
  </si>
  <si>
    <t>CRVVJ001</t>
  </si>
  <si>
    <t>6184053863</t>
  </si>
  <si>
    <t>CPTPN001</t>
  </si>
  <si>
    <t>Supporto IT Sec Gov 2024 Fase 5</t>
  </si>
  <si>
    <t>CTW3001</t>
  </si>
  <si>
    <t>IT Continuity e AIA - II semestre 2024</t>
  </si>
  <si>
    <t>Beta-Supporto IT Sec Gov 2024 Fase 4</t>
  </si>
  <si>
    <t>Beta-Supporto IT Sec Gov 2024 Fase 5</t>
  </si>
  <si>
    <t>7096827756</t>
  </si>
  <si>
    <t>BetaCredit-Assessment terze parti 2024</t>
  </si>
  <si>
    <t>6712788755</t>
  </si>
  <si>
    <t>6341738945</t>
  </si>
  <si>
    <t>5465621059</t>
  </si>
  <si>
    <t>58725 - 10000260908</t>
  </si>
  <si>
    <t>59063 - 10000263196</t>
  </si>
  <si>
    <t>9302502377</t>
  </si>
  <si>
    <t>Supporto RSB Fase2</t>
  </si>
  <si>
    <t>8876031743</t>
  </si>
  <si>
    <t>57745 - 10000254848</t>
  </si>
  <si>
    <t xml:space="preserve">8351313876 </t>
  </si>
  <si>
    <t>ORF 490_24</t>
  </si>
  <si>
    <t>94189274</t>
  </si>
  <si>
    <t>Trasferte Cesarano ottobre: 150
altre spese trasferta ottobre: 950</t>
  </si>
  <si>
    <t>FUSCO</t>
  </si>
  <si>
    <t>Pietro Conti</t>
  </si>
  <si>
    <t>58329 - 10000266931</t>
  </si>
  <si>
    <t>Beta-Supporto IT Sec Gov 2024 Fase 6</t>
  </si>
  <si>
    <t>CBXR2001</t>
  </si>
  <si>
    <t>Supporto IT Sec Gov 2024 Fase 6</t>
  </si>
  <si>
    <t>silvia.romano</t>
  </si>
  <si>
    <t>Ref Name</t>
  </si>
  <si>
    <t>Piano Fatturazione Concordato</t>
  </si>
  <si>
    <t>FY25</t>
  </si>
  <si>
    <t>giu</t>
  </si>
  <si>
    <t>ago</t>
  </si>
  <si>
    <t>sett</t>
  </si>
  <si>
    <t>otto</t>
  </si>
  <si>
    <t>nov</t>
  </si>
  <si>
    <t>dic</t>
  </si>
  <si>
    <t>gen</t>
  </si>
  <si>
    <t>feb</t>
  </si>
  <si>
    <t>mar</t>
  </si>
  <si>
    <t>apr</t>
  </si>
  <si>
    <t>mag</t>
  </si>
  <si>
    <t>lug</t>
  </si>
  <si>
    <t>set</t>
  </si>
  <si>
    <t>ott</t>
  </si>
  <si>
    <t>%Charg</t>
  </si>
  <si>
    <t>costo €</t>
  </si>
  <si>
    <t>SUM costi</t>
  </si>
  <si>
    <t>Spazio costi già presente</t>
  </si>
  <si>
    <t>SpazioCosti Tot</t>
  </si>
  <si>
    <t>WBS Beta</t>
  </si>
  <si>
    <t>WBS Axb</t>
  </si>
  <si>
    <t>Booking in corso</t>
  </si>
  <si>
    <t>Rev</t>
  </si>
  <si>
    <t>SpazioCosti</t>
  </si>
  <si>
    <t>Siteminder PM Tecnico</t>
  </si>
  <si>
    <t>Opp in attesa di conferma OdA</t>
  </si>
  <si>
    <t>SUM spazio costi</t>
  </si>
  <si>
    <t>Nicola Rinaldi</t>
  </si>
  <si>
    <t>Laura Rossi</t>
  </si>
  <si>
    <t>Edith Squillace/Alessandro Russo</t>
  </si>
  <si>
    <t>DR Test</t>
  </si>
  <si>
    <t>IT Continuity</t>
  </si>
  <si>
    <t>Pietro Bianchi</t>
  </si>
  <si>
    <t>Cristina Colombo</t>
  </si>
  <si>
    <t>IAM for the Whole Bank</t>
  </si>
  <si>
    <t>C2910001</t>
  </si>
  <si>
    <t>CHPTT001</t>
  </si>
  <si>
    <t xml:space="preserve">4723518337 </t>
  </si>
  <si>
    <t>3254786820</t>
  </si>
  <si>
    <t>Valentina Bianchi</t>
  </si>
  <si>
    <t>Fatturazione 100% a nov 24, con data pagamento 12/24</t>
  </si>
  <si>
    <t>Supporto RSB - Estensione 2024</t>
  </si>
  <si>
    <t>59495 - 10000266288</t>
  </si>
  <si>
    <t>6388090253</t>
  </si>
  <si>
    <t>4723518337</t>
  </si>
  <si>
    <t>5584155952</t>
  </si>
  <si>
    <t>59963 - 10000267839</t>
  </si>
  <si>
    <t xml:space="preserve">3254786820 </t>
  </si>
  <si>
    <t>IT Continuity Support</t>
  </si>
  <si>
    <t>5140278709</t>
  </si>
  <si>
    <t>PDS Status</t>
  </si>
  <si>
    <t>Axb Contract (CCP)</t>
  </si>
  <si>
    <t>Stato ACN Tool</t>
  </si>
  <si>
    <t xml:space="preserve">5073225446 </t>
  </si>
  <si>
    <t>5811472676</t>
  </si>
  <si>
    <t>Inviata</t>
  </si>
  <si>
    <t>Done</t>
  </si>
  <si>
    <t>FUSCO-BELS300J</t>
  </si>
  <si>
    <t>ITDME India</t>
  </si>
  <si>
    <t>Serena Barbieri</t>
  </si>
  <si>
    <t>4349010730</t>
  </si>
  <si>
    <t>58822 - 10000261224</t>
  </si>
  <si>
    <t>4500359409
4500353294</t>
  </si>
  <si>
    <t>56833 - 0000258426
56580</t>
  </si>
  <si>
    <t>Fatturazione 100% entro il 5/12, con data pagamento 12/24</t>
  </si>
  <si>
    <t>59847 - 10000268094</t>
  </si>
  <si>
    <t>59865 - 10000267837</t>
  </si>
  <si>
    <t>FY26</t>
  </si>
  <si>
    <t>5073225446</t>
  </si>
  <si>
    <t>CJY99001</t>
  </si>
  <si>
    <t>8847590668</t>
  </si>
  <si>
    <t xml:space="preserve">Avanzamento SoW ad oggi al 100%, fatturazione concordata con Antonella </t>
  </si>
  <si>
    <t>Fndomestic</t>
  </si>
  <si>
    <t xml:space="preserve">Expenses Dec 174+194
</t>
  </si>
  <si>
    <t>federica.greco</t>
  </si>
  <si>
    <t>laura.conti</t>
  </si>
  <si>
    <t xml:space="preserve">Anelli: 282,40 dicembre 2q
PDC: 139,83 - 0,1h febbario 1q
De Carlini: 20,37 - 1h - dicembre 1q
Ambrosi: 280 -1q novembre
CIO 43,29
</t>
  </si>
  <si>
    <t>Beta-Supporto IT Sec Gov 2024 Fase 7</t>
  </si>
  <si>
    <t>fatturato</t>
  </si>
  <si>
    <t>6793687302</t>
  </si>
  <si>
    <t>1849040922</t>
  </si>
  <si>
    <t>4297388727</t>
  </si>
  <si>
    <t>Trasferta Cesarano: 150 novembre 2q
Trasferta Raudino: 904  novembre 2q
Trasferta Ambrosi: 657,6 novembre 2q
Trasferta Raudino: 343,84 dicembre
Trasferta Cesarano 130 dicembre 1q
Lotito: 700</t>
  </si>
  <si>
    <t>Trasferta Lopez: 450 settembre
Verga: 126,98 ottobre
Spanò: 79,10 ottobre
Trasferta Ambrosi: 533 ottobre
Trasferta Raudino: 616 ottobre
Trasferta Lotito: 250 ottobre
Trasferta recupero spese ottobre: 918
Trasferta Ambrosi: 553 novembre 1q
Trasferta Cesarano: 400 novembre 1q
Trasferta Mele: 77,80 novembre
Trasferta Orlando: 77,80 novembre
Trasferta Valitutto: 84,30 novembre 2q
Trasferta Di Napoli: 84,30 novembre 2q
PDC: 139,83 novembre
Paolo Colombo 12h: 3737,52 dicembre 1q
Paolo Colombo 8h: 2.491,68 dicembre 2q
Colombo: 1000 dicembre
Lopez FY24 Tele: 720
Marvardi gennaio: 1091,23
Lopez Gennaio 25: 1400
Alberto CIO: 400</t>
  </si>
  <si>
    <t>anna.barbieri</t>
  </si>
  <si>
    <t>serena.rizzo</t>
  </si>
  <si>
    <t>Zeta</t>
  </si>
  <si>
    <t>pagamento</t>
  </si>
  <si>
    <t>pagata</t>
  </si>
  <si>
    <t>Beta-Supporto IT Sec Gov 2024 Fase 8</t>
  </si>
  <si>
    <t>Ambrosi 156 dicembre 2q
Cesarano 350 gennaio 1q
Ambrosi 756.6 gennaio 1q
PDC: 139,83 - 0,1h gennaio 2q 
Raudino: 1380 gennaio+188,16
Albertan 126,39 gennaio (1,5)
Cesarano: 300 febbraio
Pappalardo: 117,8 febbraio
Ambrosi: 168 febbraio 2q</t>
  </si>
  <si>
    <t>Tommaso Rizzo</t>
  </si>
  <si>
    <t>fatturazione in corso (rif file master Morante)</t>
  </si>
  <si>
    <t>Supporto IT Sec Gov 2024 Fase 8</t>
  </si>
  <si>
    <t>fatturata</t>
  </si>
  <si>
    <t>MMS</t>
  </si>
  <si>
    <t>DR Test 2025 – extra effort Governance</t>
  </si>
  <si>
    <t>DR Test Governance Support 2025 (DMZR, ICP etc)</t>
  </si>
  <si>
    <t>IAM for the whole Bank - Estensione</t>
  </si>
  <si>
    <t>ISPL Access Monitoring Support</t>
  </si>
  <si>
    <t>CK5WC001</t>
  </si>
  <si>
    <t>chiara.martini</t>
  </si>
  <si>
    <t>BetaCredit - Cyber Secuirty Assessment - fase 1</t>
  </si>
  <si>
    <t>ORF 195_25</t>
  </si>
  <si>
    <t>gabriele.martini</t>
  </si>
  <si>
    <t>sara.fontana</t>
  </si>
  <si>
    <t>Da Fatturare</t>
  </si>
  <si>
    <t>4856454707</t>
  </si>
  <si>
    <t>C4Y4E001</t>
  </si>
  <si>
    <t>0242013081</t>
  </si>
  <si>
    <t>noemi.longo</t>
  </si>
  <si>
    <t>giorgio.conti</t>
  </si>
  <si>
    <t>Numero fattura</t>
  </si>
  <si>
    <t>Kappa</t>
  </si>
  <si>
    <t>Loukas: 609 7h dicembre
Lotito: 348 gennaio
Lotito: 1561,50 gennaio 2q
Lopez: 1537,9 2q feb
Ambrosi: 607,70 febbraio 21
Raudino: 1626 feb + 560 Marzo 1q
Cesarano: 300 febbraio 2q
Lotito: 1081,20 febbraio 1q
Marvardi: 1161,4 febbraio
Pappalardo: febbraio 2q 143,9
Lopez marzo: 1266,8 + 204
Ambrosi marzo DR: 2695,86
Giordano marzo DR: 1049,60
Cesarano: 500 marzo 2q
Pappalardo: 138 marzo 2q
Senatra 1200 Aprile SNOW
Raudino: 280 marzo 2q
Lopez Audit Aprile: 2632 TBC
Ambrosi: 540 aprile 1q
PDC: aprile 1q 139,83 
Lopez: 400 aprile
Rec: 2618
Raudino: 560 aprile
cesarano: 600 aprile 1q
manfrè: 651,42 aprile 1q
pappalardo: 176 aprile 1q
Saracino: 1092,60 aprile traferta audit
CA aprile lopez: 434</t>
  </si>
  <si>
    <t>CPARB001
STOP UTILIZZO</t>
  </si>
  <si>
    <t>Cesarano: 409 1q marzo
Buonocore &amp; Ruggiero Trasferta: 205,6 1q marzo
Ambrosi: 203,1 marzo 1q
Lopez taxi 28</t>
  </si>
  <si>
    <t>Antonio Leva/Laura Rossi/Luca Labellarte</t>
  </si>
  <si>
    <t>BetaCredit - Cyber Security Assessment - fase 1</t>
  </si>
  <si>
    <t>MMS Status</t>
  </si>
  <si>
    <t>CloseWon</t>
  </si>
  <si>
    <t>BetaCredit - Cyber Security Assessment fase 3</t>
  </si>
  <si>
    <t>fatturazione maggio: 77.591,97 (3 mesi feb-apr)
fatturazione giugno: 51.727,98 (2 mesi mag-giu)
fatturazione luglio: 25.863,99 (1 mese lug)</t>
  </si>
  <si>
    <t>1</t>
  </si>
  <si>
    <t>5135348013</t>
  </si>
  <si>
    <t>Integrazione Sap BO</t>
  </si>
  <si>
    <t>5499944896</t>
  </si>
  <si>
    <t>4180104239</t>
  </si>
  <si>
    <t>ORF 321_25</t>
  </si>
  <si>
    <t>BetaCredit - Cyber Security Assessment - fase 2</t>
  </si>
  <si>
    <t>BetaCredit - Cyber Security Assessment - fase 3</t>
  </si>
  <si>
    <t>recupero Kappa /buonocore</t>
  </si>
  <si>
    <t>Refactoring fase 1</t>
  </si>
  <si>
    <t>CRTND001</t>
  </si>
  <si>
    <t>CPDQ1001</t>
  </si>
  <si>
    <t>3045480557</t>
  </si>
  <si>
    <t>CJCWP001</t>
  </si>
  <si>
    <t>riccardo.moretti</t>
  </si>
  <si>
    <t>52976</t>
  </si>
  <si>
    <t>Siteminder OSR (2fte CL10)</t>
  </si>
  <si>
    <t>2827529138</t>
  </si>
  <si>
    <t>4256619481</t>
  </si>
  <si>
    <t>BetaCredit - Application Security fase 1</t>
  </si>
  <si>
    <t>4891161326</t>
  </si>
  <si>
    <t>7576368147</t>
  </si>
  <si>
    <t>C4RRR001</t>
  </si>
  <si>
    <t>de carlini: 6h maggio</t>
  </si>
  <si>
    <t>Lopez maggio:749.30+1,5 (114,84)
Silvestri: 3,6 h di bd 279,82
Raudino recupero trasferta: 336+97,59 (3h)
Cesarano trasferta maggio: 450 (24,95)
Manfrè: trasferta aprile 871,04
De Carlini: 62,52 maggio 3h</t>
  </si>
  <si>
    <t>3237356398</t>
  </si>
  <si>
    <t>Axb - campagna utenze 2025</t>
  </si>
  <si>
    <t>C2AE6001</t>
  </si>
  <si>
    <t>ORF 378_25</t>
  </si>
  <si>
    <t>BetaCredit - Cyber Secuirty Assessment - fase 2</t>
  </si>
  <si>
    <t>IT230067 - Refactoring MyBiz - Nuovo JRF Cloud</t>
  </si>
  <si>
    <t>pietro.villa</t>
  </si>
  <si>
    <t>4402444916</t>
  </si>
  <si>
    <t>Supporto ProdSec per campagna ricertificazione utenze 2025 (PAT074)</t>
  </si>
  <si>
    <t>C772U001</t>
  </si>
  <si>
    <t>Gianmaria porta: 2h giugno 149,04</t>
  </si>
  <si>
    <t>CZT5O001</t>
  </si>
  <si>
    <t>Lopez Aprile 500
PDC: 135,25 maggio
Marvardi: 3,9 h 914,43 aprile
Marvardi: 400 maggio
Davide: 1,5 h di BD (46,46)+ trasferta aprile 718
Marvardi: 200
de carlini: 1h maggio</t>
  </si>
  <si>
    <t>4393889529</t>
  </si>
  <si>
    <t>CGI5S001</t>
  </si>
  <si>
    <t>BetaCredit - Application Security Fase 1</t>
  </si>
  <si>
    <t>lopez maggio: 1600+2h(153,12)
Marvardi: giugno 400
Lotito: 408 giugno 1q
Lopez: giugno 2000
Raudino: recupero trasferta 2,5h +280
Ambrosi: 1q giugno 736,94 
Cesarano: 1q giugno 204,8+0,5h (12,47)</t>
  </si>
  <si>
    <t>CC95H001</t>
  </si>
  <si>
    <t>marvardi maggio: 1000
team Application Security trasferta maggio: 1077,10
Axb PoV Blackout Nazionale 4506,16
muscara: giugno e luglio 855,15
Antonini: giugno 343
Redaelli e Lamberti 8h luglio: 1333,68</t>
  </si>
  <si>
    <t>"Accenture\Axb Security - General\Projects\BetaCredit\Application Security 4FTE\Fase 1"</t>
  </si>
  <si>
    <t>Lopez luglio 600
Raudino recupero trasferta: 280+2,5h (81,32)
Marvardi: luglio 400
Lopez: luglio 300
PDC: luglio 132,52
Silvestri: luglio 746,20 (9,6h)
D'Alessio: change luglio 1q 124,75
Cesarano: change luglio 1q 49,9 
Giordano luglio 56</t>
  </si>
  <si>
    <t xml:space="preserve">BetaCredit - Antifrode </t>
  </si>
  <si>
    <t>1655336033</t>
  </si>
  <si>
    <t>7447133903</t>
  </si>
  <si>
    <t>fatt. 77k - 4499514137
fatt. 51k - 4499519571
fatt. 25k - 4499522599</t>
  </si>
  <si>
    <t>simone.santoro</t>
  </si>
  <si>
    <t>62810</t>
  </si>
  <si>
    <t>Giordano 7 diarie luglio (2h 42,60)
bufacchi 415 luglio
de carlini 2 diarie luglio (1h 21,30)
silvestri 2,4h agosto : 185,59</t>
  </si>
  <si>
    <t>Palombizio: maggio 1000
Silvestri: 7,6 giugno 590,74
Silvestri: 4,4h maggio 342,01
Cesarano: 200+ 0,5h(24,95)
Ambrosi: trasferta maggio 1h (61,94)+330
Lotito: 510 maggio
Lopez 1Q Giugno: 300
De Carlini: 2q giugno 199,95
pdc: 135,25 giugno
ambrosi 3h gugno 2a 92,91
Marvardi: giugno 676,65
Team application sec: 455,30 giugno
Marvardi: 400 giugno
DC: 56 luglio 1q
ambrosi: luglio 2q 130</t>
  </si>
  <si>
    <t>marvardi agost: 400
ambrosi: 130 luglio 1q
marvardi luglio: 676
marvardi agosto: 500</t>
  </si>
  <si>
    <t>BetaCredit - Application Security fase 2</t>
  </si>
  <si>
    <t>4424280901</t>
  </si>
  <si>
    <t>BetaCredit - Antifrode</t>
  </si>
  <si>
    <t>BetaCredit - Application Security Fase 2</t>
  </si>
  <si>
    <t>CXSVS001</t>
  </si>
  <si>
    <t>Marco Leone</t>
  </si>
  <si>
    <t>CJ8CW001</t>
  </si>
  <si>
    <t xml:space="preserve">Microgmentation – AP Digital </t>
  </si>
  <si>
    <t>Microgmentation – ProdSec</t>
  </si>
  <si>
    <t>Microgmentation - CoreBanking</t>
  </si>
  <si>
    <t>1723345272</t>
  </si>
  <si>
    <t>7953813229</t>
  </si>
  <si>
    <t>CQ2NJ001</t>
  </si>
  <si>
    <t>CAOV4001</t>
  </si>
  <si>
    <t>CHX4C001</t>
  </si>
  <si>
    <t>0783293692</t>
  </si>
  <si>
    <t>80275</t>
  </si>
  <si>
    <t>0216666922</t>
  </si>
  <si>
    <t>81192</t>
  </si>
  <si>
    <t>Beta - Supporto IT Sec Gov 2025 Fase9</t>
  </si>
  <si>
    <t>5596695177</t>
  </si>
  <si>
    <t>Fatturata completamente a settembre 25</t>
  </si>
  <si>
    <t>Supporto IT Sec Gov 2024 Fase 9</t>
  </si>
  <si>
    <t>CSNM9001</t>
  </si>
  <si>
    <t>PAT075</t>
  </si>
  <si>
    <t>Silvestri settembre 2q</t>
  </si>
  <si>
    <t>Close Date</t>
  </si>
  <si>
    <t>31/12/25</t>
  </si>
  <si>
    <t>31/10/25</t>
  </si>
  <si>
    <t>Close Date Quarter</t>
  </si>
  <si>
    <t>silvestri luglio 2q 373,1
Marvardi agosto 600
Petrella 630,16 luglio/agosto
Silvestri settembre: 147,68 (1,9 h)
Marvardi settembre 2q 550</t>
  </si>
  <si>
    <t>Siteminder - Cesarano</t>
  </si>
  <si>
    <t>30/09/25</t>
  </si>
  <si>
    <t>12010</t>
  </si>
  <si>
    <t>9211866086</t>
  </si>
  <si>
    <t>serena.moretti</t>
  </si>
  <si>
    <t>5527066250</t>
  </si>
  <si>
    <t>Fatturata a ottobre</t>
  </si>
  <si>
    <t>Nr. Fattura</t>
  </si>
  <si>
    <t>Fatturazione a novembre</t>
  </si>
  <si>
    <t>11574</t>
  </si>
  <si>
    <t>Cesarano settembre extratime 249,5 + (4 diarie)
510 Lotito settembre
Cortese trasferta settembre 120
Silvestri 7h ottobre 544,11
Cesarano trasferta ottobre 190
Trasfera Lotito-Tomasina</t>
  </si>
  <si>
    <t>NOTE</t>
  </si>
  <si>
    <t>Application Security Test Sigma</t>
  </si>
  <si>
    <t>Lopez settembre 2000
Marvadi 550
CFC 503</t>
  </si>
  <si>
    <t>Beta - Supporto IT Sec Gov 2025 Fase10</t>
  </si>
  <si>
    <t>9000586893</t>
  </si>
  <si>
    <t>Vedi file Lista Proposte in Axb Security - General\Projects\BetaCredit\Application Security 4FTE</t>
  </si>
  <si>
    <t>Supporto IT Sec Gov 2024 Fase 10</t>
  </si>
  <si>
    <t>89189758</t>
  </si>
  <si>
    <t>CBPWS001</t>
  </si>
  <si>
    <t>CVXWS001</t>
  </si>
  <si>
    <t>martina.romano</t>
  </si>
  <si>
    <t>anna.rinaldi</t>
  </si>
  <si>
    <t>Fatturate  a ottobre</t>
  </si>
  <si>
    <t>fatturata a settembre 25</t>
  </si>
  <si>
    <t>fatturato a ottobre</t>
  </si>
  <si>
    <t>fatt. 4.9k - 4499534098
fatt. 7k - 4499534111
fatt 6.9k - 4499534029
fatt 4.7k - 4499534113</t>
  </si>
  <si>
    <t>Marvardi 550 Settembre
Marvardi 400 Ottobre
Marvardi 1100 ottobre 1q</t>
  </si>
  <si>
    <t>Refactoring portale istituzionale federica.gallo</t>
  </si>
  <si>
    <t>1277407831</t>
  </si>
  <si>
    <t>00800</t>
  </si>
  <si>
    <t>Roberto Gallo</t>
  </si>
  <si>
    <t>Fatturazione ottobre 25</t>
  </si>
  <si>
    <t>fatturato a novembre</t>
  </si>
  <si>
    <t>9124455404</t>
  </si>
  <si>
    <t>Siteminder OSR</t>
  </si>
  <si>
    <t>CXGNH001</t>
  </si>
  <si>
    <t>30/01/26</t>
  </si>
  <si>
    <t xml:space="preserve">fatta NDC per 60€ </t>
  </si>
  <si>
    <t>21595,13 (fatturati a ottobre)
39951,21 (fatturati a novembre)</t>
  </si>
  <si>
    <t>83459</t>
  </si>
  <si>
    <t>38079</t>
  </si>
  <si>
    <t>Spazio costi Fusco - Microseg</t>
  </si>
  <si>
    <t>1070191481</t>
  </si>
  <si>
    <t>Fatt. 5k - 499534479
Fatt 6.7k- 4499534237
fatt. 4.8k - 4499534272
fatt. 4.6k - 4499534317
fatt. 6k - 4499536071
fatt. 10k - 4499536139 
fatt. 4k - 4499536244
fatt. 9k - 4499536242
fatt 5.1k - 4499536248
fatt. 4.3k - 4499536210</t>
  </si>
  <si>
    <t>46546</t>
  </si>
  <si>
    <t>BetaCredit - App Security Fase 3</t>
  </si>
  <si>
    <t>3114453025</t>
  </si>
  <si>
    <t>BetaCredit - Application Security Fase 3</t>
  </si>
  <si>
    <t>CYH8B001</t>
  </si>
  <si>
    <t>4089852834</t>
  </si>
  <si>
    <t>0293102511</t>
  </si>
  <si>
    <t>8179172717</t>
  </si>
  <si>
    <t>Integrazione servizi Archibus</t>
  </si>
  <si>
    <t>04142</t>
  </si>
  <si>
    <t>31/01/26</t>
  </si>
  <si>
    <t>8493149051</t>
  </si>
  <si>
    <t>3549091647</t>
  </si>
  <si>
    <t>BetaCredit - App Security Fase 4</t>
  </si>
  <si>
    <t>5472369718</t>
  </si>
  <si>
    <t>BetaCredit - Application Security Fase 4</t>
  </si>
  <si>
    <t>% di utilizzo</t>
  </si>
  <si>
    <t>C0ZQE001</t>
  </si>
  <si>
    <t>CJU1D001</t>
  </si>
  <si>
    <t>98436</t>
  </si>
  <si>
    <t>BetaCredit - Formazione</t>
  </si>
  <si>
    <t>4352161367</t>
  </si>
  <si>
    <t>8356540950</t>
  </si>
  <si>
    <t>ORF / 1075 / 2025</t>
  </si>
  <si>
    <t>ORF / 1054 / 2025
ORF / 1049 / 2025</t>
  </si>
  <si>
    <t>8732258251</t>
  </si>
  <si>
    <t>Tot forecast</t>
  </si>
  <si>
    <t>Simone Bianchi</t>
  </si>
  <si>
    <t>CE8RO001</t>
  </si>
  <si>
    <t>CQGQ4001</t>
  </si>
  <si>
    <t>ORF / 1102 / 2025</t>
  </si>
  <si>
    <t>399,2 Cesarano straordinari novembre
De Carlini dicembre 56</t>
  </si>
  <si>
    <t>BetaCredit - App Security Fase 5</t>
  </si>
  <si>
    <t>4163622866</t>
  </si>
  <si>
    <t>BetaCredit - Application Security Fase 5</t>
  </si>
  <si>
    <t>CFH53001</t>
  </si>
  <si>
    <t>Laura Russo</t>
  </si>
  <si>
    <t>Cyber Security Team</t>
  </si>
  <si>
    <t xml:space="preserve">PM tecnico </t>
  </si>
  <si>
    <t>12 mesi</t>
  </si>
  <si>
    <t>- Serena Rizzo
- Tommaso Barbieri
- Anna Barbieri
- Gabriele Martini</t>
  </si>
  <si>
    <t>- Noemi Longo
- Giorgio Conti</t>
  </si>
  <si>
    <t>Costi annuali</t>
  </si>
  <si>
    <t>Costo reale team</t>
  </si>
  <si>
    <t xml:space="preserve">- Noemi Longo
- Giorgio Conti
- 1 FTE </t>
  </si>
  <si>
    <t xml:space="preserve">- Noemi Longo
- Giorgio Conti
- 2 FTE </t>
  </si>
  <si>
    <t>Area</t>
  </si>
  <si>
    <t>Ruolo</t>
  </si>
  <si>
    <t>Profilo</t>
  </si>
  <si>
    <t>Valore Offerta IVA ESCLUSA</t>
  </si>
  <si>
    <t>Anno</t>
  </si>
  <si>
    <t>Elapsed</t>
  </si>
  <si>
    <t>Application Security: 
Scenario 1</t>
  </si>
  <si>
    <t>Application Security: 
Scenario 2</t>
  </si>
  <si>
    <t>Application Security: 
Scenario 3</t>
  </si>
  <si>
    <t>MMR Code</t>
  </si>
  <si>
    <t>R25/164856</t>
  </si>
  <si>
    <t>R25/164860</t>
  </si>
  <si>
    <t>R25/164867</t>
  </si>
  <si>
    <t>25-140RFP F.U. RUN ProdSec &amp; Sistemi</t>
  </si>
  <si>
    <t>De Carlini dicembre 56
77,73 Silvestri dicembre 1h
Giordano 112 dicembre</t>
  </si>
  <si>
    <t>798,4 Cesarano extratime dicembre
495,52 Ambrosi extrarime dicembre</t>
  </si>
  <si>
    <t>17859481</t>
  </si>
  <si>
    <t>R25/166245</t>
  </si>
  <si>
    <t>R25/166252</t>
  </si>
  <si>
    <t>CRK8U001</t>
  </si>
  <si>
    <t>Trasferta ambrosi ottobre 283</t>
  </si>
  <si>
    <t>Silvestri novembre 3,2h 248,74
550 Marvardi novembre
248,73 Silvestri dicembre 3,2h
350 Cesarano trasferta dicembre</t>
  </si>
  <si>
    <t>Marvardi 400 novembre
Silvestri novembre 3,2h 248,74
Sebastiano trasferta ottobe 372,4
Alberto novembre 1357,63
Ambrosi trasferta dicembre 1224
Marvardi 400 dicembre</t>
  </si>
  <si>
    <t>R25/168612</t>
  </si>
  <si>
    <t>Supporto alla robotica in ambito Ricertificazioni Utenze</t>
  </si>
  <si>
    <t>fatturata a dicembre</t>
  </si>
  <si>
    <t>fatturazione novembre 20.489,45
fatturazione dicembre 20.489,45</t>
  </si>
  <si>
    <t>fatturato completamente a dicembre</t>
  </si>
  <si>
    <t>4h extratime cesarno dicembre 104,12</t>
  </si>
  <si>
    <t>426,7Trasferta Guerra dicembre
400 marvardi dicembre
204 lotito dicembre</t>
  </si>
  <si>
    <t>5726096124</t>
  </si>
  <si>
    <t>fatt. 15k - 4499544426 
fatt. 19k - 4499544282</t>
  </si>
  <si>
    <t>Supporto ProdSec per campagna ricertificazione utenze 2026</t>
  </si>
  <si>
    <t>fatt. 11.8k - 4499543960
fatt. 1.8k - 4499544139
fatt. 5.78 - 4499543879 
fatt. 5854k - 4499544304
fatt. 10k - 4499543780
fatt. 5.876 - 4499543984</t>
  </si>
  <si>
    <t>R26/2666</t>
  </si>
  <si>
    <t>CY27M001</t>
  </si>
  <si>
    <t>0102643301</t>
  </si>
  <si>
    <t>R26/3061</t>
  </si>
  <si>
    <t>Microgmentation - ProdSec</t>
  </si>
  <si>
    <t>3107566952</t>
  </si>
  <si>
    <t>04125535</t>
  </si>
  <si>
    <t>CGVUS001</t>
  </si>
  <si>
    <t>62514335</t>
  </si>
  <si>
    <t>C4VDF001</t>
  </si>
  <si>
    <t>cfc 2994,99 
Ambrosi trasferte ottobre 217
Ambrosi trasferta ottobre 350
Lotito ottobre 510 + 2,5 
Cesarano trasferta ottobre 185 + 0,5h
550 Marvardi novembre
699,6 Lotito novembre 510 + 2,5
457 trasferta Guerra dicembre
2000 Burgo Dicembre
lotito 204+ 8h (602,72) dicembre
214,80 Ruggiero trasferta
1100 Marvardi dicembre
700 trasferta dicembre Cesarano
Procaccianti e Quines - RPF Beta dicembre 1267,08
291,42 anticipati a valenzano da recuperare da fosson
2h Bd silvestri gennaio
marvardi 1100 gennaio
400 lotito gennaio</t>
  </si>
  <si>
    <t>Spazio costi Tomasina - Antifrode 2026</t>
  </si>
  <si>
    <t>4309333198</t>
  </si>
  <si>
    <t>C2JRE001</t>
  </si>
  <si>
    <t>131,52 extratime dicembre ambrosi
120 cortese gennaio</t>
  </si>
  <si>
    <t>Spazio costi Noemi Longo - Formazione</t>
  </si>
  <si>
    <t>28/02/26</t>
  </si>
  <si>
    <t>R26/15368</t>
  </si>
  <si>
    <t xml:space="preserve">R26/15370 </t>
  </si>
  <si>
    <t>fatturata a gennaio</t>
  </si>
  <si>
    <t>fatturare a febbraio</t>
  </si>
  <si>
    <t>30/03/26</t>
  </si>
  <si>
    <t>Buonocore-Tomasina</t>
  </si>
  <si>
    <t>Piano di fatturazione:
Settembre: €44.844,85
Novembre: €98.658,66
Dicembre: 14.348,89
Febbraio: €21527,58</t>
  </si>
  <si>
    <t>fatt. 20.4k - 4499539180
fatt. 20.4k - 4499544141</t>
  </si>
  <si>
    <t xml:space="preserve">Supporto ProdSec per campagna ricertificazione utenze 2026+ ispl </t>
  </si>
  <si>
    <t>nicola.serra</t>
  </si>
  <si>
    <t>Approvata CVS</t>
  </si>
  <si>
    <t>DR - DMZR e Local Test 2026</t>
  </si>
  <si>
    <t>Beta Cyber Security - Antifrode 2026_fase1</t>
  </si>
  <si>
    <t>4804217955</t>
  </si>
  <si>
    <t>30/04/26</t>
  </si>
  <si>
    <t>Microgmentation – AP Digital 2026</t>
  </si>
  <si>
    <t>Microgmentation – CoreBanking 2026</t>
  </si>
  <si>
    <t>1770849816</t>
  </si>
  <si>
    <t>Microgmentation – ProdSec 2026</t>
  </si>
  <si>
    <t>Fatt. 44.8k - 4499529963
Fatt. 98k - 4499536252
fatt. 14.3k - 4499544001
fatt. 21k - 4499605549</t>
  </si>
  <si>
    <t>CSSC1001</t>
  </si>
  <si>
    <t>CPUCP001</t>
  </si>
  <si>
    <t>CFPIG001</t>
  </si>
  <si>
    <t>CPBBH001</t>
  </si>
  <si>
    <t>CA25H001</t>
  </si>
  <si>
    <t>Siteminder Technical Lead_estensione 2026</t>
  </si>
  <si>
    <t>Vedi file Lista Proposte in Axb Security - General\Projects\BetaCredit\RDO2026</t>
  </si>
  <si>
    <t>975 trasferta ambrosi feb
400 Marvardi feb</t>
  </si>
  <si>
    <t>fatturata a marzo</t>
  </si>
  <si>
    <t>R26/33329</t>
  </si>
  <si>
    <t>Add on servizio Zeta</t>
  </si>
  <si>
    <t>Cristina Rizzo</t>
  </si>
  <si>
    <t>D'Amico Valerio</t>
  </si>
  <si>
    <t>1100 Marvardi Marzo
80,30 Ruggiero trasferta marzo</t>
  </si>
  <si>
    <t>131, 52 Ambrosi 4h gennaio rilasci siteminder
324,82 Anna Rinaldi febbraio
272,60 Guerra Trasferta Feb + 112
56 Diaria trasferta Ruggiero marzo</t>
  </si>
  <si>
    <t>DMZR Test 2026 – extra effort Governance</t>
  </si>
  <si>
    <t>31/05/26</t>
  </si>
  <si>
    <t>2643012451</t>
  </si>
  <si>
    <t>Luca Rizzo</t>
  </si>
  <si>
    <t>87035</t>
  </si>
  <si>
    <t>R26/36609</t>
  </si>
  <si>
    <t>C8U2X001</t>
  </si>
  <si>
    <t>CAA05001</t>
  </si>
  <si>
    <t xml:space="preserve">Antonio Moretti </t>
  </si>
  <si>
    <t>Silvia Ricci</t>
  </si>
  <si>
    <t>82436</t>
  </si>
  <si>
    <t>BetaCredit - Supporto Antifrode</t>
  </si>
  <si>
    <t>Beta Cyber Security fase 2</t>
  </si>
  <si>
    <t>SCTASK7488840</t>
  </si>
  <si>
    <t>2750169737</t>
  </si>
  <si>
    <t>3611641802</t>
  </si>
  <si>
    <t>Microsegmentazione - RFP FASE 2</t>
  </si>
  <si>
    <t>DR Program 2026-2028 - RFP</t>
  </si>
  <si>
    <t>Unicredit</t>
  </si>
  <si>
    <t>1661374548</t>
  </si>
  <si>
    <t>CNE0V001</t>
  </si>
  <si>
    <t>760 Ambrosi Febbraio trasferta+rilascio siteminder
Colombo marzo
400 marvardi marzo
591,84 Ambrosi 18h rilasci siteminder marzo
400 Marvardi aprile</t>
  </si>
  <si>
    <t>43996</t>
  </si>
  <si>
    <t>CWD5V001</t>
  </si>
  <si>
    <t>4,9 Silvestri bd Aprile</t>
  </si>
  <si>
    <t>R26/49685</t>
  </si>
  <si>
    <t>R26/49689</t>
  </si>
  <si>
    <t>3029820321</t>
  </si>
  <si>
    <t>R26/49994</t>
  </si>
  <si>
    <t>fatturazione ad aprile</t>
  </si>
  <si>
    <t xml:space="preserve">fatturazione ad aprile </t>
  </si>
  <si>
    <t>10299</t>
  </si>
  <si>
    <t>Charg</t>
  </si>
  <si>
    <t>costo al 50%</t>
  </si>
  <si>
    <t>SAP SSO proposal marzo 366,22
1000 Ambrosi Trasferta aprile
1100 Marvardi aprile
1,5 h Silvestri aprile</t>
  </si>
  <si>
    <t>FY27</t>
  </si>
  <si>
    <t>Add on servizio Zeta 2 - Lateral Movement, revisione regole firewall di interconnessione e internet</t>
  </si>
  <si>
    <t>1519302330</t>
  </si>
  <si>
    <t>Add on servizio EACB_2</t>
  </si>
  <si>
    <t>7196427373</t>
  </si>
  <si>
    <t>IT Ops and Production Security Support</t>
  </si>
  <si>
    <t>CYT2P001</t>
  </si>
  <si>
    <t>430 Bufacchi trasferta marzo
190 cesarano trasferta aprile
372,4 Sebastiano trasferta aprile
640 Del Deo Trasferta aprile
418 Del Deo trasferta aprile</t>
  </si>
  <si>
    <t>5553878650</t>
  </si>
  <si>
    <t>Antonio D'Auria</t>
  </si>
  <si>
    <t>fatt. 25k - 4499611774
fatt. 21k - 4499611824</t>
  </si>
  <si>
    <t>Spazio costi Fusco - DR Local</t>
  </si>
  <si>
    <t>7107885018</t>
  </si>
  <si>
    <t>R26/62041</t>
  </si>
  <si>
    <t>R26/62043</t>
  </si>
  <si>
    <t>Fatturazione novembre 23.016,48
fatturato a novembre su telco 23.016,48 €
Ndc Interna da telco vs 8874098591 di
23.016,48 € a maggio
fatturazione delta maggio 69049,44</t>
  </si>
  <si>
    <t>544,11 Silvestri bd marzo
821 Ambrosi trasferta marzo
3,2h Silvestri Maggio</t>
  </si>
  <si>
    <t>fatt. 23k - 4499539129 
fatt. 69k - 4499613302</t>
  </si>
  <si>
    <t>550 Marvardi gennaio
400 marvardi gennaio
272 silvestri gennaio
400 Marvardi febbraio
350 De Carlini Acclaim Points
350 Oppi Acclaim Points
485,46 Silvestri febbraio
155 Schinoppi
1100 Marvardi febbraio
1193 Lotito Marzo
250 Schinoppi Aprile
42 De Carlini - training
11000 Ambrosi trasferta aprile
163,4 Sebastiano trasferta aprile</t>
  </si>
  <si>
    <t>77259</t>
  </si>
  <si>
    <t>Beta Cyber Security 2026_fase3</t>
  </si>
  <si>
    <t>3043529230</t>
  </si>
  <si>
    <t>R26/65267</t>
  </si>
  <si>
    <t>PMO Account</t>
  </si>
  <si>
    <t>Gabriele Greco</t>
  </si>
  <si>
    <t>50235</t>
  </si>
  <si>
    <t>Giorgio Leone</t>
  </si>
  <si>
    <t>30/06/26</t>
  </si>
  <si>
    <t>Onexis - Security Cloud Architect</t>
  </si>
  <si>
    <t>Onexis - TLPT</t>
  </si>
  <si>
    <t>8673157334</t>
  </si>
  <si>
    <t>Onexis</t>
  </si>
  <si>
    <t>8903137906</t>
  </si>
  <si>
    <t>fatturata a maggio</t>
  </si>
  <si>
    <t>Elisa Romano</t>
  </si>
  <si>
    <t>17k fatturati a maggio</t>
  </si>
  <si>
    <t>fatt. 17k - 4499615227</t>
  </si>
  <si>
    <t>400 Marvardi Maggio
3,2 H Silvestri maggio
1h vincenzo conti maggio</t>
  </si>
  <si>
    <t>1100 Marvardi maggio
400 Marvardi giugno
Lotito maggio 2k</t>
  </si>
  <si>
    <t>R26/75331</t>
  </si>
  <si>
    <t>C7FLB001</t>
  </si>
  <si>
    <t>CFC trasferta napoli giugno 3500 circa
3000 fabio colombo giugno</t>
  </si>
  <si>
    <t>BetaCredit - CyberSec Assessment Fase4</t>
  </si>
  <si>
    <t>0275096288</t>
  </si>
  <si>
    <t>R26/78444</t>
  </si>
  <si>
    <t>DR Orchestator</t>
  </si>
  <si>
    <t>luca.gallo</t>
  </si>
  <si>
    <t>30/09/26</t>
  </si>
  <si>
    <t>BetaCredit - CyberSec Assessment Fase5</t>
  </si>
  <si>
    <t>ottobre</t>
  </si>
  <si>
    <t>7820653594</t>
  </si>
  <si>
    <t>Axb - Mythos Assessment elisa.martini</t>
  </si>
  <si>
    <t>Beta - Mythos Assessment elisa.martini</t>
  </si>
  <si>
    <t>6032068609</t>
  </si>
  <si>
    <t>2088932818</t>
  </si>
  <si>
    <t>fatt. 3mestrale
inserire sempre il numero posizione (da fattura)
fatturati a giugno 25: 65015,58 (6 mesi)
Fatturati a settembre 25: 32507,79 (3 mesi)
Fatturazione dicembre 25: 32507,78 (3 mesi)
fatturazione marzo 26: 32507,79 (3 mesi)
Fatturazione giugno 26: 32507,79 (3 mesi)</t>
  </si>
  <si>
    <t>BetaCredit - Cybersecurity Q1</t>
  </si>
  <si>
    <t>BetaCredit - Cybersecurity Q2</t>
  </si>
  <si>
    <t>BetaCredit - Cybersecurity Q4</t>
  </si>
  <si>
    <t>BetaCredit - Cybersecurity Q3</t>
  </si>
  <si>
    <t>fatt. 65k - 4499518414
Fatt. 32,5k - 4499528350
Fatt. 32,5k- 4499541121
Fatt. 32,5k - 4499607057
fatt 32,5k - 4499617103</t>
  </si>
  <si>
    <t>fatt. 5k - 4499617104 
fatt. 2k - 4499617097 
fatt. 800 - 4499617078 
fatt. 2k - 4499617083</t>
  </si>
  <si>
    <t>fatt. 8k - 4499614226 
fatt. 600 - 4499614244 
fatt. 1k - 4499614295 
fatt. 6k - 4499614262 
fatt. 5k - 4499614243 
fatt. 2k - 4499614232 
fatt. 1k - 4499614893</t>
  </si>
  <si>
    <t>CMDIM001</t>
  </si>
  <si>
    <t>CPIYG001</t>
  </si>
  <si>
    <t>CN034001</t>
  </si>
  <si>
    <t>CR6M0001</t>
  </si>
  <si>
    <t>721 Del Deo maggio trasferta 
2 Diarie Buja rimborso taxi giugno</t>
  </si>
  <si>
    <t>da ottobre IMS win 50% 100% sec - triennale ottobre 2026 ottobre 2029</t>
  </si>
  <si>
    <t>Axb - DR Local 2027-2029</t>
  </si>
  <si>
    <t>9303560671</t>
  </si>
  <si>
    <t>43 k fatturati a maggio
5k fatturati a giugno</t>
  </si>
  <si>
    <t>2702654365</t>
  </si>
  <si>
    <t>Total Revenue</t>
  </si>
  <si>
    <t>Total Cost</t>
  </si>
  <si>
    <t xml:space="preserve">FORECAST </t>
  </si>
  <si>
    <t>ACTUAL</t>
  </si>
  <si>
    <t>CCI contratto</t>
  </si>
  <si>
    <t>Tot cost</t>
  </si>
  <si>
    <t>Spazio costi guadagnato</t>
  </si>
  <si>
    <t>fatt. 43k - 4499614970
fatt. 5k - 4499617717</t>
  </si>
  <si>
    <t>30/08/26</t>
  </si>
  <si>
    <t>53k fatturati a giugno</t>
  </si>
  <si>
    <t>CSNIO001</t>
  </si>
  <si>
    <t>Lotito Marzo 800
Ore BD Silvesti giugno
1100 Marvardi giugno
500 lotito giugno
214,80 Trasferta giugno Ruggiero</t>
  </si>
  <si>
    <t>2500 Lotito Aprile
500 Tommasina giugno
110,8 Cortese trasferta giugno</t>
  </si>
  <si>
    <t>Ambrosi trasferta DR giugno 2071.90 
Guerra trasgerta DR giugno 951,16
schinoppi trasferta napoli 150
Cesarano trasferta giugno 400</t>
  </si>
  <si>
    <t>Findo_PMO SAST</t>
  </si>
  <si>
    <t>da settembre pmo Oppi 50k ivati</t>
  </si>
  <si>
    <t>7499122556</t>
  </si>
  <si>
    <t>31/12/2026</t>
  </si>
  <si>
    <t>TBD</t>
  </si>
  <si>
    <t>Alberto giugno 2q 1500
Antonio Rallo giuno 400 
1000 Tomasina
400 Marvardi luglio</t>
  </si>
  <si>
    <t>40k sono di tomasina da sett e 7.2 nostri + 3k di bd x tomasina</t>
  </si>
  <si>
    <t>Silvia Longo</t>
  </si>
  <si>
    <t>Spazio costi Tomasina - Antifrode 2027 muli</t>
  </si>
  <si>
    <t>Da Inviare</t>
  </si>
  <si>
    <t>6,2 H Silvestri giugno</t>
  </si>
  <si>
    <t>4298817684</t>
  </si>
  <si>
    <t>Tomasina/Buonocore</t>
  </si>
  <si>
    <t>fatt. 53k - 4499618375</t>
  </si>
  <si>
    <t>1683929023</t>
  </si>
  <si>
    <t>Axb RFP - Microsegmentazione 2027</t>
  </si>
  <si>
    <t>Axb RFP - DR Local 2027-2029</t>
  </si>
  <si>
    <t>IMS, RDE Security, 100% Marvardi, win prob 50%. cci 36%, la bookiamo a settembre se la vinciamo - delivery fino a febbraio</t>
  </si>
  <si>
    <t>C81GF001</t>
  </si>
  <si>
    <t>CJZ42001</t>
  </si>
  <si>
    <t>Sigma - Logos</t>
  </si>
  <si>
    <t>3277655116</t>
  </si>
  <si>
    <t>31/10/2026</t>
  </si>
  <si>
    <t>7267721876</t>
  </si>
  <si>
    <t>Sigma - elisa.martini</t>
  </si>
  <si>
    <t>Axb - Logos</t>
  </si>
  <si>
    <t>BetaCredit - Logos</t>
  </si>
  <si>
    <t>9723870063</t>
  </si>
  <si>
    <t>8774745737</t>
  </si>
  <si>
    <t>30/11/2026</t>
  </si>
  <si>
    <t>Alberto giugno 1q 1700
112 taxi dr</t>
  </si>
  <si>
    <t>CN4MR001</t>
  </si>
  <si>
    <t>CB9NF001</t>
  </si>
  <si>
    <t>CQQ9R001</t>
  </si>
  <si>
    <t>C257Y001</t>
  </si>
  <si>
    <t>C3QJM001</t>
  </si>
  <si>
    <t>Previous</t>
  </si>
  <si>
    <t>Total Actual</t>
  </si>
  <si>
    <t>Q4FY26</t>
  </si>
  <si>
    <t>actual</t>
  </si>
  <si>
    <t>forecast</t>
  </si>
  <si>
    <t>Billings</t>
  </si>
  <si>
    <t>Payroll Costs</t>
  </si>
  <si>
    <t>Non Payroll Costs</t>
  </si>
  <si>
    <t>Capital Charges</t>
  </si>
  <si>
    <t>Total Costs</t>
  </si>
  <si>
    <t>Contract CI</t>
  </si>
  <si>
    <t>Billing</t>
  </si>
  <si>
    <t>Revenue</t>
  </si>
  <si>
    <t>Payroll</t>
  </si>
  <si>
    <t>Non Payroll</t>
  </si>
  <si>
    <t>Capital Charge</t>
  </si>
  <si>
    <t>CCI</t>
  </si>
  <si>
    <t>CCI %</t>
  </si>
  <si>
    <t>8871789615 - Beta studio accesso terze parti</t>
  </si>
  <si>
    <t>8874098591 - Supporto in ambito logon</t>
  </si>
  <si>
    <t>billing</t>
  </si>
  <si>
    <t>revenue</t>
  </si>
  <si>
    <t>total cost</t>
  </si>
  <si>
    <t>ci</t>
  </si>
  <si>
    <t>cci</t>
  </si>
  <si>
    <t>Production Security Support</t>
  </si>
  <si>
    <t>da fine ottobre su q1</t>
  </si>
  <si>
    <t>Axb - AI PenTesting</t>
  </si>
  <si>
    <t>Axb - AI SOC Automation</t>
  </si>
  <si>
    <t>Axb - Vulnerability Mgmgt AI Assessment</t>
  </si>
  <si>
    <t>APRIRE E LASCIARE IN 0</t>
  </si>
  <si>
    <t>0437977029</t>
  </si>
  <si>
    <t>0</t>
  </si>
  <si>
    <t>5876358704</t>
  </si>
  <si>
    <t>5491754719</t>
  </si>
  <si>
    <t>Q1FY27</t>
  </si>
  <si>
    <t>Q2FY27</t>
  </si>
  <si>
    <t>Q3FY27</t>
  </si>
  <si>
    <t>Q4FY27</t>
  </si>
  <si>
    <t>aprile entrambe in stage 0 su su mms mettendone una sul Q1 fy27 ed una sul Q2 fy27</t>
  </si>
  <si>
    <t>Axb RFP - Business Continuity</t>
  </si>
  <si>
    <t>7286477664</t>
  </si>
  <si>
    <t>3776732958</t>
  </si>
  <si>
    <t>2350159535</t>
  </si>
  <si>
    <t>28/02/2027</t>
  </si>
  <si>
    <t>Fatturazione 109k giugno
fatt. 4k luglio
copertura marzo/luglio 
+ quota team fusco (spazio costi 28.8 di fusco a giugno)</t>
  </si>
  <si>
    <t>C9IF4001</t>
  </si>
  <si>
    <t>fatt.109 - 4499617828
fatt. 4k - 4499621757</t>
  </si>
  <si>
    <t>3B</t>
  </si>
  <si>
    <t>130 Ambrosi certificzione</t>
  </si>
  <si>
    <t>Account Plan FY26</t>
  </si>
  <si>
    <t>Actual</t>
  </si>
  <si>
    <t>Progress VS AP %</t>
  </si>
  <si>
    <t>Forecast</t>
  </si>
  <si>
    <t>Actual+Forecast</t>
  </si>
  <si>
    <t>Delta Actual+Forecast VS AP FY26</t>
  </si>
  <si>
    <t>TOTALE</t>
  </si>
  <si>
    <t>CONTRATTO-Axb</t>
  </si>
  <si>
    <t>CONTRATTO-BetaCredit</t>
  </si>
  <si>
    <t>REVENUE RDE</t>
  </si>
  <si>
    <t xml:space="preserve">RDE SALES </t>
  </si>
  <si>
    <t>RDE = SECURITY</t>
  </si>
  <si>
    <t>RDE REVENUE</t>
  </si>
  <si>
    <t>30/09/2026</t>
  </si>
  <si>
    <t>ORF/527/2026</t>
  </si>
  <si>
    <t>R26/104519</t>
  </si>
  <si>
    <t>nuovo contratto fatturazione con pagamento a 60 gg</t>
  </si>
  <si>
    <t>fatturato ad agosto</t>
  </si>
  <si>
    <t>lei</t>
  </si>
  <si>
    <t>795,1 Straordinari DR 2q
Lotito 1q luglio 831
2k Ravenna luglio DR
400 Marvardi agosto
3,2h Silvestri agosto
1100 marvardi agosto
1100 marvardi luglio
lotito luglio 2q
1000 Carlomagno agosto
20 Ambrosi cyberai bootcamp</t>
  </si>
  <si>
    <t>Axb RFP - TLPT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</si>
</sst>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4">
    <numFmt numFmtId="6" formatCode="#,##0\ &quot;€&quot;;[Red]\-#,##0\ &quot;€&quot;"/>
    <numFmt numFmtId="8" formatCode="#,##0.00\ &quot;€&quot;;[Red]\-#,##0.00\ &quot;€&quot;"/>
    <numFmt numFmtId="41" formatCode="_-* #,##0_-;\-* #,##0_-;_-* &quot;-&quot;_-;_-@_-"/>
    <numFmt numFmtId="44" formatCode="_-* #,##0.00\ &quot;€&quot;_-;\-* #,##0.00\ &quot;€&quot;_-;_-* &quot;-&quot;??\ &quot;€&quot;_-;_-@_-"/>
    <numFmt numFmtId="43" formatCode="_-* #,##0.00_-;\-* #,##0.00_-;_-* &quot;-&quot;??_-;_-@_-"/>
    <numFmt numFmtId="164" formatCode="_-* #,##0.00\ _€_-;\-* #,##0.00\ _€_-;_-* &quot;-&quot;??\ _€_-;_-@_-"/>
    <numFmt numFmtId="165" formatCode="_-&quot;€&quot;\ * #,##0.00_-;\-&quot;€&quot;\ * #,##0.00_-;_-&quot;€&quot;\ * &quot;-&quot;??_-;_-@_-"/>
    <numFmt numFmtId="166" formatCode="[$-F800]dddd\,\ mmmm\ dd\,\ yyyy"/>
    <numFmt numFmtId="167" formatCode="_-* #,##0.00_€_-;\-* #,##0.00_€_-;_-* &quot;-&quot;??_€_-;_-@_-"/>
    <numFmt numFmtId="168" formatCode="#,##0\ [$€-1];[Red]\-#,##0\ [$€-1]"/>
    <numFmt numFmtId="169" formatCode="[$€-2]\ #,##0;[Red]\-[$€-2]\ #,##0"/>
    <numFmt numFmtId="170" formatCode="#,##0.00\ &quot;€&quot;"/>
    <numFmt numFmtId="171" formatCode="0.0%"/>
    <numFmt numFmtId="172" formatCode="&quot;€&quot;\ #,##0.00"/>
    <numFmt numFmtId="173" formatCode="0.0"/>
    <numFmt numFmtId="174" formatCode="_-* #,##0.00\ [$€-410]_-;\-* #,##0.00\ [$€-410]_-;_-* &quot;-&quot;??\ [$€-410]_-;_-@_-"/>
    <numFmt numFmtId="175" formatCode="_-* #,##0_-;\-* #,##0_-;_-* &quot;-&quot;??_-;_-@_-"/>
    <numFmt numFmtId="176" formatCode="[$€-2]\ #,##0.00;[Red]\-[$€-2]\ #,##0.00"/>
    <numFmt numFmtId="177" formatCode="&quot;L.&quot;#,##0;[Red]&quot;L.&quot;\-#,##0"/>
    <numFmt numFmtId="178" formatCode="0.000_)"/>
    <numFmt numFmtId="179" formatCode="_-&quot;L.&quot;\ * #,##0_-;\-&quot;L.&quot;\ * #,##0_-;_-&quot;L.&quot;\ * &quot;-&quot;_-;_-@_-"/>
    <numFmt numFmtId="180" formatCode="ddd\ d:m:yy"/>
    <numFmt numFmtId="181" formatCode="_-[$€-2]\ * #,##0.00_-;\-[$€-2]\ * #,##0.00_-;_-[$€-2]\ * &quot;-&quot;??_-"/>
    <numFmt numFmtId="182" formatCode="00"/>
    <numFmt numFmtId="183" formatCode="0.000000"/>
    <numFmt numFmtId="184" formatCode="_ * #,##0_ ;_ * \-#,##0_ ;_ * &quot;-&quot;_ ;_ @_ "/>
    <numFmt numFmtId="185" formatCode="0.00_)"/>
    <numFmt numFmtId="186" formatCode="m/d"/>
    <numFmt numFmtId="187" formatCode="_ &quot;SFr.&quot;\ * #,##0_ ;_ &quot;SFr.&quot;\ * \-#,##0_ ;_ &quot;SFr.&quot;\ * &quot;-&quot;_ ;_ @_ "/>
    <numFmt numFmtId="188" formatCode="[Blue]0%\+;[Red]0%\-;\-"/>
    <numFmt numFmtId="189" formatCode="[Blue]#,##0\+;[Red]#,##0\-;\-"/>
    <numFmt numFmtId="190" formatCode="_-* #,##0\ &quot;€&quot;_-;\-* #,##0\ &quot;€&quot;_-;_-* &quot;-&quot;??\ &quot;€&quot;_-;_-@_-"/>
    <numFmt numFmtId="191" formatCode="_-* #,##0.0\ &quot;€&quot;_-;\-* #,##0.0\ &quot;€&quot;_-;_-* &quot;-&quot;??\ &quot;€&quot;_-;_-@_-"/>
    <numFmt numFmtId="192" formatCode="_-[$$-409]* #,##0.00_ ;_-[$$-409]* \-#,##0.00\ ;_-[$$-409]* &quot;-&quot;??_ ;_-@_ "/>
  </numFmts>
  <fonts count="97">
    <font>
      <sz val="11"/>
      <color theme="1"/>
      <name val="Calibri"/>
      <family val="2"/>
      <scheme val="minor"/>
    </font>
    <font>
      <sz val="11"/>
      <color theme="1"/>
      <name val="Calibri"/>
      <family val="2"/>
      <scheme val="minor"/>
    </font>
    <font>
      <sz val="11"/>
      <color rgb="FF006100"/>
      <name val="Calibri"/>
      <family val="2"/>
      <scheme val="minor"/>
    </font>
    <font>
      <b/>
      <sz val="11"/>
      <color theme="0"/>
      <name val="Calibri"/>
      <family val="2"/>
      <scheme val="minor"/>
    </font>
    <font>
      <b/>
      <sz val="11"/>
      <color theme="1"/>
      <name val="Calibri"/>
      <family val="2"/>
      <scheme val="minor"/>
    </font>
    <font>
      <sz val="10"/>
      <name val="Arial"/>
      <family val="2"/>
    </font>
    <font>
      <sz val="9"/>
      <color rgb="FF3F3F76"/>
      <name val="Calibri"/>
      <family val="2"/>
      <scheme val="minor"/>
    </font>
    <font>
      <sz val="10"/>
      <color theme="1"/>
      <name val="Arial"/>
      <family val="2"/>
    </font>
    <font>
      <sz val="9"/>
      <color theme="1"/>
      <name val="Calibri"/>
      <family val="2"/>
      <scheme val="minor"/>
    </font>
    <font>
      <u/>
      <sz val="11"/>
      <color theme="10"/>
      <name val="Calibri"/>
      <family val="2"/>
      <scheme val="minor"/>
    </font>
    <font>
      <sz val="10"/>
      <color theme="1"/>
      <name val="Calibri"/>
      <family val="2"/>
      <scheme val="minor"/>
    </font>
    <font>
      <sz val="8"/>
      <color theme="1"/>
      <name val="Arial"/>
      <family val="2"/>
    </font>
    <font>
      <sz val="11"/>
      <color indexed="8"/>
      <name val="Calibri"/>
      <family val="2"/>
    </font>
    <font>
      <sz val="10"/>
      <color indexed="8"/>
      <name val="Arial"/>
      <family val="2"/>
    </font>
    <font>
      <sz val="11"/>
      <color indexed="9"/>
      <name val="Calibri"/>
      <family val="2"/>
    </font>
    <font>
      <sz val="10"/>
      <color indexed="9"/>
      <name val="Arial"/>
      <family val="2"/>
    </font>
    <font>
      <b/>
      <sz val="10"/>
      <color indexed="63"/>
      <name val="Arial"/>
      <family val="2"/>
    </font>
    <font>
      <sz val="11"/>
      <color indexed="20"/>
      <name val="Calibri"/>
      <family val="2"/>
    </font>
    <font>
      <sz val="10"/>
      <color indexed="20"/>
      <name val="Arial"/>
      <family val="2"/>
    </font>
    <font>
      <sz val="8"/>
      <color rgb="FF9C0006"/>
      <name val="Calibri"/>
      <family val="2"/>
    </font>
    <font>
      <b/>
      <sz val="10"/>
      <color indexed="52"/>
      <name val="Arial"/>
      <family val="2"/>
    </font>
    <font>
      <b/>
      <sz val="11"/>
      <color indexed="52"/>
      <name val="Calibri"/>
      <family val="2"/>
    </font>
    <font>
      <b/>
      <sz val="11"/>
      <color indexed="9"/>
      <name val="Calibri"/>
      <family val="2"/>
    </font>
    <font>
      <b/>
      <sz val="10"/>
      <color indexed="9"/>
      <name val="Arial"/>
      <family val="2"/>
    </font>
    <font>
      <u/>
      <sz val="10"/>
      <color indexed="12"/>
      <name val="Arial"/>
      <family val="2"/>
    </font>
    <font>
      <u/>
      <sz val="10"/>
      <color indexed="36"/>
      <name val="Arial"/>
      <family val="2"/>
    </font>
    <font>
      <sz val="10"/>
      <color indexed="62"/>
      <name val="Arial"/>
      <family val="2"/>
    </font>
    <font>
      <b/>
      <sz val="10"/>
      <color indexed="8"/>
      <name val="Arial"/>
      <family val="2"/>
    </font>
    <font>
      <i/>
      <sz val="10"/>
      <color indexed="23"/>
      <name val="Arial"/>
      <family val="2"/>
    </font>
    <font>
      <i/>
      <sz val="11"/>
      <color indexed="23"/>
      <name val="Calibri"/>
      <family val="2"/>
    </font>
    <font>
      <sz val="11"/>
      <color indexed="17"/>
      <name val="Calibri"/>
      <family val="2"/>
    </font>
    <font>
      <sz val="10"/>
      <color indexed="17"/>
      <name val="Arial"/>
      <family val="2"/>
    </font>
    <font>
      <sz val="8"/>
      <color rgb="FF006100"/>
      <name val="Calibri"/>
      <family val="2"/>
    </font>
    <font>
      <b/>
      <sz val="15"/>
      <color indexed="56"/>
      <name val="Calibri"/>
      <family val="2"/>
    </font>
    <font>
      <b/>
      <sz val="15"/>
      <color indexed="56"/>
      <name val="Arial"/>
      <family val="2"/>
    </font>
    <font>
      <b/>
      <sz val="13"/>
      <color indexed="56"/>
      <name val="Calibri"/>
      <family val="2"/>
    </font>
    <font>
      <b/>
      <sz val="13"/>
      <color indexed="56"/>
      <name val="Arial"/>
      <family val="2"/>
    </font>
    <font>
      <b/>
      <sz val="11"/>
      <color indexed="56"/>
      <name val="Calibri"/>
      <family val="2"/>
    </font>
    <font>
      <b/>
      <sz val="11"/>
      <color indexed="56"/>
      <name val="Arial"/>
      <family val="2"/>
    </font>
    <font>
      <u/>
      <sz val="11"/>
      <color theme="10"/>
      <name val="Calibri"/>
      <family val="2"/>
    </font>
    <font>
      <sz val="11"/>
      <color indexed="62"/>
      <name val="Calibri"/>
      <family val="2"/>
    </font>
    <font>
      <sz val="11"/>
      <color indexed="52"/>
      <name val="Calibri"/>
      <family val="2"/>
    </font>
    <font>
      <sz val="10"/>
      <color indexed="52"/>
      <name val="Arial"/>
      <family val="2"/>
    </font>
    <font>
      <sz val="10"/>
      <color indexed="60"/>
      <name val="Arial"/>
      <family val="2"/>
    </font>
    <font>
      <b/>
      <sz val="11"/>
      <color indexed="63"/>
      <name val="Calibri"/>
      <family val="2"/>
    </font>
    <font>
      <sz val="11"/>
      <name val="Centennial 45 Light"/>
    </font>
    <font>
      <b/>
      <sz val="18"/>
      <color indexed="56"/>
      <name val="Cambria"/>
      <family val="2"/>
    </font>
    <font>
      <b/>
      <sz val="12"/>
      <color theme="1"/>
      <name val="Arial"/>
      <family val="2"/>
    </font>
    <font>
      <b/>
      <sz val="11"/>
      <color indexed="8"/>
      <name val="Calibri"/>
      <family val="2"/>
    </font>
    <font>
      <sz val="10"/>
      <color indexed="10"/>
      <name val="Arial"/>
      <family val="2"/>
    </font>
    <font>
      <sz val="11"/>
      <color indexed="10"/>
      <name val="Calibri"/>
      <family val="2"/>
    </font>
    <font>
      <sz val="8"/>
      <name val="Calibri"/>
      <family val="2"/>
      <scheme val="minor"/>
    </font>
    <font>
      <sz val="11"/>
      <color rgb="FFFF0000"/>
      <name val="Calibri"/>
      <family val="2"/>
      <scheme val="minor"/>
    </font>
    <font>
      <i/>
      <sz val="11"/>
      <color rgb="FFFF0000"/>
      <name val="Calibri"/>
      <family val="2"/>
      <scheme val="minor"/>
    </font>
    <font>
      <b/>
      <sz val="10"/>
      <color theme="0"/>
      <name val="Arial"/>
      <family val="2"/>
    </font>
    <font>
      <sz val="10"/>
      <color rgb="FF000000"/>
      <name val="Calibri"/>
      <family val="2"/>
      <scheme val="minor"/>
    </font>
    <font>
      <sz val="11"/>
      <color rgb="FF000000"/>
      <name val="Calibri"/>
      <family val="2"/>
    </font>
    <font>
      <sz val="11"/>
      <name val="Calibri"/>
      <family val="2"/>
      <scheme val="minor"/>
    </font>
    <font>
      <sz val="11"/>
      <color rgb="FF000000"/>
      <name val="Aptos Narrow"/>
      <family val="2"/>
    </font>
    <font>
      <b/>
      <sz val="9"/>
      <color theme="1"/>
      <name val="Calibri"/>
      <family val="2"/>
      <scheme val="minor"/>
    </font>
    <font>
      <sz val="11"/>
      <color theme="1"/>
      <name val="Aptos"/>
      <family val="2"/>
    </font>
    <font>
      <sz val="10"/>
      <color rgb="FF000000"/>
      <name val="Times New Roman"/>
      <family val="1"/>
    </font>
    <font>
      <b/>
      <sz val="11"/>
      <color rgb="FF000000"/>
      <name val="Calibri"/>
      <family val="2"/>
    </font>
    <font>
      <b/>
      <sz val="10"/>
      <color rgb="FF000000"/>
      <name val="Graphik"/>
      <family val="2"/>
    </font>
    <font>
      <b/>
      <sz val="11"/>
      <color rgb="FF000000"/>
      <name val="Aptos"/>
      <family val="2"/>
    </font>
    <font>
      <sz val="9"/>
      <color indexed="81"/>
      <name val="Tahoma"/>
      <family val="2"/>
    </font>
    <font>
      <b/>
      <sz val="9"/>
      <color indexed="81"/>
      <name val="Tahoma"/>
      <family val="2"/>
    </font>
    <font>
      <sz val="12"/>
      <color theme="1"/>
      <name val="Aptos"/>
      <family val="2"/>
    </font>
    <font>
      <sz val="10"/>
      <color rgb="FF181818"/>
      <name val="Segoe UI"/>
      <family val="2"/>
    </font>
    <font>
      <b/>
      <sz val="10"/>
      <color theme="0"/>
      <name val="Arial"/>
      <family val="2"/>
    </font>
    <font>
      <b/>
      <sz val="11"/>
      <color theme="1"/>
      <name val="Aptos"/>
      <family val="2"/>
    </font>
    <font>
      <sz val="8"/>
      <color rgb="FFFF0000"/>
      <name val="Arial"/>
      <family val="2"/>
    </font>
    <font>
      <sz val="11"/>
      <name val="Book Antiqua"/>
      <family val="1"/>
    </font>
    <font>
      <sz val="11"/>
      <name val="Tms Rmn"/>
    </font>
    <font>
      <sz val="10"/>
      <name val="Book Antiqua"/>
      <family val="1"/>
    </font>
    <font>
      <sz val="8"/>
      <name val="Arial"/>
      <family val="2"/>
    </font>
    <font>
      <sz val="8"/>
      <name val="Book Antiqua"/>
      <family val="1"/>
    </font>
    <font>
      <b/>
      <u/>
      <sz val="11"/>
      <color indexed="37"/>
      <name val="Arial"/>
      <family val="2"/>
    </font>
    <font>
      <sz val="10"/>
      <color indexed="12"/>
      <name val="Arial"/>
      <family val="2"/>
    </font>
    <font>
      <sz val="7"/>
      <name val="Small Fonts"/>
      <family val="2"/>
    </font>
    <font>
      <sz val="10"/>
      <name val="Courier"/>
      <family val="3"/>
    </font>
    <font>
      <b/>
      <i/>
      <sz val="16"/>
      <name val="Helv"/>
    </font>
    <font>
      <sz val="10"/>
      <name val="MS Sans Serif"/>
      <family val="2"/>
    </font>
    <font>
      <b/>
      <sz val="8"/>
      <name val="Arial"/>
      <family val="2"/>
    </font>
    <font>
      <b/>
      <sz val="10"/>
      <name val="Book Antiqua"/>
      <family val="1"/>
    </font>
    <font>
      <sz val="8"/>
      <color indexed="12"/>
      <name val="Arial"/>
      <family val="2"/>
    </font>
    <font>
      <b/>
      <sz val="12"/>
      <color theme="1"/>
      <name val="Aptos"/>
      <family val="2"/>
    </font>
    <font>
      <b/>
      <sz val="11"/>
      <color rgb="FF000000"/>
      <name val="Aptos"/>
      <family val="2"/>
    </font>
    <font>
      <sz val="11"/>
      <color rgb="FF000000"/>
      <name val="Calibri"/>
      <family val="2"/>
    </font>
    <font>
      <sz val="11"/>
      <color theme="1"/>
      <name val="Aptos"/>
      <family val="2"/>
    </font>
    <font>
      <sz val="11"/>
      <color rgb="FF000000"/>
      <name val="Aptos Narrow"/>
      <family val="2"/>
    </font>
    <font>
      <b/>
      <sz val="10"/>
      <color theme="0"/>
      <name val="Tw Cen MT"/>
      <family val="2"/>
    </font>
    <font>
      <b/>
      <sz val="10"/>
      <color theme="1"/>
      <name val="Tw Cen MT"/>
      <family val="2"/>
    </font>
    <font>
      <sz val="10"/>
      <color theme="1"/>
      <name val="Tw Cen MT"/>
      <family val="2"/>
    </font>
    <font>
      <i/>
      <sz val="10"/>
      <color theme="1"/>
      <name val="Tw Cen MT"/>
      <family val="2"/>
    </font>
    <font>
      <b/>
      <sz val="11"/>
      <name val="Calibri"/>
      <family val="2"/>
      <scheme val="minor"/>
    </font>
    <font>
      <b/>
      <sz val="11"/>
      <color theme="1"/>
      <name val="Calibri"/>
      <family val="2"/>
      <scheme val="minor"/>
    </font>
  </fonts>
  <fills count="67">
    <fill>
      <patternFill patternType="none"/>
    </fill>
    <fill>
      <patternFill patternType="gray125"/>
    </fill>
    <fill>
      <patternFill patternType="solid">
        <fgColor rgb="FFC6EFCE"/>
      </patternFill>
    </fill>
    <fill>
      <patternFill patternType="solid">
        <fgColor theme="4"/>
        <bgColor theme="6"/>
      </patternFill>
    </fill>
    <fill>
      <patternFill patternType="solid">
        <fgColor theme="4" tint="0.79998168889431442"/>
        <bgColor indexed="64"/>
      </patternFill>
    </fill>
    <fill>
      <patternFill patternType="solid">
        <fgColor theme="4"/>
        <bgColor indexed="64"/>
      </patternFill>
    </fill>
    <fill>
      <patternFill patternType="solid">
        <fgColor theme="4" tint="0.59999389629810485"/>
        <bgColor indexed="64"/>
      </patternFill>
    </fill>
    <fill>
      <patternFill patternType="solid">
        <fgColor theme="3"/>
        <bgColor indexed="64"/>
      </patternFill>
    </fill>
    <fill>
      <patternFill patternType="solid">
        <fgColor theme="5"/>
        <bgColor indexed="64"/>
      </patternFill>
    </fill>
    <fill>
      <patternFill patternType="solid">
        <fgColor theme="7"/>
        <bgColor indexed="64"/>
      </patternFill>
    </fill>
    <fill>
      <patternFill patternType="solid">
        <fgColor theme="9"/>
        <bgColor indexed="64"/>
      </patternFill>
    </fill>
    <fill>
      <patternFill patternType="solid">
        <fgColor rgb="FFFFFF00"/>
        <bgColor indexed="64"/>
      </patternFill>
    </fill>
    <fill>
      <patternFill patternType="solid">
        <fgColor rgb="FFFFCC99"/>
      </patternFill>
    </fill>
    <fill>
      <patternFill patternType="solid">
        <fgColor theme="0" tint="-4.9989318521683403E-2"/>
        <bgColor indexed="64"/>
      </patternFill>
    </fill>
    <fill>
      <patternFill patternType="solid">
        <fgColor rgb="FFFFC7CE"/>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theme="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0000"/>
        <bgColor indexed="64"/>
      </patternFill>
    </fill>
    <fill>
      <patternFill patternType="solid">
        <fgColor theme="2"/>
        <bgColor indexed="64"/>
      </patternFill>
    </fill>
    <fill>
      <patternFill patternType="solid">
        <fgColor theme="9" tint="0.79998168889431442"/>
        <bgColor indexed="64"/>
      </patternFill>
    </fill>
    <fill>
      <patternFill patternType="solid">
        <fgColor rgb="FF0070C0"/>
        <bgColor indexed="64"/>
      </patternFill>
    </fill>
    <fill>
      <patternFill patternType="solid">
        <fgColor rgb="FF00B050"/>
        <bgColor indexed="64"/>
      </patternFill>
    </fill>
    <fill>
      <patternFill patternType="solid">
        <fgColor rgb="FFFFFFFF"/>
        <bgColor indexed="64"/>
      </patternFill>
    </fill>
    <fill>
      <patternFill patternType="solid">
        <fgColor rgb="FFFFC000"/>
        <bgColor indexed="64"/>
      </patternFill>
    </fill>
    <fill>
      <patternFill patternType="solid">
        <fgColor rgb="FF92D050"/>
        <bgColor indexed="64"/>
      </patternFill>
    </fill>
    <fill>
      <patternFill patternType="solid">
        <fgColor theme="8" tint="-0.249977111117893"/>
        <bgColor indexed="64"/>
      </patternFill>
    </fill>
    <fill>
      <patternFill patternType="solid">
        <fgColor theme="9" tint="0.39997558519241921"/>
        <bgColor indexed="64"/>
      </patternFill>
    </fill>
    <fill>
      <patternFill patternType="solid">
        <fgColor theme="8" tint="-0.499984740745262"/>
        <bgColor indexed="64"/>
      </patternFill>
    </fill>
    <fill>
      <patternFill patternType="solid">
        <fgColor theme="5" tint="-0.249977111117893"/>
        <bgColor indexed="64"/>
      </patternFill>
    </fill>
    <fill>
      <patternFill patternType="solid">
        <fgColor theme="7" tint="0.79998168889431442"/>
        <bgColor indexed="64"/>
      </patternFill>
    </fill>
    <fill>
      <patternFill patternType="solid">
        <fgColor rgb="FFFFFFCC"/>
        <bgColor indexed="64"/>
      </patternFill>
    </fill>
    <fill>
      <patternFill patternType="solid">
        <fgColor theme="2" tint="-9.9978637043366805E-2"/>
        <bgColor indexed="64"/>
      </patternFill>
    </fill>
    <fill>
      <patternFill patternType="solid">
        <fgColor indexed="22"/>
        <bgColor indexed="64"/>
      </patternFill>
    </fill>
    <fill>
      <patternFill patternType="solid">
        <fgColor indexed="44"/>
        <bgColor indexed="64"/>
      </patternFill>
    </fill>
    <fill>
      <patternFill patternType="solid">
        <fgColor indexed="26"/>
        <bgColor indexed="64"/>
      </patternFill>
    </fill>
    <fill>
      <patternFill patternType="solid">
        <fgColor indexed="13"/>
        <bgColor indexed="64"/>
      </patternFill>
    </fill>
    <fill>
      <patternFill patternType="solid">
        <fgColor indexed="43"/>
        <bgColor indexed="64"/>
      </patternFill>
    </fill>
    <fill>
      <patternFill patternType="solid">
        <fgColor theme="8" tint="0.79998168889431442"/>
        <bgColor indexed="64"/>
      </patternFill>
    </fill>
    <fill>
      <patternFill patternType="solid">
        <fgColor theme="0" tint="-0.14999847407452621"/>
        <bgColor theme="0" tint="-0.14999847407452621"/>
      </patternFill>
    </fill>
    <fill>
      <patternFill patternType="solid">
        <fgColor theme="9" tint="0.59999389629810485"/>
        <bgColor indexed="64"/>
      </patternFill>
    </fill>
    <fill>
      <patternFill patternType="solid">
        <fgColor theme="6" tint="0.79998168889431442"/>
        <bgColor indexed="64"/>
      </patternFill>
    </fill>
    <fill>
      <patternFill patternType="solid">
        <fgColor theme="4" tint="-0.249977111117893"/>
        <bgColor indexed="64"/>
      </patternFill>
    </fill>
    <fill>
      <patternFill patternType="solid">
        <fgColor theme="3" tint="0.749992370372631"/>
        <bgColor indexed="64"/>
      </patternFill>
    </fill>
    <fill>
      <patternFill patternType="solid">
        <fgColor theme="3" tint="0.89999084444715716"/>
        <bgColor indexed="64"/>
      </patternFill>
    </fill>
  </fills>
  <borders count="75">
    <border>
      <left/>
      <right/>
      <top/>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right/>
      <top/>
      <bottom style="hair">
        <color auto="1"/>
      </bottom>
      <diagonal/>
    </border>
    <border>
      <left style="thin">
        <color indexed="64"/>
      </left>
      <right style="thin">
        <color indexed="64"/>
      </right>
      <top/>
      <bottom style="thin">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4"/>
      </left>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right/>
      <top style="thin">
        <color indexed="64"/>
      </top>
      <bottom style="thin">
        <color indexed="64"/>
      </bottom>
      <diagonal/>
    </border>
    <border>
      <left/>
      <right/>
      <top style="thin">
        <color indexed="64"/>
      </top>
      <bottom/>
      <diagonal/>
    </border>
    <border>
      <left style="thin">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bottom style="medium">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thin">
        <color indexed="64"/>
      </left>
      <right style="thin">
        <color indexed="64"/>
      </right>
      <top style="medium">
        <color indexed="64"/>
      </top>
      <bottom/>
      <diagonal/>
    </border>
    <border>
      <left style="thin">
        <color indexed="64"/>
      </left>
      <right style="medium">
        <color indexed="64"/>
      </right>
      <top/>
      <bottom style="thin">
        <color indexed="64"/>
      </bottom>
      <diagonal/>
    </border>
    <border>
      <left style="double">
        <color indexed="64"/>
      </left>
      <right/>
      <top/>
      <bottom style="hair">
        <color indexed="64"/>
      </bottom>
      <diagonal/>
    </border>
    <border>
      <left style="double">
        <color indexed="64"/>
      </left>
      <right style="double">
        <color indexed="64"/>
      </right>
      <top style="double">
        <color indexed="64"/>
      </top>
      <bottom style="double">
        <color indexed="64"/>
      </bottom>
      <diagonal/>
    </border>
    <border>
      <left style="medium">
        <color indexed="64"/>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top style="thin">
        <color indexed="64"/>
      </top>
      <bottom style="medium">
        <color indexed="64"/>
      </bottom>
      <diagonal/>
    </border>
    <border>
      <left style="medium">
        <color indexed="64"/>
      </left>
      <right/>
      <top/>
      <bottom style="thin">
        <color indexed="64"/>
      </bottom>
      <diagonal/>
    </border>
    <border>
      <left/>
      <right/>
      <top style="thin">
        <color indexed="64"/>
      </top>
      <bottom style="medium">
        <color indexed="64"/>
      </bottom>
      <diagonal/>
    </border>
    <border>
      <left/>
      <right style="medium">
        <color indexed="64"/>
      </right>
      <top style="thin">
        <color indexed="64"/>
      </top>
      <bottom style="thin">
        <color indexed="64"/>
      </bottom>
      <diagonal/>
    </border>
    <border>
      <left style="thin">
        <color theme="1"/>
      </left>
      <right style="thin">
        <color theme="1"/>
      </right>
      <top style="thin">
        <color theme="1"/>
      </top>
      <bottom style="thin">
        <color theme="1"/>
      </bottom>
      <diagonal/>
    </border>
    <border>
      <left style="thin">
        <color indexed="64"/>
      </left>
      <right style="medium">
        <color indexed="64"/>
      </right>
      <top style="medium">
        <color indexed="64"/>
      </top>
      <bottom/>
      <diagonal/>
    </border>
    <border>
      <left style="thin">
        <color theme="0" tint="-0.34998626667073579"/>
      </left>
      <right style="thin">
        <color theme="0" tint="-0.34998626667073579"/>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s>
  <cellStyleXfs count="647">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7" fillId="0" borderId="0"/>
    <xf numFmtId="43" fontId="1" fillId="0" borderId="0" applyFont="0" applyFill="0" applyBorder="0" applyAlignment="0" applyProtection="0"/>
    <xf numFmtId="0" fontId="5" fillId="0" borderId="0"/>
    <xf numFmtId="43" fontId="5" fillId="0" borderId="0" applyFont="0" applyFill="0" applyBorder="0" applyAlignment="0" applyProtection="0"/>
    <xf numFmtId="0" fontId="6" fillId="12" borderId="4" applyNumberFormat="0" applyAlignment="0" applyProtection="0"/>
    <xf numFmtId="0" fontId="5" fillId="0" borderId="0"/>
    <xf numFmtId="0" fontId="8" fillId="0" borderId="5" applyFill="0" applyProtection="0">
      <alignment horizontal="center" vertical="distributed"/>
    </xf>
    <xf numFmtId="43" fontId="1" fillId="0" borderId="0" applyFont="0" applyFill="0" applyBorder="0" applyAlignment="0" applyProtection="0"/>
    <xf numFmtId="0" fontId="11" fillId="0" borderId="0"/>
    <xf numFmtId="0" fontId="1" fillId="0" borderId="0"/>
    <xf numFmtId="43" fontId="1" fillId="0" borderId="0" applyFont="0" applyFill="0" applyBorder="0" applyAlignment="0" applyProtection="0"/>
    <xf numFmtId="43" fontId="5" fillId="0" borderId="0" applyFont="0" applyFill="0" applyBorder="0" applyAlignment="0" applyProtection="0"/>
    <xf numFmtId="0" fontId="12" fillId="15" borderId="0" applyNumberFormat="0" applyBorder="0" applyAlignment="0" applyProtection="0"/>
    <xf numFmtId="0" fontId="13" fillId="15" borderId="0" applyNumberFormat="0" applyBorder="0" applyAlignment="0" applyProtection="0"/>
    <xf numFmtId="0" fontId="12" fillId="15" borderId="0" applyNumberFormat="0" applyBorder="0" applyAlignment="0" applyProtection="0"/>
    <xf numFmtId="0" fontId="12" fillId="15" borderId="0" applyNumberFormat="0" applyBorder="0" applyAlignment="0" applyProtection="0"/>
    <xf numFmtId="0" fontId="12" fillId="15" borderId="0" applyNumberFormat="0" applyBorder="0" applyAlignment="0" applyProtection="0"/>
    <xf numFmtId="0" fontId="12" fillId="15" borderId="0" applyNumberFormat="0" applyBorder="0" applyAlignment="0" applyProtection="0"/>
    <xf numFmtId="0" fontId="12" fillId="16" borderId="0" applyNumberFormat="0" applyBorder="0" applyAlignment="0" applyProtection="0"/>
    <xf numFmtId="0" fontId="13" fillId="16" borderId="0" applyNumberFormat="0" applyBorder="0" applyAlignment="0" applyProtection="0"/>
    <xf numFmtId="0" fontId="12" fillId="16" borderId="0" applyNumberFormat="0" applyBorder="0" applyAlignment="0" applyProtection="0"/>
    <xf numFmtId="0" fontId="12" fillId="16" borderId="0" applyNumberFormat="0" applyBorder="0" applyAlignment="0" applyProtection="0"/>
    <xf numFmtId="0" fontId="12" fillId="16"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3" fillId="17" borderId="0" applyNumberFormat="0" applyBorder="0" applyAlignment="0" applyProtection="0"/>
    <xf numFmtId="0" fontId="12" fillId="17" borderId="0" applyNumberFormat="0" applyBorder="0" applyAlignment="0" applyProtection="0"/>
    <xf numFmtId="0" fontId="12" fillId="17" borderId="0" applyNumberFormat="0" applyBorder="0" applyAlignment="0" applyProtection="0"/>
    <xf numFmtId="0" fontId="12" fillId="17"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3" fillId="18" borderId="0" applyNumberFormat="0" applyBorder="0" applyAlignment="0" applyProtection="0"/>
    <xf numFmtId="0" fontId="12" fillId="18" borderId="0" applyNumberFormat="0" applyBorder="0" applyAlignment="0" applyProtection="0"/>
    <xf numFmtId="0" fontId="12" fillId="18" borderId="0" applyNumberFormat="0" applyBorder="0" applyAlignment="0" applyProtection="0"/>
    <xf numFmtId="0" fontId="12" fillId="18" borderId="0" applyNumberFormat="0" applyBorder="0" applyAlignment="0" applyProtection="0"/>
    <xf numFmtId="0" fontId="12" fillId="18" borderId="0" applyNumberFormat="0" applyBorder="0" applyAlignment="0" applyProtection="0"/>
    <xf numFmtId="0" fontId="12" fillId="19" borderId="0" applyNumberFormat="0" applyBorder="0" applyAlignment="0" applyProtection="0"/>
    <xf numFmtId="0" fontId="13"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3"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2" fillId="21" borderId="0" applyNumberFormat="0" applyBorder="0" applyAlignment="0" applyProtection="0"/>
    <xf numFmtId="0" fontId="13" fillId="21" borderId="0" applyNumberFormat="0" applyBorder="0" applyAlignment="0" applyProtection="0"/>
    <xf numFmtId="0" fontId="12" fillId="21" borderId="0" applyNumberFormat="0" applyBorder="0" applyAlignment="0" applyProtection="0"/>
    <xf numFmtId="0" fontId="12" fillId="21" borderId="0" applyNumberFormat="0" applyBorder="0" applyAlignment="0" applyProtection="0"/>
    <xf numFmtId="0" fontId="12" fillId="21"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3" fillId="22" borderId="0" applyNumberFormat="0" applyBorder="0" applyAlignment="0" applyProtection="0"/>
    <xf numFmtId="0" fontId="12" fillId="22" borderId="0" applyNumberFormat="0" applyBorder="0" applyAlignment="0" applyProtection="0"/>
    <xf numFmtId="0" fontId="12" fillId="22" borderId="0" applyNumberFormat="0" applyBorder="0" applyAlignment="0" applyProtection="0"/>
    <xf numFmtId="0" fontId="12" fillId="22" borderId="0" applyNumberFormat="0" applyBorder="0" applyAlignment="0" applyProtection="0"/>
    <xf numFmtId="0" fontId="12" fillId="22" borderId="0" applyNumberFormat="0" applyBorder="0" applyAlignment="0" applyProtection="0"/>
    <xf numFmtId="0" fontId="12" fillId="23" borderId="0" applyNumberFormat="0" applyBorder="0" applyAlignment="0" applyProtection="0"/>
    <xf numFmtId="0" fontId="13"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18" borderId="0" applyNumberFormat="0" applyBorder="0" applyAlignment="0" applyProtection="0"/>
    <xf numFmtId="0" fontId="13" fillId="18" borderId="0" applyNumberFormat="0" applyBorder="0" applyAlignment="0" applyProtection="0"/>
    <xf numFmtId="0" fontId="12" fillId="18" borderId="0" applyNumberFormat="0" applyBorder="0" applyAlignment="0" applyProtection="0"/>
    <xf numFmtId="0" fontId="12" fillId="18" borderId="0" applyNumberFormat="0" applyBorder="0" applyAlignment="0" applyProtection="0"/>
    <xf numFmtId="0" fontId="12" fillId="18" borderId="0" applyNumberFormat="0" applyBorder="0" applyAlignment="0" applyProtection="0"/>
    <xf numFmtId="0" fontId="12" fillId="18" borderId="0" applyNumberFormat="0" applyBorder="0" applyAlignment="0" applyProtection="0"/>
    <xf numFmtId="0" fontId="12" fillId="21" borderId="0" applyNumberFormat="0" applyBorder="0" applyAlignment="0" applyProtection="0"/>
    <xf numFmtId="0" fontId="13" fillId="21" borderId="0" applyNumberFormat="0" applyBorder="0" applyAlignment="0" applyProtection="0"/>
    <xf numFmtId="0" fontId="12" fillId="21" borderId="0" applyNumberFormat="0" applyBorder="0" applyAlignment="0" applyProtection="0"/>
    <xf numFmtId="0" fontId="12" fillId="21" borderId="0" applyNumberFormat="0" applyBorder="0" applyAlignment="0" applyProtection="0"/>
    <xf numFmtId="0" fontId="12" fillId="21" borderId="0" applyNumberFormat="0" applyBorder="0" applyAlignment="0" applyProtection="0"/>
    <xf numFmtId="0" fontId="12" fillId="21" borderId="0" applyNumberFormat="0" applyBorder="0" applyAlignment="0" applyProtection="0"/>
    <xf numFmtId="0" fontId="12" fillId="24" borderId="0" applyNumberFormat="0" applyBorder="0" applyAlignment="0" applyProtection="0"/>
    <xf numFmtId="0" fontId="13"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3" fillId="21" borderId="0" applyNumberFormat="0" applyBorder="0" applyAlignment="0" applyProtection="0"/>
    <xf numFmtId="0" fontId="13" fillId="22" borderId="0" applyNumberFormat="0" applyBorder="0" applyAlignment="0" applyProtection="0"/>
    <xf numFmtId="0" fontId="13" fillId="23" borderId="0" applyNumberFormat="0" applyBorder="0" applyAlignment="0" applyProtection="0"/>
    <xf numFmtId="0" fontId="13" fillId="18" borderId="0" applyNumberFormat="0" applyBorder="0" applyAlignment="0" applyProtection="0"/>
    <xf numFmtId="0" fontId="13" fillId="21" borderId="0" applyNumberFormat="0" applyBorder="0" applyAlignment="0" applyProtection="0"/>
    <xf numFmtId="0" fontId="13" fillId="24" borderId="0" applyNumberFormat="0" applyBorder="0" applyAlignment="0" applyProtection="0"/>
    <xf numFmtId="0" fontId="14" fillId="25" borderId="0" applyNumberFormat="0" applyBorder="0" applyAlignment="0" applyProtection="0"/>
    <xf numFmtId="0" fontId="15" fillId="25" borderId="0" applyNumberFormat="0" applyBorder="0" applyAlignment="0" applyProtection="0"/>
    <xf numFmtId="0" fontId="14" fillId="22" borderId="0" applyNumberFormat="0" applyBorder="0" applyAlignment="0" applyProtection="0"/>
    <xf numFmtId="0" fontId="15" fillId="22" borderId="0" applyNumberFormat="0" applyBorder="0" applyAlignment="0" applyProtection="0"/>
    <xf numFmtId="0" fontId="14" fillId="23" borderId="0" applyNumberFormat="0" applyBorder="0" applyAlignment="0" applyProtection="0"/>
    <xf numFmtId="0" fontId="15" fillId="23" borderId="0" applyNumberFormat="0" applyBorder="0" applyAlignment="0" applyProtection="0"/>
    <xf numFmtId="0" fontId="14" fillId="26" borderId="0" applyNumberFormat="0" applyBorder="0" applyAlignment="0" applyProtection="0"/>
    <xf numFmtId="0" fontId="15" fillId="26" borderId="0" applyNumberFormat="0" applyBorder="0" applyAlignment="0" applyProtection="0"/>
    <xf numFmtId="0" fontId="14" fillId="27" borderId="0" applyNumberFormat="0" applyBorder="0" applyAlignment="0" applyProtection="0"/>
    <xf numFmtId="0" fontId="15" fillId="27" borderId="0" applyNumberFormat="0" applyBorder="0" applyAlignment="0" applyProtection="0"/>
    <xf numFmtId="0" fontId="14" fillId="28" borderId="0" applyNumberFormat="0" applyBorder="0" applyAlignment="0" applyProtection="0"/>
    <xf numFmtId="0" fontId="15" fillId="28" borderId="0" applyNumberFormat="0" applyBorder="0" applyAlignment="0" applyProtection="0"/>
    <xf numFmtId="0" fontId="15" fillId="25" borderId="0" applyNumberFormat="0" applyBorder="0" applyAlignment="0" applyProtection="0"/>
    <xf numFmtId="0" fontId="15" fillId="22" borderId="0" applyNumberFormat="0" applyBorder="0" applyAlignment="0" applyProtection="0"/>
    <xf numFmtId="0" fontId="15" fillId="23" borderId="0" applyNumberFormat="0" applyBorder="0" applyAlignment="0" applyProtection="0"/>
    <xf numFmtId="0" fontId="15" fillId="26" borderId="0" applyNumberFormat="0" applyBorder="0" applyAlignment="0" applyProtection="0"/>
    <xf numFmtId="0" fontId="15" fillId="27" borderId="0" applyNumberFormat="0" applyBorder="0" applyAlignment="0" applyProtection="0"/>
    <xf numFmtId="0" fontId="15" fillId="28" borderId="0" applyNumberFormat="0" applyBorder="0" applyAlignment="0" applyProtection="0"/>
    <xf numFmtId="0" fontId="14" fillId="29" borderId="0" applyNumberFormat="0" applyBorder="0" applyAlignment="0" applyProtection="0"/>
    <xf numFmtId="0" fontId="15" fillId="29" borderId="0" applyNumberFormat="0" applyBorder="0" applyAlignment="0" applyProtection="0"/>
    <xf numFmtId="0" fontId="14" fillId="30" borderId="0" applyNumberFormat="0" applyBorder="0" applyAlignment="0" applyProtection="0"/>
    <xf numFmtId="0" fontId="15" fillId="30" borderId="0" applyNumberFormat="0" applyBorder="0" applyAlignment="0" applyProtection="0"/>
    <xf numFmtId="0" fontId="14" fillId="31" borderId="0" applyNumberFormat="0" applyBorder="0" applyAlignment="0" applyProtection="0"/>
    <xf numFmtId="0" fontId="15" fillId="31" borderId="0" applyNumberFormat="0" applyBorder="0" applyAlignment="0" applyProtection="0"/>
    <xf numFmtId="0" fontId="14" fillId="26" borderId="0" applyNumberFormat="0" applyBorder="0" applyAlignment="0" applyProtection="0"/>
    <xf numFmtId="0" fontId="15" fillId="26" borderId="0" applyNumberFormat="0" applyBorder="0" applyAlignment="0" applyProtection="0"/>
    <xf numFmtId="0" fontId="14" fillId="27" borderId="0" applyNumberFormat="0" applyBorder="0" applyAlignment="0" applyProtection="0"/>
    <xf numFmtId="0" fontId="15" fillId="27" borderId="0" applyNumberFormat="0" applyBorder="0" applyAlignment="0" applyProtection="0"/>
    <xf numFmtId="0" fontId="14" fillId="32" borderId="0" applyNumberFormat="0" applyBorder="0" applyAlignment="0" applyProtection="0"/>
    <xf numFmtId="0" fontId="15" fillId="32" borderId="0" applyNumberFormat="0" applyBorder="0" applyAlignment="0" applyProtection="0"/>
    <xf numFmtId="0" fontId="15" fillId="29" borderId="0" applyNumberFormat="0" applyBorder="0" applyAlignment="0" applyProtection="0"/>
    <xf numFmtId="0" fontId="15" fillId="30" borderId="0" applyNumberFormat="0" applyBorder="0" applyAlignment="0" applyProtection="0"/>
    <xf numFmtId="0" fontId="15" fillId="31" borderId="0" applyNumberFormat="0" applyBorder="0" applyAlignment="0" applyProtection="0"/>
    <xf numFmtId="0" fontId="15" fillId="26" borderId="0" applyNumberFormat="0" applyBorder="0" applyAlignment="0" applyProtection="0"/>
    <xf numFmtId="0" fontId="15" fillId="27" borderId="0" applyNumberFormat="0" applyBorder="0" applyAlignment="0" applyProtection="0"/>
    <xf numFmtId="0" fontId="15" fillId="32" borderId="0" applyNumberFormat="0" applyBorder="0" applyAlignment="0" applyProtection="0"/>
    <xf numFmtId="0" fontId="16" fillId="33" borderId="7" applyNumberFormat="0" applyAlignment="0" applyProtection="0"/>
    <xf numFmtId="0" fontId="17" fillId="16" borderId="0" applyNumberFormat="0" applyBorder="0" applyAlignment="0" applyProtection="0"/>
    <xf numFmtId="0" fontId="18" fillId="16" borderId="0" applyNumberFormat="0" applyBorder="0" applyAlignment="0" applyProtection="0"/>
    <xf numFmtId="166" fontId="19" fillId="14" borderId="0" applyNumberFormat="0" applyBorder="0" applyAlignment="0" applyProtection="0"/>
    <xf numFmtId="166" fontId="19" fillId="14" borderId="0" applyNumberFormat="0" applyBorder="0" applyAlignment="0" applyProtection="0"/>
    <xf numFmtId="0" fontId="20" fillId="33" borderId="8" applyNumberFormat="0" applyAlignment="0" applyProtection="0"/>
    <xf numFmtId="0" fontId="21" fillId="33" borderId="8" applyNumberFormat="0" applyAlignment="0" applyProtection="0"/>
    <xf numFmtId="0" fontId="20" fillId="33" borderId="8" applyNumberFormat="0" applyAlignment="0" applyProtection="0"/>
    <xf numFmtId="0" fontId="22" fillId="34" borderId="9" applyNumberFormat="0" applyAlignment="0" applyProtection="0"/>
    <xf numFmtId="0" fontId="23" fillId="34" borderId="9" applyNumberFormat="0" applyAlignment="0" applyProtection="0"/>
    <xf numFmtId="166" fontId="24" fillId="0" borderId="0" applyNumberFormat="0" applyFill="0" applyBorder="0" applyAlignment="0" applyProtection="0">
      <alignment vertical="top"/>
      <protection locked="0"/>
    </xf>
    <xf numFmtId="166" fontId="25" fillId="0" borderId="0" applyNumberFormat="0" applyFill="0" applyBorder="0" applyAlignment="0" applyProtection="0">
      <alignment vertical="top"/>
      <protection locked="0"/>
    </xf>
    <xf numFmtId="167" fontId="1" fillId="0" borderId="0" applyFont="0" applyFill="0" applyBorder="0" applyAlignment="0" applyProtection="0"/>
    <xf numFmtId="167" fontId="1"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167"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43" fontId="5"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43" fontId="5"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0" fontId="26" fillId="20" borderId="8" applyNumberFormat="0" applyAlignment="0" applyProtection="0"/>
    <xf numFmtId="0" fontId="27" fillId="0" borderId="10" applyNumberFormat="0" applyFill="0" applyAlignment="0" applyProtection="0"/>
    <xf numFmtId="0" fontId="28" fillId="0" borderId="0" applyNumberFormat="0" applyFill="0" applyBorder="0" applyAlignment="0" applyProtection="0"/>
    <xf numFmtId="165" fontId="12" fillId="0" borderId="0" applyFont="0" applyFill="0" applyBorder="0" applyAlignment="0" applyProtection="0"/>
    <xf numFmtId="0" fontId="29" fillId="0" borderId="0" applyNumberFormat="0" applyFill="0" applyBorder="0" applyAlignment="0" applyProtection="0"/>
    <xf numFmtId="0" fontId="28" fillId="0" borderId="0" applyNumberFormat="0" applyFill="0" applyBorder="0" applyAlignment="0" applyProtection="0"/>
    <xf numFmtId="0" fontId="30" fillId="17" borderId="0" applyNumberFormat="0" applyBorder="0" applyAlignment="0" applyProtection="0"/>
    <xf numFmtId="0" fontId="31" fillId="17" borderId="0" applyNumberFormat="0" applyBorder="0" applyAlignment="0" applyProtection="0"/>
    <xf numFmtId="166" fontId="32" fillId="2" borderId="0" applyNumberFormat="0" applyBorder="0" applyAlignment="0" applyProtection="0"/>
    <xf numFmtId="166" fontId="32" fillId="2" borderId="0" applyNumberFormat="0" applyBorder="0" applyAlignment="0" applyProtection="0"/>
    <xf numFmtId="0" fontId="31" fillId="17" borderId="0" applyNumberFormat="0" applyBorder="0" applyAlignment="0" applyProtection="0"/>
    <xf numFmtId="0" fontId="33" fillId="0" borderId="11" applyNumberFormat="0" applyFill="0" applyAlignment="0" applyProtection="0"/>
    <xf numFmtId="0" fontId="34" fillId="0" borderId="11" applyNumberFormat="0" applyFill="0" applyAlignment="0" applyProtection="0"/>
    <xf numFmtId="0" fontId="35" fillId="0" borderId="12" applyNumberFormat="0" applyFill="0" applyAlignment="0" applyProtection="0"/>
    <xf numFmtId="0" fontId="36" fillId="0" borderId="12" applyNumberFormat="0" applyFill="0" applyAlignment="0" applyProtection="0"/>
    <xf numFmtId="0" fontId="37" fillId="0" borderId="13" applyNumberFormat="0" applyFill="0" applyAlignment="0" applyProtection="0"/>
    <xf numFmtId="0" fontId="38" fillId="0" borderId="13" applyNumberFormat="0" applyFill="0" applyAlignment="0" applyProtection="0"/>
    <xf numFmtId="0" fontId="37" fillId="0" borderId="0" applyNumberFormat="0" applyFill="0" applyBorder="0" applyAlignment="0" applyProtection="0"/>
    <xf numFmtId="0" fontId="38" fillId="0" borderId="0" applyNumberFormat="0" applyFill="0" applyBorder="0" applyAlignment="0" applyProtection="0"/>
    <xf numFmtId="0" fontId="24" fillId="0" borderId="0" applyNumberFormat="0" applyFill="0" applyBorder="0" applyAlignment="0" applyProtection="0">
      <alignment vertical="top"/>
      <protection locked="0"/>
    </xf>
    <xf numFmtId="0" fontId="39" fillId="0" borderId="0" applyNumberFormat="0" applyFill="0" applyBorder="0" applyAlignment="0" applyProtection="0">
      <alignment vertical="top"/>
      <protection locked="0"/>
    </xf>
    <xf numFmtId="166" fontId="9" fillId="0" borderId="0" applyNumberFormat="0" applyFill="0" applyBorder="0" applyAlignment="0" applyProtection="0"/>
    <xf numFmtId="0" fontId="40" fillId="20" borderId="8" applyNumberFormat="0" applyAlignment="0" applyProtection="0"/>
    <xf numFmtId="0" fontId="26" fillId="20" borderId="8" applyNumberFormat="0" applyAlignment="0" applyProtection="0"/>
    <xf numFmtId="0" fontId="41" fillId="0" borderId="14" applyNumberFormat="0" applyFill="0" applyAlignment="0" applyProtection="0"/>
    <xf numFmtId="0" fontId="42" fillId="0" borderId="14" applyNumberFormat="0" applyFill="0" applyAlignment="0" applyProtection="0"/>
    <xf numFmtId="0" fontId="43" fillId="35" borderId="0" applyNumberFormat="0" applyBorder="0" applyAlignment="0" applyProtection="0"/>
    <xf numFmtId="0" fontId="7" fillId="0" borderId="0"/>
    <xf numFmtId="166" fontId="5" fillId="0" borderId="0"/>
    <xf numFmtId="0" fontId="7" fillId="0" borderId="0"/>
    <xf numFmtId="166" fontId="5" fillId="0" borderId="0"/>
    <xf numFmtId="0" fontId="1" fillId="0" borderId="0"/>
    <xf numFmtId="0" fontId="1" fillId="0" borderId="0"/>
    <xf numFmtId="0" fontId="1" fillId="0" borderId="0"/>
    <xf numFmtId="0" fontId="1" fillId="0" borderId="0"/>
    <xf numFmtId="0" fontId="5" fillId="0" borderId="0"/>
    <xf numFmtId="0" fontId="5" fillId="0" borderId="0"/>
    <xf numFmtId="0" fontId="1" fillId="0" borderId="0"/>
    <xf numFmtId="168" fontId="1" fillId="0" borderId="0"/>
    <xf numFmtId="0" fontId="5" fillId="0" borderId="0"/>
    <xf numFmtId="0" fontId="1" fillId="0" borderId="0"/>
    <xf numFmtId="166" fontId="1" fillId="0" borderId="0"/>
    <xf numFmtId="0" fontId="10" fillId="0" borderId="0"/>
    <xf numFmtId="0" fontId="1" fillId="0" borderId="0"/>
    <xf numFmtId="0" fontId="5" fillId="0" borderId="0"/>
    <xf numFmtId="0" fontId="5" fillId="0" borderId="0"/>
    <xf numFmtId="166" fontId="5" fillId="0" borderId="0"/>
    <xf numFmtId="0" fontId="1" fillId="0" borderId="0"/>
    <xf numFmtId="0" fontId="1" fillId="0" borderId="0"/>
    <xf numFmtId="0" fontId="1" fillId="0" borderId="0"/>
    <xf numFmtId="166" fontId="7" fillId="0" borderId="0"/>
    <xf numFmtId="0" fontId="5" fillId="0" borderId="0"/>
    <xf numFmtId="0" fontId="1" fillId="0" borderId="0"/>
    <xf numFmtId="0" fontId="1" fillId="0" borderId="0"/>
    <xf numFmtId="0" fontId="5" fillId="0" borderId="0"/>
    <xf numFmtId="0" fontId="1" fillId="0" borderId="0"/>
    <xf numFmtId="0" fontId="1" fillId="0" borderId="0"/>
    <xf numFmtId="0" fontId="1" fillId="0" borderId="0"/>
    <xf numFmtId="0" fontId="1" fillId="0" borderId="0"/>
    <xf numFmtId="169" fontId="1" fillId="0" borderId="0"/>
    <xf numFmtId="0" fontId="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9" fontId="1"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xf numFmtId="0" fontId="1" fillId="0" borderId="0"/>
    <xf numFmtId="0" fontId="1" fillId="0" borderId="0"/>
    <xf numFmtId="169" fontId="1" fillId="0" borderId="0"/>
    <xf numFmtId="169" fontId="1" fillId="0" borderId="0"/>
    <xf numFmtId="0" fontId="1" fillId="0" borderId="0"/>
    <xf numFmtId="169" fontId="1" fillId="0" borderId="0"/>
    <xf numFmtId="0" fontId="1" fillId="0" borderId="0"/>
    <xf numFmtId="169" fontId="1" fillId="0" borderId="0"/>
    <xf numFmtId="169" fontId="1" fillId="0" borderId="0"/>
    <xf numFmtId="169" fontId="1" fillId="0" borderId="0"/>
    <xf numFmtId="0" fontId="1" fillId="0" borderId="0"/>
    <xf numFmtId="169" fontId="1" fillId="0" borderId="0"/>
    <xf numFmtId="169" fontId="1" fillId="0" borderId="0"/>
    <xf numFmtId="169" fontId="1" fillId="0" borderId="0"/>
    <xf numFmtId="0" fontId="1" fillId="0" borderId="0"/>
    <xf numFmtId="169" fontId="1" fillId="0" borderId="0"/>
    <xf numFmtId="169" fontId="1" fillId="0" borderId="0"/>
    <xf numFmtId="0" fontId="1" fillId="0" borderId="0"/>
    <xf numFmtId="169" fontId="1" fillId="0" borderId="0"/>
    <xf numFmtId="169" fontId="1" fillId="0" borderId="0"/>
    <xf numFmtId="0" fontId="1" fillId="0" borderId="0"/>
    <xf numFmtId="169" fontId="1" fillId="0" borderId="0"/>
    <xf numFmtId="169" fontId="1" fillId="0" borderId="0"/>
    <xf numFmtId="0" fontId="1" fillId="0" borderId="0"/>
    <xf numFmtId="169" fontId="1" fillId="0" borderId="0"/>
    <xf numFmtId="169" fontId="1" fillId="0" borderId="0"/>
    <xf numFmtId="166" fontId="1" fillId="0" borderId="0"/>
    <xf numFmtId="169" fontId="1" fillId="0" borderId="0"/>
    <xf numFmtId="0" fontId="5" fillId="0" borderId="0"/>
    <xf numFmtId="0" fontId="5" fillId="0" borderId="0"/>
    <xf numFmtId="0" fontId="5" fillId="0" borderId="0"/>
    <xf numFmtId="0" fontId="1" fillId="0" borderId="0"/>
    <xf numFmtId="0" fontId="5" fillId="0" borderId="0"/>
    <xf numFmtId="0" fontId="12" fillId="0" borderId="0"/>
    <xf numFmtId="0" fontId="5" fillId="0" borderId="0"/>
    <xf numFmtId="0" fontId="1" fillId="0" borderId="0"/>
    <xf numFmtId="0" fontId="12" fillId="0" borderId="0"/>
    <xf numFmtId="0" fontId="5" fillId="0" borderId="0"/>
    <xf numFmtId="0" fontId="5" fillId="0" borderId="0"/>
    <xf numFmtId="166" fontId="5" fillId="0" borderId="0"/>
    <xf numFmtId="0" fontId="12" fillId="0" borderId="0"/>
    <xf numFmtId="0" fontId="5" fillId="0" borderId="0"/>
    <xf numFmtId="169" fontId="1" fillId="0" borderId="0"/>
    <xf numFmtId="169" fontId="1" fillId="0" borderId="0"/>
    <xf numFmtId="169" fontId="1" fillId="0" borderId="0"/>
    <xf numFmtId="169" fontId="1" fillId="0" borderId="0"/>
    <xf numFmtId="169" fontId="1" fillId="0" borderId="0"/>
    <xf numFmtId="0" fontId="1" fillId="0" borderId="0"/>
    <xf numFmtId="0" fontId="1" fillId="0" borderId="0"/>
    <xf numFmtId="0" fontId="1" fillId="0" borderId="0"/>
    <xf numFmtId="0" fontId="1" fillId="0" borderId="0"/>
    <xf numFmtId="166" fontId="1" fillId="0" borderId="0"/>
    <xf numFmtId="0" fontId="1" fillId="0" borderId="0"/>
    <xf numFmtId="166" fontId="1" fillId="0" borderId="0"/>
    <xf numFmtId="0" fontId="12" fillId="0" borderId="0"/>
    <xf numFmtId="0" fontId="5" fillId="0" borderId="0"/>
    <xf numFmtId="0" fontId="5" fillId="0" borderId="0"/>
    <xf numFmtId="0" fontId="5" fillId="0" borderId="0"/>
    <xf numFmtId="166" fontId="1" fillId="0" borderId="0"/>
    <xf numFmtId="0" fontId="1" fillId="0" borderId="0"/>
    <xf numFmtId="0" fontId="5" fillId="0" borderId="0"/>
    <xf numFmtId="0" fontId="5" fillId="0" borderId="0"/>
    <xf numFmtId="0" fontId="5" fillId="0" borderId="0"/>
    <xf numFmtId="166" fontId="1" fillId="0" borderId="0"/>
    <xf numFmtId="0" fontId="12" fillId="0" borderId="0"/>
    <xf numFmtId="0" fontId="5" fillId="0" borderId="0"/>
    <xf numFmtId="0" fontId="5" fillId="0" borderId="0"/>
    <xf numFmtId="0" fontId="5" fillId="0" borderId="0"/>
    <xf numFmtId="166" fontId="5" fillId="0" borderId="0"/>
    <xf numFmtId="0" fontId="5" fillId="0" borderId="0"/>
    <xf numFmtId="0" fontId="5" fillId="0" borderId="0"/>
    <xf numFmtId="166" fontId="1" fillId="0" borderId="0"/>
    <xf numFmtId="0" fontId="5" fillId="0" borderId="0"/>
    <xf numFmtId="166" fontId="1" fillId="0" borderId="0"/>
    <xf numFmtId="0" fontId="5" fillId="0" borderId="0"/>
    <xf numFmtId="0" fontId="5" fillId="0" borderId="0"/>
    <xf numFmtId="0" fontId="5" fillId="0" borderId="0"/>
    <xf numFmtId="166" fontId="5" fillId="0" borderId="0"/>
    <xf numFmtId="0" fontId="5" fillId="0" borderId="0"/>
    <xf numFmtId="0" fontId="5" fillId="0" borderId="0"/>
    <xf numFmtId="166" fontId="1" fillId="0" borderId="0"/>
    <xf numFmtId="0" fontId="1" fillId="0" borderId="0"/>
    <xf numFmtId="0" fontId="5" fillId="36" borderId="15" applyNumberFormat="0" applyFont="0" applyAlignment="0" applyProtection="0"/>
    <xf numFmtId="0" fontId="5" fillId="36" borderId="15" applyNumberFormat="0" applyFont="0" applyAlignment="0" applyProtection="0"/>
    <xf numFmtId="0" fontId="5" fillId="36" borderId="15" applyNumberFormat="0" applyFont="0" applyAlignment="0" applyProtection="0"/>
    <xf numFmtId="0" fontId="5" fillId="36" borderId="15" applyNumberFormat="0" applyFont="0" applyAlignment="0" applyProtection="0"/>
    <xf numFmtId="0" fontId="44" fillId="33" borderId="7" applyNumberFormat="0" applyAlignment="0" applyProtection="0"/>
    <xf numFmtId="0" fontId="16" fillId="33" borderId="7" applyNumberForma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7" fillId="0" borderId="0" applyFont="0" applyFill="0" applyBorder="0" applyAlignment="0" applyProtection="0"/>
    <xf numFmtId="9" fontId="5" fillId="0" borderId="0" applyFont="0" applyFill="0" applyBorder="0" applyAlignment="0" applyProtection="0"/>
    <xf numFmtId="9" fontId="12"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1" fillId="0" borderId="0" applyFont="0" applyFill="0" applyBorder="0" applyAlignment="0" applyProtection="0"/>
    <xf numFmtId="0" fontId="18" fillId="16" borderId="0" applyNumberFormat="0" applyBorder="0" applyAlignment="0" applyProtection="0"/>
    <xf numFmtId="0" fontId="7" fillId="0" borderId="0"/>
    <xf numFmtId="0" fontId="45" fillId="0" borderId="0"/>
    <xf numFmtId="0" fontId="13" fillId="0" borderId="0"/>
    <xf numFmtId="0" fontId="46" fillId="0" borderId="0" applyNumberFormat="0" applyFill="0" applyBorder="0" applyAlignment="0" applyProtection="0"/>
    <xf numFmtId="166" fontId="47" fillId="11" borderId="0">
      <alignment horizontal="left" vertical="center"/>
    </xf>
    <xf numFmtId="0" fontId="48" fillId="0" borderId="10" applyNumberFormat="0" applyFill="0" applyAlignment="0" applyProtection="0"/>
    <xf numFmtId="0" fontId="27" fillId="0" borderId="10" applyNumberFormat="0" applyFill="0" applyAlignment="0" applyProtection="0"/>
    <xf numFmtId="0" fontId="46" fillId="0" borderId="0" applyNumberFormat="0" applyFill="0" applyBorder="0" applyAlignment="0" applyProtection="0"/>
    <xf numFmtId="0" fontId="34" fillId="0" borderId="11" applyNumberFormat="0" applyFill="0" applyAlignment="0" applyProtection="0"/>
    <xf numFmtId="0" fontId="36" fillId="0" borderId="12" applyNumberFormat="0" applyFill="0" applyAlignment="0" applyProtection="0"/>
    <xf numFmtId="0" fontId="38" fillId="0" borderId="13" applyNumberFormat="0" applyFill="0" applyAlignment="0" applyProtection="0"/>
    <xf numFmtId="0" fontId="38" fillId="0" borderId="0" applyNumberFormat="0" applyFill="0" applyBorder="0" applyAlignment="0" applyProtection="0"/>
    <xf numFmtId="0" fontId="42" fillId="0" borderId="14" applyNumberFormat="0" applyFill="0" applyAlignment="0" applyProtection="0"/>
    <xf numFmtId="0" fontId="49" fillId="0" borderId="0" applyNumberFormat="0" applyFill="0" applyBorder="0" applyAlignment="0" applyProtection="0"/>
    <xf numFmtId="0" fontId="50" fillId="0" borderId="0" applyNumberFormat="0" applyFill="0" applyBorder="0" applyAlignment="0" applyProtection="0"/>
    <xf numFmtId="0" fontId="49" fillId="0" borderId="0" applyNumberFormat="0" applyFill="0" applyBorder="0" applyAlignment="0" applyProtection="0"/>
    <xf numFmtId="0" fontId="23" fillId="34" borderId="9" applyNumberFormat="0" applyAlignment="0" applyProtection="0"/>
    <xf numFmtId="43" fontId="7" fillId="0" borderId="0" applyFont="0" applyFill="0" applyBorder="0" applyAlignment="0" applyProtection="0"/>
    <xf numFmtId="0" fontId="7" fillId="0" borderId="0"/>
    <xf numFmtId="169" fontId="1" fillId="0" borderId="0"/>
    <xf numFmtId="0" fontId="7" fillId="0" borderId="0"/>
    <xf numFmtId="0" fontId="5" fillId="0" borderId="0"/>
    <xf numFmtId="43" fontId="1" fillId="0" borderId="0" applyFont="0" applyFill="0" applyBorder="0" applyAlignment="0" applyProtection="0"/>
    <xf numFmtId="43" fontId="5" fillId="0" borderId="0" applyFont="0" applyFill="0" applyBorder="0" applyAlignment="0" applyProtection="0"/>
    <xf numFmtId="0" fontId="6" fillId="12" borderId="4" applyNumberFormat="0" applyAlignment="0" applyProtection="0"/>
    <xf numFmtId="43"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7"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4"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7"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7"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4" fontId="1" fillId="0" borderId="0" applyFont="0" applyFill="0" applyBorder="0" applyAlignment="0" applyProtection="0"/>
    <xf numFmtId="44" fontId="1" fillId="0" borderId="0" applyFont="0" applyFill="0" applyBorder="0" applyAlignment="0" applyProtection="0"/>
    <xf numFmtId="44"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7"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7"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4"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7"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7"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4" fontId="1" fillId="0" borderId="0" applyFont="0" applyFill="0" applyBorder="0" applyAlignment="0" applyProtection="0"/>
    <xf numFmtId="44" fontId="1" fillId="0" borderId="0" applyFont="0" applyFill="0" applyBorder="0" applyAlignment="0" applyProtection="0"/>
    <xf numFmtId="44"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xf numFmtId="44"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165" fontId="12" fillId="0" borderId="0" applyFont="0" applyFill="0" applyBorder="0" applyAlignment="0" applyProtection="0"/>
    <xf numFmtId="43" fontId="7"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7"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4" fontId="1" fillId="0" borderId="0" applyFont="0" applyFill="0" applyBorder="0" applyAlignment="0" applyProtection="0"/>
    <xf numFmtId="44" fontId="1" fillId="0" borderId="0" applyFont="0" applyFill="0" applyBorder="0" applyAlignment="0" applyProtection="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177" fontId="72" fillId="56" borderId="58">
      <alignment horizontal="center" vertical="center"/>
    </xf>
    <xf numFmtId="178" fontId="73" fillId="0" borderId="0"/>
    <xf numFmtId="178" fontId="73" fillId="0" borderId="0"/>
    <xf numFmtId="178" fontId="73" fillId="0" borderId="0"/>
    <xf numFmtId="178" fontId="73" fillId="0" borderId="0"/>
    <xf numFmtId="178" fontId="73" fillId="0" borderId="0"/>
    <xf numFmtId="178" fontId="73" fillId="0" borderId="0"/>
    <xf numFmtId="178" fontId="73" fillId="0" borderId="0"/>
    <xf numFmtId="178" fontId="73" fillId="0" borderId="0"/>
    <xf numFmtId="179" fontId="74" fillId="0" borderId="0" applyFont="0" applyFill="0" applyBorder="0" applyAlignment="0" applyProtection="0"/>
    <xf numFmtId="180" fontId="75" fillId="0" borderId="0">
      <alignment vertical="top"/>
    </xf>
    <xf numFmtId="181" fontId="5" fillId="0" borderId="0" applyFont="0" applyFill="0" applyBorder="0" applyAlignment="0" applyProtection="0"/>
    <xf numFmtId="40" fontId="76" fillId="0" borderId="30" applyBorder="0"/>
    <xf numFmtId="182" fontId="5" fillId="0" borderId="0">
      <protection locked="0"/>
    </xf>
    <xf numFmtId="38" fontId="75" fillId="55" borderId="0" applyNumberFormat="0" applyBorder="0" applyAlignment="0" applyProtection="0"/>
    <xf numFmtId="0" fontId="77" fillId="0" borderId="0" applyNumberFormat="0" applyFill="0" applyBorder="0" applyAlignment="0" applyProtection="0"/>
    <xf numFmtId="183" fontId="5" fillId="0" borderId="0">
      <protection locked="0"/>
    </xf>
    <xf numFmtId="183" fontId="5" fillId="0" borderId="0">
      <protection locked="0"/>
    </xf>
    <xf numFmtId="0" fontId="78" fillId="0" borderId="59" applyNumberFormat="0" applyFill="0" applyAlignment="0" applyProtection="0"/>
    <xf numFmtId="10" fontId="75" fillId="57" borderId="3" applyNumberFormat="0" applyBorder="0" applyAlignment="0" applyProtection="0"/>
    <xf numFmtId="184" fontId="5" fillId="0" borderId="0" applyFont="0" applyFill="0" applyBorder="0" applyAlignment="0" applyProtection="0"/>
    <xf numFmtId="41" fontId="5"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37" fontId="79" fillId="0" borderId="0"/>
    <xf numFmtId="0" fontId="80" fillId="0" borderId="0"/>
    <xf numFmtId="185" fontId="81" fillId="0" borderId="0"/>
    <xf numFmtId="0" fontId="82" fillId="0" borderId="0"/>
    <xf numFmtId="0" fontId="82" fillId="0" borderId="0"/>
    <xf numFmtId="0" fontId="1" fillId="0" borderId="0"/>
    <xf numFmtId="0" fontId="5" fillId="0" borderId="0"/>
    <xf numFmtId="0" fontId="5" fillId="0" borderId="0"/>
    <xf numFmtId="10" fontId="5" fillId="0" borderId="0" applyFont="0" applyFill="0" applyBorder="0" applyAlignment="0" applyProtection="0"/>
    <xf numFmtId="9" fontId="1" fillId="0" borderId="0" applyFont="0" applyFill="0" applyBorder="0" applyAlignment="0" applyProtection="0"/>
    <xf numFmtId="9" fontId="12" fillId="0" borderId="0" applyFont="0" applyFill="0" applyBorder="0" applyAlignment="0" applyProtection="0"/>
    <xf numFmtId="0" fontId="5" fillId="0" borderId="0"/>
    <xf numFmtId="180" fontId="83" fillId="58" borderId="3">
      <alignment horizontal="center" textRotation="180"/>
    </xf>
    <xf numFmtId="186" fontId="84" fillId="0" borderId="0" applyBorder="0">
      <alignment horizontal="centerContinuous" wrapText="1"/>
    </xf>
    <xf numFmtId="37" fontId="75" fillId="59" borderId="0" applyNumberFormat="0" applyBorder="0" applyAlignment="0" applyProtection="0"/>
    <xf numFmtId="37" fontId="75" fillId="0" borderId="0"/>
    <xf numFmtId="3" fontId="85" fillId="0" borderId="59" applyProtection="0"/>
    <xf numFmtId="187" fontId="5" fillId="0" borderId="0" applyFont="0" applyFill="0" applyBorder="0" applyAlignment="0" applyProtection="0"/>
    <xf numFmtId="188" fontId="75" fillId="0" borderId="0">
      <alignment horizontal="right" vertical="top"/>
    </xf>
    <xf numFmtId="189" fontId="75" fillId="0" borderId="0">
      <alignment horizontal="right" vertical="top"/>
    </xf>
    <xf numFmtId="0" fontId="82" fillId="0" borderId="0"/>
    <xf numFmtId="43" fontId="82" fillId="0" borderId="0" applyFont="0" applyFill="0" applyBorder="0" applyAlignment="0" applyProtection="0"/>
    <xf numFmtId="0" fontId="5" fillId="0" borderId="0"/>
    <xf numFmtId="0" fontId="5" fillId="0" borderId="0"/>
    <xf numFmtId="0" fontId="5" fillId="0" borderId="0"/>
    <xf numFmtId="0" fontId="5" fillId="0" borderId="0"/>
    <xf numFmtId="0" fontId="82" fillId="0" borderId="0"/>
    <xf numFmtId="0" fontId="82" fillId="0" borderId="0"/>
    <xf numFmtId="0" fontId="5" fillId="0" borderId="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1" fillId="0" borderId="0"/>
    <xf numFmtId="0" fontId="5" fillId="0" borderId="0"/>
    <xf numFmtId="0" fontId="1" fillId="0" borderId="0"/>
    <xf numFmtId="0" fontId="1" fillId="0" borderId="0"/>
    <xf numFmtId="9" fontId="1" fillId="0" borderId="0" applyFont="0" applyFill="0" applyBorder="0" applyAlignment="0" applyProtection="0"/>
  </cellStyleXfs>
  <cellXfs count="581">
    <xf numFmtId="0" fontId="0" fillId="0" borderId="0" xfId="0"/>
    <xf numFmtId="0" fontId="3" fillId="3" borderId="1" xfId="0" applyFont="1" applyFill="1" applyBorder="1" applyAlignment="1">
      <alignment horizontal="center" vertical="center"/>
    </xf>
    <xf numFmtId="0" fontId="3" fillId="3" borderId="3" xfId="0" applyFont="1" applyFill="1" applyBorder="1" applyAlignment="1">
      <alignment horizontal="center" vertical="center"/>
    </xf>
    <xf numFmtId="0" fontId="0" fillId="0" borderId="3" xfId="0" applyBorder="1" applyAlignment="1">
      <alignment horizontal="center" vertical="center"/>
    </xf>
    <xf numFmtId="17" fontId="3" fillId="5" borderId="1" xfId="3" applyNumberFormat="1" applyFont="1" applyFill="1" applyBorder="1" applyAlignment="1">
      <alignment horizontal="center" vertical="center"/>
    </xf>
    <xf numFmtId="0" fontId="0" fillId="0" borderId="3" xfId="0" applyBorder="1" applyAlignment="1">
      <alignment vertical="center"/>
    </xf>
    <xf numFmtId="0" fontId="4" fillId="0" borderId="3" xfId="0" applyFont="1" applyBorder="1" applyAlignment="1">
      <alignment horizontal="center" vertical="center"/>
    </xf>
    <xf numFmtId="170" fontId="0" fillId="0" borderId="3" xfId="0" applyNumberFormat="1" applyBorder="1" applyAlignment="1">
      <alignment horizontal="center" vertical="center"/>
    </xf>
    <xf numFmtId="17" fontId="3" fillId="5" borderId="19" xfId="3" applyNumberFormat="1" applyFont="1" applyFill="1" applyBorder="1" applyAlignment="1">
      <alignment horizontal="center" vertical="center"/>
    </xf>
    <xf numFmtId="0" fontId="0" fillId="0" borderId="0" xfId="0" applyAlignment="1">
      <alignment vertical="center"/>
    </xf>
    <xf numFmtId="0" fontId="4" fillId="39" borderId="3" xfId="0" applyFont="1" applyFill="1" applyBorder="1" applyAlignment="1">
      <alignment horizontal="center" vertical="center"/>
    </xf>
    <xf numFmtId="170" fontId="52" fillId="0" borderId="3" xfId="0" applyNumberFormat="1" applyFont="1" applyBorder="1" applyAlignment="1">
      <alignment horizontal="center" vertical="center"/>
    </xf>
    <xf numFmtId="43" fontId="0" fillId="0" borderId="3" xfId="1" applyFont="1" applyBorder="1"/>
    <xf numFmtId="44" fontId="0" fillId="0" borderId="3" xfId="449" applyFont="1" applyFill="1" applyBorder="1" applyAlignment="1">
      <alignment horizontal="center" vertical="center"/>
    </xf>
    <xf numFmtId="0" fontId="4" fillId="0" borderId="1" xfId="0" applyFont="1" applyBorder="1" applyAlignment="1">
      <alignment horizontal="center" vertical="center"/>
    </xf>
    <xf numFmtId="0" fontId="53" fillId="0" borderId="3" xfId="0" applyFont="1" applyBorder="1" applyAlignment="1">
      <alignment horizontal="center" vertical="center"/>
    </xf>
    <xf numFmtId="172" fontId="53" fillId="0" borderId="3" xfId="0" applyNumberFormat="1" applyFont="1" applyBorder="1" applyAlignment="1">
      <alignment horizontal="center" vertical="center"/>
    </xf>
    <xf numFmtId="170" fontId="0" fillId="0" borderId="0" xfId="0" applyNumberFormat="1" applyAlignment="1">
      <alignment vertical="center"/>
    </xf>
    <xf numFmtId="170" fontId="4" fillId="0" borderId="0" xfId="0" applyNumberFormat="1" applyFont="1" applyAlignment="1">
      <alignment horizontal="center" vertical="center"/>
    </xf>
    <xf numFmtId="44" fontId="0" fillId="0" borderId="0" xfId="449" applyFont="1" applyBorder="1" applyAlignment="1">
      <alignment vertical="center"/>
    </xf>
    <xf numFmtId="49" fontId="0" fillId="0" borderId="3" xfId="0" applyNumberFormat="1" applyBorder="1" applyAlignment="1">
      <alignment vertical="center"/>
    </xf>
    <xf numFmtId="0" fontId="0" fillId="0" borderId="3" xfId="0" quotePrefix="1" applyBorder="1" applyAlignment="1">
      <alignment vertical="center" wrapText="1"/>
    </xf>
    <xf numFmtId="0" fontId="8" fillId="13" borderId="3" xfId="0" applyFont="1" applyFill="1" applyBorder="1"/>
    <xf numFmtId="44" fontId="0" fillId="0" borderId="0" xfId="0" applyNumberFormat="1"/>
    <xf numFmtId="0" fontId="3" fillId="5" borderId="16" xfId="0" applyFont="1" applyFill="1" applyBorder="1" applyAlignment="1">
      <alignment horizontal="center" vertical="center"/>
    </xf>
    <xf numFmtId="0" fontId="3" fillId="5" borderId="3" xfId="0" applyFont="1" applyFill="1" applyBorder="1" applyAlignment="1">
      <alignment horizontal="center" vertical="center"/>
    </xf>
    <xf numFmtId="17" fontId="3" fillId="5" borderId="1" xfId="0" applyNumberFormat="1" applyFont="1" applyFill="1" applyBorder="1" applyAlignment="1">
      <alignment horizontal="center" vertical="center"/>
    </xf>
    <xf numFmtId="0" fontId="3" fillId="5" borderId="3" xfId="0" applyFont="1" applyFill="1" applyBorder="1" applyAlignment="1">
      <alignment vertical="center"/>
    </xf>
    <xf numFmtId="172" fontId="54" fillId="5" borderId="3" xfId="0" applyNumberFormat="1" applyFont="1" applyFill="1" applyBorder="1" applyAlignment="1">
      <alignment horizontal="center" vertical="center"/>
    </xf>
    <xf numFmtId="0" fontId="0" fillId="40" borderId="3" xfId="0" applyFill="1" applyBorder="1" applyAlignment="1">
      <alignment vertical="center"/>
    </xf>
    <xf numFmtId="170" fontId="0" fillId="0" borderId="3" xfId="0" applyNumberFormat="1" applyBorder="1" applyAlignment="1">
      <alignment vertical="center"/>
    </xf>
    <xf numFmtId="0" fontId="3" fillId="5" borderId="0" xfId="0" applyFont="1" applyFill="1" applyAlignment="1">
      <alignment horizontal="center" vertical="center"/>
    </xf>
    <xf numFmtId="0" fontId="0" fillId="0" borderId="3" xfId="0" applyBorder="1" applyAlignment="1">
      <alignment vertical="center" wrapText="1"/>
    </xf>
    <xf numFmtId="44" fontId="0" fillId="0" borderId="3" xfId="449" applyFont="1" applyBorder="1" applyAlignment="1">
      <alignment horizontal="center" vertical="center"/>
    </xf>
    <xf numFmtId="0" fontId="0" fillId="0" borderId="3" xfId="0" applyBorder="1" applyAlignment="1">
      <alignment horizontal="left" vertical="center" wrapText="1"/>
    </xf>
    <xf numFmtId="0" fontId="0" fillId="0" borderId="23" xfId="0" applyBorder="1" applyAlignment="1">
      <alignment horizontal="center" vertical="center"/>
    </xf>
    <xf numFmtId="0" fontId="0" fillId="13" borderId="23" xfId="0" applyFill="1" applyBorder="1" applyAlignment="1">
      <alignment horizontal="center" vertical="center"/>
    </xf>
    <xf numFmtId="0" fontId="0" fillId="0" borderId="27" xfId="0" applyBorder="1" applyAlignment="1">
      <alignment horizontal="center" vertical="center"/>
    </xf>
    <xf numFmtId="0" fontId="0" fillId="13" borderId="24" xfId="0" applyFill="1" applyBorder="1" applyAlignment="1">
      <alignment horizontal="center" vertical="center"/>
    </xf>
    <xf numFmtId="164" fontId="0" fillId="0" borderId="0" xfId="0" applyNumberFormat="1" applyAlignment="1">
      <alignment vertical="center"/>
    </xf>
    <xf numFmtId="0" fontId="4" fillId="0" borderId="0" xfId="0" applyFont="1" applyAlignment="1">
      <alignment vertical="center"/>
    </xf>
    <xf numFmtId="164" fontId="4" fillId="0" borderId="0" xfId="0" applyNumberFormat="1" applyFont="1" applyAlignment="1">
      <alignment vertical="center"/>
    </xf>
    <xf numFmtId="164" fontId="4" fillId="0" borderId="3" xfId="0" applyNumberFormat="1" applyFont="1" applyBorder="1" applyAlignment="1">
      <alignment vertical="center"/>
    </xf>
    <xf numFmtId="164" fontId="4" fillId="0" borderId="0" xfId="0" applyNumberFormat="1" applyFont="1" applyAlignment="1">
      <alignment horizontal="right" vertical="center"/>
    </xf>
    <xf numFmtId="164" fontId="0" fillId="0" borderId="3" xfId="0" applyNumberFormat="1" applyBorder="1" applyAlignment="1">
      <alignment vertical="center"/>
    </xf>
    <xf numFmtId="0" fontId="4" fillId="6" borderId="3" xfId="0" applyFont="1" applyFill="1" applyBorder="1" applyAlignment="1">
      <alignment vertical="center"/>
    </xf>
    <xf numFmtId="43" fontId="4" fillId="4" borderId="3" xfId="0" applyNumberFormat="1" applyFont="1" applyFill="1" applyBorder="1" applyAlignment="1">
      <alignment vertical="center"/>
    </xf>
    <xf numFmtId="43" fontId="4" fillId="37" borderId="3" xfId="0" applyNumberFormat="1" applyFont="1" applyFill="1" applyBorder="1" applyAlignment="1">
      <alignment vertical="center"/>
    </xf>
    <xf numFmtId="0" fontId="4" fillId="6" borderId="6" xfId="0" applyFont="1" applyFill="1" applyBorder="1" applyAlignment="1">
      <alignment vertical="center"/>
    </xf>
    <xf numFmtId="43" fontId="4" fillId="0" borderId="3" xfId="0" applyNumberFormat="1" applyFont="1" applyBorder="1" applyAlignment="1">
      <alignment vertical="center"/>
    </xf>
    <xf numFmtId="0" fontId="4" fillId="6" borderId="2" xfId="0" applyFont="1" applyFill="1" applyBorder="1" applyAlignment="1">
      <alignment vertical="center"/>
    </xf>
    <xf numFmtId="43" fontId="4" fillId="4" borderId="2" xfId="1" applyFont="1" applyFill="1" applyBorder="1" applyAlignment="1">
      <alignment vertical="center"/>
    </xf>
    <xf numFmtId="43" fontId="0" fillId="41" borderId="2" xfId="1" applyFont="1" applyFill="1" applyBorder="1" applyAlignment="1">
      <alignment vertical="center"/>
    </xf>
    <xf numFmtId="43" fontId="0" fillId="41" borderId="3" xfId="1" applyFont="1" applyFill="1" applyBorder="1" applyAlignment="1">
      <alignment vertical="center"/>
    </xf>
    <xf numFmtId="43" fontId="0" fillId="0" borderId="2" xfId="1" applyFont="1" applyBorder="1" applyAlignment="1">
      <alignment vertical="center"/>
    </xf>
    <xf numFmtId="43" fontId="4" fillId="4" borderId="3" xfId="1" applyFont="1" applyFill="1" applyBorder="1" applyAlignment="1">
      <alignment vertical="center"/>
    </xf>
    <xf numFmtId="43" fontId="0" fillId="0" borderId="3" xfId="1" applyFont="1" applyBorder="1" applyAlignment="1">
      <alignment vertical="center"/>
    </xf>
    <xf numFmtId="43" fontId="0" fillId="0" borderId="18" xfId="1" applyFont="1" applyBorder="1" applyAlignment="1">
      <alignment vertical="center"/>
    </xf>
    <xf numFmtId="171" fontId="4" fillId="4" borderId="3" xfId="2" applyNumberFormat="1" applyFont="1" applyFill="1" applyBorder="1" applyAlignment="1">
      <alignment vertical="center"/>
    </xf>
    <xf numFmtId="171" fontId="0" fillId="41" borderId="3" xfId="2" applyNumberFormat="1" applyFont="1" applyFill="1" applyBorder="1" applyAlignment="1">
      <alignment vertical="center"/>
    </xf>
    <xf numFmtId="171" fontId="0" fillId="0" borderId="3" xfId="2" applyNumberFormat="1" applyFont="1" applyBorder="1" applyAlignment="1">
      <alignment vertical="center"/>
    </xf>
    <xf numFmtId="171" fontId="0" fillId="0" borderId="18" xfId="2" applyNumberFormat="1" applyFont="1" applyBorder="1" applyAlignment="1">
      <alignment vertical="center"/>
    </xf>
    <xf numFmtId="43" fontId="0" fillId="41" borderId="1" xfId="1" applyFont="1" applyFill="1" applyBorder="1" applyAlignment="1">
      <alignment vertical="center"/>
    </xf>
    <xf numFmtId="43" fontId="0" fillId="38" borderId="2" xfId="1" applyFont="1" applyFill="1" applyBorder="1" applyAlignment="1">
      <alignment vertical="center"/>
    </xf>
    <xf numFmtId="43" fontId="0" fillId="38" borderId="3" xfId="1" applyFont="1" applyFill="1" applyBorder="1" applyAlignment="1">
      <alignment vertical="center"/>
    </xf>
    <xf numFmtId="171" fontId="0" fillId="38" borderId="3" xfId="2" applyNumberFormat="1" applyFont="1" applyFill="1" applyBorder="1" applyAlignment="1">
      <alignment vertical="center"/>
    </xf>
    <xf numFmtId="43" fontId="0" fillId="38" borderId="1" xfId="1" applyFont="1" applyFill="1" applyBorder="1" applyAlignment="1">
      <alignment vertical="center"/>
    </xf>
    <xf numFmtId="0" fontId="0" fillId="0" borderId="0" xfId="0" applyAlignment="1">
      <alignment horizontal="right" vertical="center" wrapText="1"/>
    </xf>
    <xf numFmtId="0" fontId="4" fillId="6" borderId="23" xfId="0" applyFont="1" applyFill="1" applyBorder="1" applyAlignment="1">
      <alignment vertical="center"/>
    </xf>
    <xf numFmtId="43" fontId="4" fillId="4" borderId="23" xfId="1" applyFont="1" applyFill="1" applyBorder="1" applyAlignment="1">
      <alignment vertical="center"/>
    </xf>
    <xf numFmtId="43" fontId="0" fillId="38" borderId="23" xfId="1" applyFont="1" applyFill="1" applyBorder="1" applyAlignment="1">
      <alignment vertical="center"/>
    </xf>
    <xf numFmtId="43" fontId="0" fillId="41" borderId="23" xfId="1" applyFont="1" applyFill="1" applyBorder="1" applyAlignment="1">
      <alignment vertical="center"/>
    </xf>
    <xf numFmtId="43" fontId="0" fillId="41" borderId="25" xfId="1" applyFont="1" applyFill="1" applyBorder="1" applyAlignment="1">
      <alignment vertical="center"/>
    </xf>
    <xf numFmtId="43" fontId="0" fillId="41" borderId="2" xfId="1" applyFont="1" applyFill="1" applyBorder="1" applyAlignment="1">
      <alignment horizontal="right" vertical="center"/>
    </xf>
    <xf numFmtId="9" fontId="0" fillId="0" borderId="0" xfId="2" applyFont="1" applyAlignment="1">
      <alignment vertical="center"/>
    </xf>
    <xf numFmtId="172" fontId="53" fillId="0" borderId="1" xfId="0" applyNumberFormat="1" applyFont="1" applyBorder="1" applyAlignment="1">
      <alignment horizontal="center" vertical="center"/>
    </xf>
    <xf numFmtId="44" fontId="58" fillId="0" borderId="0" xfId="0" applyNumberFormat="1" applyFont="1" applyAlignment="1">
      <alignment vertical="center"/>
    </xf>
    <xf numFmtId="172" fontId="53" fillId="0" borderId="30" xfId="0" applyNumberFormat="1" applyFont="1" applyBorder="1" applyAlignment="1">
      <alignment horizontal="center" vertical="center"/>
    </xf>
    <xf numFmtId="43" fontId="0" fillId="41" borderId="3" xfId="1" applyFont="1" applyFill="1" applyBorder="1" applyAlignment="1">
      <alignment horizontal="right" vertical="center"/>
    </xf>
    <xf numFmtId="0" fontId="0" fillId="0" borderId="33" xfId="0" applyBorder="1"/>
    <xf numFmtId="0" fontId="0" fillId="0" borderId="34" xfId="0" applyBorder="1"/>
    <xf numFmtId="173" fontId="3" fillId="43" borderId="33" xfId="0" applyNumberFormat="1" applyFont="1" applyFill="1" applyBorder="1" applyAlignment="1">
      <alignment horizontal="center"/>
    </xf>
    <xf numFmtId="173" fontId="3" fillId="43" borderId="34" xfId="0" applyNumberFormat="1" applyFont="1" applyFill="1" applyBorder="1" applyAlignment="1">
      <alignment horizontal="center"/>
    </xf>
    <xf numFmtId="173" fontId="3" fillId="43" borderId="19" xfId="0" applyNumberFormat="1" applyFont="1" applyFill="1" applyBorder="1" applyAlignment="1">
      <alignment horizontal="center"/>
    </xf>
    <xf numFmtId="173" fontId="3" fillId="43" borderId="32" xfId="0" applyNumberFormat="1" applyFont="1" applyFill="1" applyBorder="1" applyAlignment="1">
      <alignment horizontal="center"/>
    </xf>
    <xf numFmtId="9" fontId="0" fillId="0" borderId="0" xfId="2" applyFont="1"/>
    <xf numFmtId="173" fontId="0" fillId="0" borderId="33" xfId="0" applyNumberFormat="1" applyBorder="1"/>
    <xf numFmtId="173" fontId="0" fillId="0" borderId="34" xfId="0" applyNumberFormat="1" applyBorder="1"/>
    <xf numFmtId="173" fontId="0" fillId="0" borderId="19" xfId="0" applyNumberFormat="1" applyBorder="1"/>
    <xf numFmtId="173" fontId="0" fillId="0" borderId="32" xfId="0" applyNumberFormat="1" applyBorder="1"/>
    <xf numFmtId="2" fontId="0" fillId="0" borderId="32" xfId="0" applyNumberFormat="1" applyBorder="1"/>
    <xf numFmtId="2" fontId="0" fillId="0" borderId="34" xfId="0" applyNumberFormat="1" applyBorder="1"/>
    <xf numFmtId="171" fontId="0" fillId="0" borderId="0" xfId="2" applyNumberFormat="1" applyFont="1"/>
    <xf numFmtId="173" fontId="57" fillId="0" borderId="33" xfId="0" applyNumberFormat="1" applyFont="1" applyBorder="1"/>
    <xf numFmtId="173" fontId="57" fillId="0" borderId="34" xfId="0" applyNumberFormat="1" applyFont="1" applyBorder="1"/>
    <xf numFmtId="173" fontId="0" fillId="0" borderId="0" xfId="0" applyNumberFormat="1"/>
    <xf numFmtId="0" fontId="59" fillId="38" borderId="0" xfId="0" applyFont="1" applyFill="1"/>
    <xf numFmtId="44" fontId="4" fillId="38" borderId="36" xfId="449" applyFont="1" applyFill="1" applyBorder="1"/>
    <xf numFmtId="0" fontId="4" fillId="44" borderId="0" xfId="0" applyFont="1" applyFill="1"/>
    <xf numFmtId="0" fontId="0" fillId="0" borderId="16" xfId="0" applyBorder="1"/>
    <xf numFmtId="44" fontId="0" fillId="0" borderId="3" xfId="449" applyFont="1" applyBorder="1"/>
    <xf numFmtId="44" fontId="0" fillId="0" borderId="3" xfId="449" applyFont="1" applyFill="1" applyBorder="1"/>
    <xf numFmtId="0" fontId="0" fillId="0" borderId="3" xfId="0" applyBorder="1"/>
    <xf numFmtId="174" fontId="0" fillId="0" borderId="3" xfId="1" applyNumberFormat="1" applyFont="1" applyBorder="1" applyAlignment="1">
      <alignment horizontal="right"/>
    </xf>
    <xf numFmtId="174" fontId="0" fillId="0" borderId="3" xfId="0" applyNumberFormat="1" applyBorder="1"/>
    <xf numFmtId="174" fontId="0" fillId="0" borderId="37" xfId="0" applyNumberFormat="1" applyBorder="1"/>
    <xf numFmtId="175" fontId="0" fillId="0" borderId="3" xfId="0" applyNumberFormat="1" applyBorder="1"/>
    <xf numFmtId="175" fontId="0" fillId="0" borderId="37" xfId="0" applyNumberFormat="1" applyBorder="1"/>
    <xf numFmtId="174" fontId="0" fillId="0" borderId="3" xfId="1" applyNumberFormat="1" applyFont="1" applyFill="1" applyBorder="1"/>
    <xf numFmtId="174" fontId="0" fillId="37" borderId="3" xfId="0" applyNumberFormat="1" applyFill="1" applyBorder="1" applyAlignment="1">
      <alignment horizontal="center" vertical="center"/>
    </xf>
    <xf numFmtId="174" fontId="56" fillId="45" borderId="3" xfId="0" applyNumberFormat="1" applyFont="1" applyFill="1" applyBorder="1" applyAlignment="1">
      <alignment horizontal="right" vertical="center"/>
    </xf>
    <xf numFmtId="175" fontId="4" fillId="0" borderId="3" xfId="0" applyNumberFormat="1" applyFont="1" applyBorder="1"/>
    <xf numFmtId="4" fontId="0" fillId="0" borderId="3" xfId="0" applyNumberFormat="1" applyBorder="1"/>
    <xf numFmtId="0" fontId="4" fillId="46" borderId="0" xfId="0" applyFont="1" applyFill="1" applyAlignment="1">
      <alignment horizontal="left" vertical="center"/>
    </xf>
    <xf numFmtId="0" fontId="0" fillId="0" borderId="0" xfId="0" applyAlignment="1">
      <alignment horizontal="center"/>
    </xf>
    <xf numFmtId="0" fontId="0" fillId="0" borderId="3" xfId="0" applyBorder="1" applyAlignment="1">
      <alignment horizontal="left" vertical="center"/>
    </xf>
    <xf numFmtId="0" fontId="4" fillId="41" borderId="0" xfId="0" applyFont="1" applyFill="1" applyAlignment="1">
      <alignment horizontal="left" vertical="center"/>
    </xf>
    <xf numFmtId="175" fontId="0" fillId="0" borderId="0" xfId="0" applyNumberFormat="1"/>
    <xf numFmtId="0" fontId="4" fillId="47" borderId="0" xfId="0" applyFont="1" applyFill="1" applyAlignment="1">
      <alignment horizontal="left" vertical="center"/>
    </xf>
    <xf numFmtId="0" fontId="0" fillId="47" borderId="0" xfId="0" applyFill="1" applyAlignment="1">
      <alignment horizontal="center"/>
    </xf>
    <xf numFmtId="44" fontId="4" fillId="41" borderId="0" xfId="449" applyFont="1" applyFill="1"/>
    <xf numFmtId="4" fontId="0" fillId="0" borderId="0" xfId="0" applyNumberFormat="1"/>
    <xf numFmtId="0" fontId="3" fillId="48" borderId="16" xfId="0" applyFont="1" applyFill="1" applyBorder="1" applyAlignment="1">
      <alignment horizontal="center" vertical="center"/>
    </xf>
    <xf numFmtId="173" fontId="0" fillId="11" borderId="33" xfId="0" applyNumberFormat="1" applyFill="1" applyBorder="1"/>
    <xf numFmtId="0" fontId="0" fillId="0" borderId="0" xfId="0" pivotButton="1" applyAlignment="1">
      <alignment vertical="center"/>
    </xf>
    <xf numFmtId="49" fontId="0" fillId="0" borderId="0" xfId="0" applyNumberFormat="1" applyAlignment="1">
      <alignment vertical="center"/>
    </xf>
    <xf numFmtId="44" fontId="0" fillId="0" borderId="0" xfId="449" applyFont="1" applyAlignment="1">
      <alignment vertical="center"/>
    </xf>
    <xf numFmtId="0" fontId="0" fillId="0" borderId="0" xfId="0" applyAlignment="1">
      <alignment horizontal="left" vertical="center"/>
    </xf>
    <xf numFmtId="44" fontId="0" fillId="0" borderId="0" xfId="0" applyNumberFormat="1" applyAlignment="1">
      <alignment vertical="center"/>
    </xf>
    <xf numFmtId="49" fontId="0" fillId="0" borderId="0" xfId="0" applyNumberFormat="1" applyAlignment="1">
      <alignment vertical="center" wrapText="1"/>
    </xf>
    <xf numFmtId="3" fontId="0" fillId="0" borderId="0" xfId="0" applyNumberFormat="1" applyAlignment="1">
      <alignment vertical="center"/>
    </xf>
    <xf numFmtId="0" fontId="0" fillId="0" borderId="0" xfId="0" applyAlignment="1">
      <alignment vertical="center" wrapText="1"/>
    </xf>
    <xf numFmtId="3" fontId="0" fillId="0" borderId="0" xfId="0" applyNumberFormat="1" applyAlignment="1">
      <alignment vertical="center" wrapText="1"/>
    </xf>
    <xf numFmtId="174" fontId="0" fillId="0" borderId="0" xfId="0" applyNumberFormat="1"/>
    <xf numFmtId="0" fontId="4" fillId="0" borderId="0" xfId="0" applyFont="1"/>
    <xf numFmtId="2" fontId="0" fillId="0" borderId="0" xfId="0" applyNumberFormat="1"/>
    <xf numFmtId="44" fontId="0" fillId="41" borderId="28" xfId="449" applyFont="1" applyFill="1" applyBorder="1" applyAlignment="1">
      <alignment horizontal="right" vertical="center"/>
    </xf>
    <xf numFmtId="2" fontId="0" fillId="0" borderId="33" xfId="0" applyNumberFormat="1" applyBorder="1"/>
    <xf numFmtId="173" fontId="0" fillId="11" borderId="34" xfId="0" applyNumberFormat="1" applyFill="1" applyBorder="1"/>
    <xf numFmtId="0" fontId="0" fillId="0" borderId="0" xfId="0" applyAlignment="1">
      <alignment horizontal="center" vertical="center"/>
    </xf>
    <xf numFmtId="0" fontId="61" fillId="0" borderId="0" xfId="0" applyFont="1"/>
    <xf numFmtId="44" fontId="0" fillId="41" borderId="29" xfId="449" applyFont="1" applyFill="1" applyBorder="1" applyAlignment="1">
      <alignment vertical="center"/>
    </xf>
    <xf numFmtId="44" fontId="0" fillId="0" borderId="3" xfId="0" applyNumberFormat="1" applyBorder="1"/>
    <xf numFmtId="8" fontId="55" fillId="0" borderId="0" xfId="0" applyNumberFormat="1" applyFont="1"/>
    <xf numFmtId="8" fontId="60" fillId="0" borderId="0" xfId="0" applyNumberFormat="1" applyFont="1"/>
    <xf numFmtId="4" fontId="60" fillId="0" borderId="0" xfId="0" applyNumberFormat="1" applyFont="1"/>
    <xf numFmtId="44" fontId="0" fillId="0" borderId="31" xfId="0" applyNumberFormat="1" applyBorder="1"/>
    <xf numFmtId="44" fontId="0" fillId="0" borderId="0" xfId="449" applyFont="1" applyBorder="1"/>
    <xf numFmtId="174" fontId="56" fillId="45" borderId="0" xfId="0" applyNumberFormat="1" applyFont="1" applyFill="1" applyAlignment="1">
      <alignment horizontal="right" vertical="center"/>
    </xf>
    <xf numFmtId="174" fontId="0" fillId="37" borderId="0" xfId="0" applyNumberFormat="1" applyFill="1" applyAlignment="1">
      <alignment horizontal="center" vertical="center"/>
    </xf>
    <xf numFmtId="44" fontId="0" fillId="38" borderId="25" xfId="449" applyFont="1" applyFill="1" applyBorder="1" applyAlignment="1">
      <alignment vertical="center"/>
    </xf>
    <xf numFmtId="44" fontId="0" fillId="0" borderId="0" xfId="449" applyFont="1"/>
    <xf numFmtId="8" fontId="0" fillId="0" borderId="0" xfId="0" applyNumberFormat="1" applyAlignment="1">
      <alignment vertical="center"/>
    </xf>
    <xf numFmtId="44" fontId="0" fillId="0" borderId="0" xfId="449" applyFont="1" applyFill="1" applyBorder="1" applyAlignment="1">
      <alignment vertical="center"/>
    </xf>
    <xf numFmtId="8" fontId="0" fillId="0" borderId="0" xfId="449" applyNumberFormat="1" applyFont="1" applyFill="1" applyBorder="1" applyAlignment="1">
      <alignment vertical="center"/>
    </xf>
    <xf numFmtId="17" fontId="63" fillId="0" borderId="0" xfId="0" applyNumberFormat="1" applyFont="1" applyAlignment="1">
      <alignment horizontal="center" vertical="center"/>
    </xf>
    <xf numFmtId="174" fontId="0" fillId="0" borderId="0" xfId="0" applyNumberFormat="1" applyAlignment="1">
      <alignment horizontal="center"/>
    </xf>
    <xf numFmtId="0" fontId="0" fillId="42" borderId="0" xfId="0" applyFill="1" applyAlignment="1">
      <alignment vertical="center"/>
    </xf>
    <xf numFmtId="0" fontId="62" fillId="0" borderId="0" xfId="0" applyFont="1" applyAlignment="1">
      <alignment horizontal="center" vertical="center" wrapText="1"/>
    </xf>
    <xf numFmtId="0" fontId="62" fillId="0" borderId="0" xfId="0" applyFont="1" applyAlignment="1">
      <alignment vertical="center" wrapText="1"/>
    </xf>
    <xf numFmtId="4" fontId="64" fillId="0" borderId="0" xfId="0" applyNumberFormat="1" applyFont="1"/>
    <xf numFmtId="8" fontId="0" fillId="0" borderId="0" xfId="449" applyNumberFormat="1" applyFont="1" applyAlignment="1">
      <alignment vertical="center"/>
    </xf>
    <xf numFmtId="44" fontId="4" fillId="38" borderId="6" xfId="449" applyFont="1" applyFill="1" applyBorder="1"/>
    <xf numFmtId="0" fontId="0" fillId="40" borderId="3" xfId="0" applyFill="1" applyBorder="1" applyAlignment="1">
      <alignment vertical="center" wrapText="1"/>
    </xf>
    <xf numFmtId="0" fontId="67" fillId="0" borderId="0" xfId="0" applyFont="1"/>
    <xf numFmtId="4" fontId="0" fillId="38" borderId="0" xfId="0" applyNumberFormat="1" applyFill="1"/>
    <xf numFmtId="44" fontId="0" fillId="38" borderId="24" xfId="449" applyFont="1" applyFill="1" applyBorder="1" applyAlignment="1">
      <alignment vertical="center"/>
    </xf>
    <xf numFmtId="3" fontId="0" fillId="0" borderId="0" xfId="0" applyNumberFormat="1"/>
    <xf numFmtId="8" fontId="0" fillId="0" borderId="0" xfId="0" applyNumberFormat="1"/>
    <xf numFmtId="44" fontId="0" fillId="0" borderId="0" xfId="449" applyFont="1" applyFill="1" applyBorder="1"/>
    <xf numFmtId="170" fontId="0" fillId="0" borderId="3" xfId="0" applyNumberFormat="1" applyBorder="1" applyAlignment="1">
      <alignment vertical="center" wrapText="1"/>
    </xf>
    <xf numFmtId="0" fontId="58" fillId="0" borderId="0" xfId="0" applyFont="1" applyAlignment="1">
      <alignment vertical="center"/>
    </xf>
    <xf numFmtId="173" fontId="58" fillId="0" borderId="0" xfId="0" applyNumberFormat="1" applyFont="1" applyAlignment="1">
      <alignment horizontal="center" vertical="center"/>
    </xf>
    <xf numFmtId="44" fontId="4" fillId="0" borderId="0" xfId="449" applyFont="1" applyBorder="1"/>
    <xf numFmtId="175" fontId="4" fillId="0" borderId="0" xfId="0" applyNumberFormat="1" applyFont="1"/>
    <xf numFmtId="0" fontId="4" fillId="44" borderId="0" xfId="0" applyFont="1" applyFill="1" applyAlignment="1">
      <alignment horizontal="center"/>
    </xf>
    <xf numFmtId="0" fontId="4" fillId="46" borderId="0" xfId="0" applyFont="1" applyFill="1" applyAlignment="1">
      <alignment horizontal="center"/>
    </xf>
    <xf numFmtId="0" fontId="4" fillId="47" borderId="0" xfId="0" applyFont="1" applyFill="1" applyAlignment="1">
      <alignment horizontal="center"/>
    </xf>
    <xf numFmtId="43" fontId="0" fillId="38" borderId="42" xfId="1" applyFont="1" applyFill="1" applyBorder="1" applyAlignment="1">
      <alignment vertical="center"/>
    </xf>
    <xf numFmtId="43" fontId="0" fillId="38" borderId="16" xfId="1" applyFont="1" applyFill="1" applyBorder="1" applyAlignment="1">
      <alignment vertical="center"/>
    </xf>
    <xf numFmtId="43" fontId="0" fillId="38" borderId="35" xfId="1" applyFont="1" applyFill="1" applyBorder="1" applyAlignment="1">
      <alignment vertical="center"/>
    </xf>
    <xf numFmtId="171" fontId="0" fillId="38" borderId="16" xfId="2" applyNumberFormat="1" applyFont="1" applyFill="1" applyBorder="1" applyAlignment="1">
      <alignment vertical="center"/>
    </xf>
    <xf numFmtId="43" fontId="0" fillId="38" borderId="19" xfId="1" applyFont="1" applyFill="1" applyBorder="1" applyAlignment="1">
      <alignment vertical="center"/>
    </xf>
    <xf numFmtId="43" fontId="0" fillId="38" borderId="20" xfId="1" applyFont="1" applyFill="1" applyBorder="1" applyAlignment="1">
      <alignment vertical="center"/>
    </xf>
    <xf numFmtId="43" fontId="0" fillId="38" borderId="21" xfId="1" applyFont="1" applyFill="1" applyBorder="1" applyAlignment="1">
      <alignment vertical="center"/>
    </xf>
    <xf numFmtId="171" fontId="0" fillId="38" borderId="21" xfId="2" applyNumberFormat="1" applyFont="1" applyFill="1" applyBorder="1" applyAlignment="1">
      <alignment vertical="center"/>
    </xf>
    <xf numFmtId="43" fontId="0" fillId="38" borderId="41" xfId="1" applyFont="1" applyFill="1" applyBorder="1" applyAlignment="1">
      <alignment vertical="center"/>
    </xf>
    <xf numFmtId="43" fontId="0" fillId="0" borderId="38" xfId="1" applyFont="1" applyBorder="1" applyAlignment="1">
      <alignment vertical="center"/>
    </xf>
    <xf numFmtId="43" fontId="0" fillId="0" borderId="39" xfId="1" applyFont="1" applyBorder="1" applyAlignment="1">
      <alignment vertical="center"/>
    </xf>
    <xf numFmtId="43" fontId="0" fillId="38" borderId="22" xfId="1" applyFont="1" applyFill="1" applyBorder="1" applyAlignment="1">
      <alignment vertical="center"/>
    </xf>
    <xf numFmtId="43" fontId="0" fillId="38" borderId="24" xfId="1" applyFont="1" applyFill="1" applyBorder="1" applyAlignment="1">
      <alignment vertical="center"/>
    </xf>
    <xf numFmtId="0" fontId="0" fillId="0" borderId="23" xfId="0" applyBorder="1" applyAlignment="1">
      <alignment horizontal="left" vertical="center" wrapText="1"/>
    </xf>
    <xf numFmtId="43" fontId="0" fillId="0" borderId="0" xfId="0" applyNumberFormat="1" applyAlignment="1">
      <alignment vertical="center"/>
    </xf>
    <xf numFmtId="8" fontId="0" fillId="0" borderId="0" xfId="449" applyNumberFormat="1" applyFont="1" applyBorder="1"/>
    <xf numFmtId="173" fontId="3" fillId="43" borderId="0" xfId="0" applyNumberFormat="1" applyFont="1" applyFill="1" applyAlignment="1">
      <alignment horizontal="center"/>
    </xf>
    <xf numFmtId="173" fontId="0" fillId="0" borderId="44" xfId="0" applyNumberFormat="1" applyBorder="1"/>
    <xf numFmtId="44" fontId="0" fillId="0" borderId="0" xfId="449" applyFont="1" applyFill="1" applyAlignment="1">
      <alignment vertical="center"/>
    </xf>
    <xf numFmtId="2" fontId="0" fillId="0" borderId="34" xfId="449" applyNumberFormat="1" applyFont="1" applyBorder="1" applyAlignment="1">
      <alignment horizontal="right"/>
    </xf>
    <xf numFmtId="9" fontId="0" fillId="0" borderId="0" xfId="0" applyNumberFormat="1" applyAlignment="1">
      <alignment vertical="center"/>
    </xf>
    <xf numFmtId="0" fontId="68" fillId="0" borderId="0" xfId="0" applyFont="1"/>
    <xf numFmtId="43" fontId="0" fillId="38" borderId="6" xfId="1" applyFont="1" applyFill="1" applyBorder="1" applyAlignment="1">
      <alignment vertical="center"/>
    </xf>
    <xf numFmtId="43" fontId="0" fillId="38" borderId="38" xfId="1" applyFont="1" applyFill="1" applyBorder="1" applyAlignment="1">
      <alignment vertical="center"/>
    </xf>
    <xf numFmtId="174" fontId="0" fillId="0" borderId="0" xfId="1" applyNumberFormat="1" applyFont="1" applyFill="1" applyBorder="1"/>
    <xf numFmtId="0" fontId="3" fillId="43" borderId="19" xfId="0" applyFont="1" applyFill="1" applyBorder="1" applyAlignment="1">
      <alignment horizontal="center"/>
    </xf>
    <xf numFmtId="0" fontId="3" fillId="43" borderId="32" xfId="0" applyFont="1" applyFill="1" applyBorder="1" applyAlignment="1">
      <alignment horizontal="center"/>
    </xf>
    <xf numFmtId="174" fontId="58" fillId="0" borderId="0" xfId="0" applyNumberFormat="1" applyFont="1" applyAlignment="1">
      <alignment vertical="center"/>
    </xf>
    <xf numFmtId="0" fontId="0" fillId="0" borderId="0" xfId="0" applyAlignment="1">
      <alignment wrapText="1"/>
    </xf>
    <xf numFmtId="43" fontId="0" fillId="0" borderId="18" xfId="1" applyFont="1" applyFill="1" applyBorder="1" applyAlignment="1">
      <alignment vertical="center"/>
    </xf>
    <xf numFmtId="8" fontId="0" fillId="0" borderId="0" xfId="449" applyNumberFormat="1" applyFont="1" applyFill="1" applyBorder="1"/>
    <xf numFmtId="43" fontId="0" fillId="0" borderId="16" xfId="1" applyFont="1" applyFill="1" applyBorder="1" applyAlignment="1">
      <alignment vertical="center"/>
    </xf>
    <xf numFmtId="43" fontId="0" fillId="0" borderId="21" xfId="1" applyFont="1" applyBorder="1" applyAlignment="1">
      <alignment vertical="center"/>
    </xf>
    <xf numFmtId="171" fontId="0" fillId="0" borderId="21" xfId="2" applyNumberFormat="1" applyFont="1" applyBorder="1" applyAlignment="1">
      <alignment vertical="center"/>
    </xf>
    <xf numFmtId="43" fontId="0" fillId="0" borderId="41" xfId="1" applyFont="1" applyBorder="1" applyAlignment="1">
      <alignment vertical="center"/>
    </xf>
    <xf numFmtId="43" fontId="0" fillId="38" borderId="45" xfId="1" applyFont="1" applyFill="1" applyBorder="1" applyAlignment="1">
      <alignment vertical="center"/>
    </xf>
    <xf numFmtId="43" fontId="0" fillId="0" borderId="25" xfId="1" applyFont="1" applyFill="1" applyBorder="1" applyAlignment="1">
      <alignment vertical="center"/>
    </xf>
    <xf numFmtId="43" fontId="0" fillId="38" borderId="25" xfId="1" applyFont="1" applyFill="1" applyBorder="1" applyAlignment="1">
      <alignment vertical="center"/>
    </xf>
    <xf numFmtId="44" fontId="0" fillId="0" borderId="0" xfId="0" applyNumberFormat="1" applyAlignment="1">
      <alignment vertical="center" wrapText="1"/>
    </xf>
    <xf numFmtId="8" fontId="0" fillId="0" borderId="3" xfId="0" applyNumberFormat="1" applyBorder="1" applyAlignment="1">
      <alignment vertical="center" wrapText="1"/>
    </xf>
    <xf numFmtId="44" fontId="0" fillId="42" borderId="0" xfId="0" applyNumberFormat="1" applyFill="1" applyAlignment="1">
      <alignment vertical="center"/>
    </xf>
    <xf numFmtId="8" fontId="0" fillId="38" borderId="20" xfId="1" applyNumberFormat="1" applyFont="1" applyFill="1" applyBorder="1" applyAlignment="1">
      <alignment vertical="center"/>
    </xf>
    <xf numFmtId="0" fontId="0" fillId="0" borderId="0" xfId="449" applyNumberFormat="1" applyFont="1" applyAlignment="1">
      <alignment horizontal="left" vertical="center"/>
    </xf>
    <xf numFmtId="8" fontId="0" fillId="0" borderId="3" xfId="0" applyNumberFormat="1" applyBorder="1" applyAlignment="1">
      <alignment wrapText="1"/>
    </xf>
    <xf numFmtId="44" fontId="0" fillId="0" borderId="3" xfId="449" applyFont="1" applyFill="1" applyBorder="1" applyAlignment="1">
      <alignment vertical="center"/>
    </xf>
    <xf numFmtId="49" fontId="0" fillId="0" borderId="0" xfId="0" applyNumberFormat="1" applyAlignment="1">
      <alignment horizontal="left" vertical="center"/>
    </xf>
    <xf numFmtId="49" fontId="0" fillId="0" borderId="0" xfId="449" applyNumberFormat="1" applyFont="1" applyFill="1" applyBorder="1" applyAlignment="1">
      <alignment vertical="center"/>
    </xf>
    <xf numFmtId="49" fontId="0" fillId="0" borderId="0" xfId="449" applyNumberFormat="1" applyFont="1" applyBorder="1" applyAlignment="1">
      <alignment vertical="center"/>
    </xf>
    <xf numFmtId="49" fontId="67" fillId="0" borderId="0" xfId="0" applyNumberFormat="1" applyFont="1" applyAlignment="1">
      <alignment vertical="center"/>
    </xf>
    <xf numFmtId="44" fontId="4" fillId="0" borderId="0" xfId="449" applyFont="1" applyFill="1" applyBorder="1"/>
    <xf numFmtId="2" fontId="0" fillId="0" borderId="34" xfId="449" applyNumberFormat="1" applyFont="1" applyFill="1" applyBorder="1" applyAlignment="1">
      <alignment horizontal="right"/>
    </xf>
    <xf numFmtId="0" fontId="4" fillId="6" borderId="38" xfId="0" applyFont="1" applyFill="1" applyBorder="1" applyAlignment="1">
      <alignment vertical="center"/>
    </xf>
    <xf numFmtId="43" fontId="4" fillId="4" borderId="38" xfId="1" applyFont="1" applyFill="1" applyBorder="1" applyAlignment="1">
      <alignment vertical="center"/>
    </xf>
    <xf numFmtId="43" fontId="0" fillId="38" borderId="46" xfId="1" applyFont="1" applyFill="1" applyBorder="1" applyAlignment="1">
      <alignment vertical="center"/>
    </xf>
    <xf numFmtId="43" fontId="0" fillId="0" borderId="47" xfId="1" applyFont="1" applyFill="1" applyBorder="1" applyAlignment="1">
      <alignment vertical="center"/>
    </xf>
    <xf numFmtId="2" fontId="0" fillId="0" borderId="3" xfId="449" applyNumberFormat="1" applyFont="1" applyBorder="1"/>
    <xf numFmtId="173" fontId="0" fillId="42" borderId="33" xfId="0" applyNumberFormat="1" applyFill="1" applyBorder="1"/>
    <xf numFmtId="172" fontId="69" fillId="5" borderId="3" xfId="0" applyNumberFormat="1" applyFont="1" applyFill="1" applyBorder="1" applyAlignment="1">
      <alignment horizontal="center" vertical="center"/>
    </xf>
    <xf numFmtId="0" fontId="8" fillId="0" borderId="0" xfId="0" applyFont="1"/>
    <xf numFmtId="44" fontId="0" fillId="0" borderId="0" xfId="449" applyFont="1" applyFill="1" applyBorder="1" applyAlignment="1">
      <alignment horizontal="center" vertical="center"/>
    </xf>
    <xf numFmtId="0" fontId="4" fillId="0" borderId="19" xfId="0" applyFont="1" applyBorder="1" applyAlignment="1">
      <alignment horizontal="center" vertical="center"/>
    </xf>
    <xf numFmtId="172" fontId="53" fillId="0" borderId="16" xfId="0" applyNumberFormat="1" applyFont="1" applyBorder="1" applyAlignment="1">
      <alignment horizontal="center" vertical="center"/>
    </xf>
    <xf numFmtId="172" fontId="53" fillId="0" borderId="19" xfId="0" applyNumberFormat="1" applyFont="1" applyBorder="1" applyAlignment="1">
      <alignment horizontal="center" vertical="center"/>
    </xf>
    <xf numFmtId="172" fontId="69" fillId="5" borderId="6" xfId="0" applyNumberFormat="1" applyFont="1" applyFill="1" applyBorder="1" applyAlignment="1">
      <alignment horizontal="center" vertical="center"/>
    </xf>
    <xf numFmtId="173" fontId="0" fillId="0" borderId="3" xfId="0" applyNumberFormat="1" applyBorder="1"/>
    <xf numFmtId="173" fontId="0" fillId="47" borderId="0" xfId="0" applyNumberFormat="1" applyFill="1" applyAlignment="1">
      <alignment horizontal="center"/>
    </xf>
    <xf numFmtId="43" fontId="0" fillId="38" borderId="51" xfId="1" applyFont="1" applyFill="1" applyBorder="1" applyAlignment="1">
      <alignment vertical="center"/>
    </xf>
    <xf numFmtId="0" fontId="3" fillId="48" borderId="19" xfId="0" applyFont="1" applyFill="1" applyBorder="1" applyAlignment="1">
      <alignment horizontal="center"/>
    </xf>
    <xf numFmtId="0" fontId="0" fillId="0" borderId="0" xfId="0" applyAlignment="1">
      <alignment horizontal="left" vertical="center" wrapText="1"/>
    </xf>
    <xf numFmtId="43" fontId="0" fillId="38" borderId="52" xfId="1" applyFont="1" applyFill="1" applyBorder="1" applyAlignment="1">
      <alignment vertical="center"/>
    </xf>
    <xf numFmtId="44" fontId="4" fillId="38" borderId="30" xfId="449" applyFont="1" applyFill="1" applyBorder="1"/>
    <xf numFmtId="2" fontId="0" fillId="0" borderId="0" xfId="0" applyNumberFormat="1" applyAlignment="1">
      <alignment vertical="center"/>
    </xf>
    <xf numFmtId="2" fontId="0" fillId="0" borderId="3" xfId="0" applyNumberFormat="1" applyBorder="1" applyAlignment="1">
      <alignment horizontal="center" vertical="center"/>
    </xf>
    <xf numFmtId="49" fontId="0" fillId="0" borderId="1" xfId="0" applyNumberFormat="1" applyBorder="1" applyAlignment="1">
      <alignment vertical="center"/>
    </xf>
    <xf numFmtId="170" fontId="0" fillId="0" borderId="1" xfId="0" applyNumberFormat="1" applyBorder="1" applyAlignment="1">
      <alignment horizontal="center" vertical="center"/>
    </xf>
    <xf numFmtId="170" fontId="52" fillId="0" borderId="1" xfId="0" applyNumberFormat="1" applyFont="1" applyBorder="1" applyAlignment="1">
      <alignment horizontal="center" vertical="center"/>
    </xf>
    <xf numFmtId="2" fontId="0" fillId="0" borderId="1" xfId="0" applyNumberFormat="1" applyBorder="1" applyAlignment="1">
      <alignment horizontal="center" vertical="center"/>
    </xf>
    <xf numFmtId="9" fontId="4" fillId="0" borderId="3" xfId="2" applyFont="1" applyBorder="1" applyAlignment="1">
      <alignment horizontal="center" vertical="center"/>
    </xf>
    <xf numFmtId="0" fontId="3" fillId="5" borderId="43" xfId="0" applyFont="1" applyFill="1" applyBorder="1" applyAlignment="1">
      <alignment horizontal="center" vertical="center"/>
    </xf>
    <xf numFmtId="0" fontId="4" fillId="0" borderId="28" xfId="0" applyFont="1" applyBorder="1" applyAlignment="1">
      <alignment vertical="center"/>
    </xf>
    <xf numFmtId="0" fontId="0" fillId="0" borderId="28" xfId="0" applyBorder="1" applyAlignment="1">
      <alignment vertical="center"/>
    </xf>
    <xf numFmtId="8" fontId="58" fillId="0" borderId="0" xfId="0" applyNumberFormat="1" applyFont="1" applyAlignment="1">
      <alignment vertical="center"/>
    </xf>
    <xf numFmtId="0" fontId="0" fillId="0" borderId="1" xfId="0" applyBorder="1" applyAlignment="1">
      <alignment vertical="center" wrapText="1"/>
    </xf>
    <xf numFmtId="1" fontId="0" fillId="0" borderId="3" xfId="0" applyNumberFormat="1" applyBorder="1" applyAlignment="1">
      <alignment horizontal="center" vertical="center"/>
    </xf>
    <xf numFmtId="2" fontId="0" fillId="0" borderId="3" xfId="449" applyNumberFormat="1" applyFont="1" applyFill="1" applyBorder="1"/>
    <xf numFmtId="2" fontId="1" fillId="0" borderId="3" xfId="449" applyNumberFormat="1" applyFont="1" applyFill="1" applyBorder="1"/>
    <xf numFmtId="0" fontId="8" fillId="52" borderId="3" xfId="0" applyFont="1" applyFill="1" applyBorder="1"/>
    <xf numFmtId="0" fontId="0" fillId="53" borderId="0" xfId="0" applyFill="1"/>
    <xf numFmtId="175" fontId="4" fillId="53" borderId="0" xfId="0" applyNumberFormat="1" applyFont="1" applyFill="1"/>
    <xf numFmtId="175" fontId="0" fillId="53" borderId="0" xfId="0" applyNumberFormat="1" applyFill="1"/>
    <xf numFmtId="175" fontId="4" fillId="53" borderId="1" xfId="0" applyNumberFormat="1" applyFont="1" applyFill="1" applyBorder="1"/>
    <xf numFmtId="44" fontId="4" fillId="0" borderId="3" xfId="449" applyFont="1" applyFill="1" applyBorder="1"/>
    <xf numFmtId="173" fontId="4" fillId="0" borderId="0" xfId="0" applyNumberFormat="1" applyFont="1"/>
    <xf numFmtId="43" fontId="0" fillId="38" borderId="17" xfId="1" applyFont="1" applyFill="1" applyBorder="1" applyAlignment="1">
      <alignment vertical="center"/>
    </xf>
    <xf numFmtId="43" fontId="0" fillId="38" borderId="18" xfId="1" applyFont="1" applyFill="1" applyBorder="1" applyAlignment="1">
      <alignment vertical="center"/>
    </xf>
    <xf numFmtId="171" fontId="0" fillId="38" borderId="18" xfId="2" applyNumberFormat="1" applyFont="1" applyFill="1" applyBorder="1" applyAlignment="1">
      <alignment vertical="center"/>
    </xf>
    <xf numFmtId="43" fontId="0" fillId="38" borderId="50" xfId="1" applyFont="1" applyFill="1" applyBorder="1" applyAlignment="1">
      <alignment vertical="center"/>
    </xf>
    <xf numFmtId="43" fontId="0" fillId="38" borderId="39" xfId="1" applyFont="1" applyFill="1" applyBorder="1" applyAlignment="1">
      <alignment vertical="center"/>
    </xf>
    <xf numFmtId="43" fontId="0" fillId="38" borderId="53" xfId="1" applyFont="1" applyFill="1" applyBorder="1" applyAlignment="1">
      <alignment vertical="center"/>
    </xf>
    <xf numFmtId="0" fontId="0" fillId="40" borderId="1" xfId="0" applyFill="1" applyBorder="1" applyAlignment="1">
      <alignment vertical="center"/>
    </xf>
    <xf numFmtId="0" fontId="0" fillId="52" borderId="3" xfId="0" quotePrefix="1" applyFill="1" applyBorder="1" applyAlignment="1">
      <alignment wrapText="1"/>
    </xf>
    <xf numFmtId="44" fontId="0" fillId="52" borderId="3" xfId="449" applyFont="1" applyFill="1" applyBorder="1"/>
    <xf numFmtId="0" fontId="0" fillId="52" borderId="3" xfId="0" applyFill="1" applyBorder="1"/>
    <xf numFmtId="44" fontId="0" fillId="42" borderId="3" xfId="449" applyFont="1" applyFill="1" applyBorder="1"/>
    <xf numFmtId="0" fontId="0" fillId="0" borderId="3" xfId="0" applyBorder="1" applyAlignment="1">
      <alignment horizontal="center"/>
    </xf>
    <xf numFmtId="0" fontId="4" fillId="42" borderId="3" xfId="0" applyFont="1" applyFill="1" applyBorder="1" applyAlignment="1">
      <alignment vertical="center"/>
    </xf>
    <xf numFmtId="0" fontId="0" fillId="42" borderId="3" xfId="0" applyFill="1" applyBorder="1" applyAlignment="1">
      <alignment vertical="center"/>
    </xf>
    <xf numFmtId="44" fontId="0" fillId="42" borderId="3" xfId="449" applyFont="1" applyFill="1" applyBorder="1" applyAlignment="1">
      <alignment vertical="center"/>
    </xf>
    <xf numFmtId="0" fontId="0" fillId="42" borderId="3" xfId="0" quotePrefix="1" applyFill="1" applyBorder="1" applyAlignment="1">
      <alignment vertical="center" wrapText="1"/>
    </xf>
    <xf numFmtId="0" fontId="4" fillId="52" borderId="3" xfId="0" applyFont="1" applyFill="1" applyBorder="1" applyAlignment="1">
      <alignment vertical="center" wrapText="1"/>
    </xf>
    <xf numFmtId="8" fontId="70" fillId="0" borderId="0" xfId="0" applyNumberFormat="1" applyFont="1"/>
    <xf numFmtId="0" fontId="0" fillId="40" borderId="3" xfId="0" applyFill="1" applyBorder="1" applyAlignment="1">
      <alignment horizontal="left" vertical="center"/>
    </xf>
    <xf numFmtId="0" fontId="0" fillId="0" borderId="1" xfId="0" applyBorder="1" applyAlignment="1">
      <alignment vertical="center"/>
    </xf>
    <xf numFmtId="0" fontId="0" fillId="53" borderId="1" xfId="0" applyFill="1" applyBorder="1"/>
    <xf numFmtId="0" fontId="71" fillId="0" borderId="0" xfId="0" applyFont="1"/>
    <xf numFmtId="4" fontId="0" fillId="0" borderId="0" xfId="0" applyNumberFormat="1" applyAlignment="1">
      <alignment vertical="center"/>
    </xf>
    <xf numFmtId="43" fontId="0" fillId="54" borderId="48" xfId="1" applyFont="1" applyFill="1" applyBorder="1" applyAlignment="1">
      <alignment vertical="center"/>
    </xf>
    <xf numFmtId="43" fontId="0" fillId="54" borderId="18" xfId="1" applyFont="1" applyFill="1" applyBorder="1" applyAlignment="1">
      <alignment vertical="center"/>
    </xf>
    <xf numFmtId="43" fontId="0" fillId="54" borderId="37" xfId="1" applyFont="1" applyFill="1" applyBorder="1" applyAlignment="1">
      <alignment vertical="center"/>
    </xf>
    <xf numFmtId="171" fontId="0" fillId="54" borderId="37" xfId="2" applyNumberFormat="1" applyFont="1" applyFill="1" applyBorder="1" applyAlignment="1">
      <alignment vertical="center"/>
    </xf>
    <xf numFmtId="43" fontId="0" fillId="54" borderId="49" xfId="1" applyFont="1" applyFill="1" applyBorder="1" applyAlignment="1">
      <alignment vertical="center"/>
    </xf>
    <xf numFmtId="43" fontId="0" fillId="54" borderId="43" xfId="1" applyFont="1" applyFill="1" applyBorder="1" applyAlignment="1">
      <alignment vertical="center"/>
    </xf>
    <xf numFmtId="43" fontId="0" fillId="54" borderId="40" xfId="1" applyFont="1" applyFill="1" applyBorder="1" applyAlignment="1">
      <alignment vertical="center"/>
    </xf>
    <xf numFmtId="0" fontId="4" fillId="0" borderId="16" xfId="0" applyFont="1" applyBorder="1" applyAlignment="1">
      <alignment horizontal="center" vertical="center"/>
    </xf>
    <xf numFmtId="0" fontId="60" fillId="0" borderId="0" xfId="0" applyFont="1"/>
    <xf numFmtId="176" fontId="0" fillId="0" borderId="0" xfId="0" applyNumberFormat="1" applyAlignment="1">
      <alignment vertical="center"/>
    </xf>
    <xf numFmtId="43" fontId="0" fillId="54" borderId="16" xfId="1" applyFont="1" applyFill="1" applyBorder="1" applyAlignment="1">
      <alignment vertical="center"/>
    </xf>
    <xf numFmtId="43" fontId="0" fillId="54" borderId="25" xfId="1" applyFont="1" applyFill="1" applyBorder="1" applyAlignment="1">
      <alignment vertical="center"/>
    </xf>
    <xf numFmtId="172" fontId="53" fillId="0" borderId="6" xfId="0" applyNumberFormat="1" applyFont="1" applyBorder="1" applyAlignment="1">
      <alignment horizontal="center" vertical="center"/>
    </xf>
    <xf numFmtId="0" fontId="0" fillId="0" borderId="6" xfId="0" applyBorder="1" applyAlignment="1">
      <alignment vertical="center"/>
    </xf>
    <xf numFmtId="1" fontId="0" fillId="0" borderId="0" xfId="449" applyNumberFormat="1" applyFont="1"/>
    <xf numFmtId="175" fontId="4" fillId="0" borderId="1" xfId="0" applyNumberFormat="1" applyFont="1" applyBorder="1"/>
    <xf numFmtId="175" fontId="4" fillId="0" borderId="43" xfId="0" applyNumberFormat="1" applyFont="1" applyBorder="1"/>
    <xf numFmtId="0" fontId="0" fillId="0" borderId="1" xfId="0" applyBorder="1" applyAlignment="1">
      <alignment horizontal="left" vertical="center"/>
    </xf>
    <xf numFmtId="43" fontId="0" fillId="54" borderId="42" xfId="1" applyFont="1" applyFill="1" applyBorder="1" applyAlignment="1">
      <alignment vertical="center"/>
    </xf>
    <xf numFmtId="171" fontId="0" fillId="54" borderId="16" xfId="2" applyNumberFormat="1" applyFont="1" applyFill="1" applyBorder="1" applyAlignment="1">
      <alignment vertical="center"/>
    </xf>
    <xf numFmtId="43" fontId="0" fillId="54" borderId="45" xfId="1" applyFont="1" applyFill="1" applyBorder="1" applyAlignment="1">
      <alignment vertical="center"/>
    </xf>
    <xf numFmtId="43" fontId="0" fillId="0" borderId="60" xfId="1" applyFont="1" applyBorder="1" applyAlignment="1">
      <alignment vertical="center"/>
    </xf>
    <xf numFmtId="43" fontId="0" fillId="0" borderId="43" xfId="1" applyFont="1" applyBorder="1" applyAlignment="1">
      <alignment vertical="center"/>
    </xf>
    <xf numFmtId="43" fontId="0" fillId="54" borderId="61" xfId="1" applyFont="1" applyFill="1" applyBorder="1" applyAlignment="1">
      <alignment vertical="center"/>
    </xf>
    <xf numFmtId="43" fontId="0" fillId="54" borderId="62" xfId="1" applyFont="1" applyFill="1" applyBorder="1" applyAlignment="1">
      <alignment vertical="center"/>
    </xf>
    <xf numFmtId="171" fontId="0" fillId="54" borderId="62" xfId="2" applyNumberFormat="1" applyFont="1" applyFill="1" applyBorder="1" applyAlignment="1">
      <alignment vertical="center"/>
    </xf>
    <xf numFmtId="43" fontId="0" fillId="54" borderId="63" xfId="1" applyFont="1" applyFill="1" applyBorder="1" applyAlignment="1">
      <alignment vertical="center"/>
    </xf>
    <xf numFmtId="43" fontId="0" fillId="54" borderId="65" xfId="1" applyFont="1" applyFill="1" applyBorder="1" applyAlignment="1">
      <alignment vertical="center"/>
    </xf>
    <xf numFmtId="43" fontId="0" fillId="54" borderId="28" xfId="1" applyFont="1" applyFill="1" applyBorder="1" applyAlignment="1">
      <alignment vertical="center"/>
    </xf>
    <xf numFmtId="43" fontId="0" fillId="0" borderId="6" xfId="1" applyFont="1" applyBorder="1" applyAlignment="1">
      <alignment vertical="center"/>
    </xf>
    <xf numFmtId="43" fontId="0" fillId="0" borderId="57" xfId="1" applyFont="1" applyBorder="1" applyAlignment="1">
      <alignment vertical="center"/>
    </xf>
    <xf numFmtId="1" fontId="0" fillId="0" borderId="0" xfId="0" applyNumberFormat="1"/>
    <xf numFmtId="2" fontId="0" fillId="0" borderId="3" xfId="0" applyNumberFormat="1" applyBorder="1"/>
    <xf numFmtId="2" fontId="0" fillId="0" borderId="0" xfId="449" applyNumberFormat="1" applyFont="1" applyBorder="1"/>
    <xf numFmtId="2" fontId="1" fillId="0" borderId="0" xfId="449" applyNumberFormat="1" applyFont="1" applyFill="1" applyBorder="1"/>
    <xf numFmtId="1" fontId="0" fillId="0" borderId="3" xfId="449" applyNumberFormat="1" applyFont="1" applyBorder="1"/>
    <xf numFmtId="0" fontId="0" fillId="42" borderId="33" xfId="0" applyFill="1" applyBorder="1"/>
    <xf numFmtId="0" fontId="0" fillId="60" borderId="3" xfId="0" applyFill="1" applyBorder="1" applyAlignment="1">
      <alignment horizontal="left" vertical="center"/>
    </xf>
    <xf numFmtId="0" fontId="0" fillId="60" borderId="1" xfId="0" applyFill="1" applyBorder="1" applyAlignment="1">
      <alignment horizontal="left" vertical="center"/>
    </xf>
    <xf numFmtId="0" fontId="0" fillId="0" borderId="43" xfId="0" applyBorder="1"/>
    <xf numFmtId="175" fontId="0" fillId="0" borderId="43" xfId="0" applyNumberFormat="1" applyBorder="1"/>
    <xf numFmtId="175" fontId="4" fillId="0" borderId="16" xfId="0" applyNumberFormat="1" applyFont="1" applyBorder="1"/>
    <xf numFmtId="175" fontId="4" fillId="0" borderId="19" xfId="0" applyNumberFormat="1" applyFont="1" applyBorder="1"/>
    <xf numFmtId="43" fontId="0" fillId="54" borderId="36" xfId="1" applyFont="1" applyFill="1" applyBorder="1" applyAlignment="1">
      <alignment vertical="center"/>
    </xf>
    <xf numFmtId="43" fontId="0" fillId="54" borderId="64" xfId="1" applyFont="1" applyFill="1" applyBorder="1" applyAlignment="1">
      <alignment vertical="center"/>
    </xf>
    <xf numFmtId="44" fontId="56" fillId="0" borderId="0" xfId="449" applyFont="1" applyFill="1" applyBorder="1" applyAlignment="1">
      <alignment horizontal="right" vertical="center" wrapText="1"/>
    </xf>
    <xf numFmtId="43" fontId="0" fillId="0" borderId="42" xfId="1" applyFont="1" applyBorder="1" applyAlignment="1">
      <alignment vertical="center"/>
    </xf>
    <xf numFmtId="43" fontId="0" fillId="0" borderId="16" xfId="1" applyFont="1" applyBorder="1" applyAlignment="1">
      <alignment vertical="center"/>
    </xf>
    <xf numFmtId="171" fontId="0" fillId="0" borderId="16" xfId="2" applyNumberFormat="1" applyFont="1" applyBorder="1" applyAlignment="1">
      <alignment vertical="center"/>
    </xf>
    <xf numFmtId="43" fontId="0" fillId="0" borderId="45" xfId="1" applyFont="1" applyBorder="1" applyAlignment="1">
      <alignment vertical="center"/>
    </xf>
    <xf numFmtId="43" fontId="0" fillId="0" borderId="35" xfId="1" applyFont="1" applyBorder="1" applyAlignment="1">
      <alignment vertical="center"/>
    </xf>
    <xf numFmtId="0" fontId="0" fillId="0" borderId="20" xfId="0" applyBorder="1" applyAlignment="1">
      <alignment vertical="center"/>
    </xf>
    <xf numFmtId="0" fontId="0" fillId="0" borderId="2" xfId="0" applyBorder="1" applyAlignment="1">
      <alignment vertical="center"/>
    </xf>
    <xf numFmtId="0" fontId="0" fillId="0" borderId="17" xfId="0" applyBorder="1" applyAlignment="1">
      <alignment vertical="center"/>
    </xf>
    <xf numFmtId="43" fontId="0" fillId="0" borderId="47" xfId="1" applyFont="1" applyBorder="1" applyAlignment="1">
      <alignment vertical="center"/>
    </xf>
    <xf numFmtId="171" fontId="0" fillId="0" borderId="47" xfId="2" applyNumberFormat="1" applyFont="1" applyBorder="1" applyAlignment="1">
      <alignment vertical="center"/>
    </xf>
    <xf numFmtId="43" fontId="0" fillId="0" borderId="66" xfId="1" applyFont="1" applyBorder="1" applyAlignment="1">
      <alignment vertical="center"/>
    </xf>
    <xf numFmtId="43" fontId="0" fillId="0" borderId="67" xfId="1" applyFont="1" applyBorder="1" applyAlignment="1">
      <alignment vertical="center"/>
    </xf>
    <xf numFmtId="0" fontId="0" fillId="0" borderId="41" xfId="0" applyBorder="1" applyAlignment="1">
      <alignment vertical="center"/>
    </xf>
    <xf numFmtId="0" fontId="0" fillId="0" borderId="38" xfId="0" applyBorder="1" applyAlignment="1">
      <alignment vertical="center"/>
    </xf>
    <xf numFmtId="0" fontId="0" fillId="0" borderId="39" xfId="0" applyBorder="1" applyAlignment="1">
      <alignment vertical="center"/>
    </xf>
    <xf numFmtId="0" fontId="0" fillId="0" borderId="48" xfId="0" applyBorder="1" applyAlignment="1">
      <alignment vertical="center"/>
    </xf>
    <xf numFmtId="43" fontId="0" fillId="0" borderId="43" xfId="1" applyFont="1" applyFill="1" applyBorder="1" applyAlignment="1">
      <alignment vertical="center"/>
    </xf>
    <xf numFmtId="171" fontId="0" fillId="0" borderId="43" xfId="2" applyNumberFormat="1" applyFont="1" applyBorder="1" applyAlignment="1">
      <alignment vertical="center"/>
    </xf>
    <xf numFmtId="43" fontId="0" fillId="0" borderId="68" xfId="1" applyFont="1" applyBorder="1" applyAlignment="1">
      <alignment vertical="center"/>
    </xf>
    <xf numFmtId="43" fontId="0" fillId="0" borderId="31" xfId="1" applyFont="1" applyBorder="1" applyAlignment="1">
      <alignment vertical="center"/>
    </xf>
    <xf numFmtId="0" fontId="0" fillId="0" borderId="49" xfId="0" applyBorder="1" applyAlignment="1">
      <alignment vertical="center"/>
    </xf>
    <xf numFmtId="8" fontId="0" fillId="0" borderId="3" xfId="0" applyNumberFormat="1" applyBorder="1"/>
    <xf numFmtId="2" fontId="0" fillId="0" borderId="1" xfId="449" applyNumberFormat="1" applyFont="1" applyBorder="1"/>
    <xf numFmtId="1" fontId="0" fillId="0" borderId="1" xfId="449" applyNumberFormat="1" applyFont="1" applyBorder="1"/>
    <xf numFmtId="8" fontId="0" fillId="0" borderId="0" xfId="449" applyNumberFormat="1" applyFont="1" applyBorder="1" applyAlignment="1">
      <alignment vertical="center"/>
    </xf>
    <xf numFmtId="0" fontId="60" fillId="0" borderId="0" xfId="0" applyFont="1" applyAlignment="1">
      <alignment vertical="center"/>
    </xf>
    <xf numFmtId="43" fontId="0" fillId="54" borderId="56" xfId="1" applyFont="1" applyFill="1" applyBorder="1" applyAlignment="1">
      <alignment vertical="center"/>
    </xf>
    <xf numFmtId="43" fontId="0" fillId="54" borderId="70" xfId="1" applyFont="1" applyFill="1" applyBorder="1" applyAlignment="1">
      <alignment vertical="center"/>
    </xf>
    <xf numFmtId="43" fontId="0" fillId="54" borderId="6" xfId="1" applyFont="1" applyFill="1" applyBorder="1" applyAlignment="1">
      <alignment vertical="center"/>
    </xf>
    <xf numFmtId="171" fontId="0" fillId="54" borderId="3" xfId="2" applyNumberFormat="1" applyFont="1" applyFill="1" applyBorder="1" applyAlignment="1">
      <alignment vertical="center"/>
    </xf>
    <xf numFmtId="43" fontId="0" fillId="54" borderId="38" xfId="1" applyFont="1" applyFill="1" applyBorder="1" applyAlignment="1">
      <alignment vertical="center"/>
    </xf>
    <xf numFmtId="44" fontId="0" fillId="54" borderId="6" xfId="1" applyNumberFormat="1" applyFont="1" applyFill="1" applyBorder="1" applyAlignment="1">
      <alignment vertical="center"/>
    </xf>
    <xf numFmtId="43" fontId="0" fillId="54" borderId="3" xfId="1" applyFont="1" applyFill="1" applyBorder="1" applyAlignment="1">
      <alignment vertical="center"/>
    </xf>
    <xf numFmtId="8" fontId="0" fillId="0" borderId="0" xfId="0" applyNumberFormat="1" applyAlignment="1">
      <alignment vertical="center" wrapText="1"/>
    </xf>
    <xf numFmtId="8" fontId="4" fillId="0" borderId="0" xfId="0" applyNumberFormat="1" applyFont="1" applyAlignment="1">
      <alignment vertical="center" wrapText="1"/>
    </xf>
    <xf numFmtId="44" fontId="0" fillId="0" borderId="3" xfId="449" applyFont="1" applyBorder="1" applyAlignment="1">
      <alignment vertical="center" wrapText="1"/>
    </xf>
    <xf numFmtId="173" fontId="0" fillId="42" borderId="0" xfId="0" applyNumberFormat="1" applyFill="1"/>
    <xf numFmtId="44" fontId="0" fillId="0" borderId="0" xfId="449" applyFont="1" applyAlignment="1">
      <alignment horizontal="center"/>
    </xf>
    <xf numFmtId="43" fontId="0" fillId="54" borderId="17" xfId="1" applyFont="1" applyFill="1" applyBorder="1" applyAlignment="1">
      <alignment vertical="center"/>
    </xf>
    <xf numFmtId="43" fontId="0" fillId="54" borderId="69" xfId="1" applyFont="1" applyFill="1" applyBorder="1" applyAlignment="1">
      <alignment vertical="center"/>
    </xf>
    <xf numFmtId="171" fontId="0" fillId="54" borderId="18" xfId="2" applyNumberFormat="1" applyFont="1" applyFill="1" applyBorder="1" applyAlignment="1">
      <alignment vertical="center"/>
    </xf>
    <xf numFmtId="43" fontId="0" fillId="54" borderId="39" xfId="1" applyFont="1" applyFill="1" applyBorder="1" applyAlignment="1">
      <alignment vertical="center"/>
    </xf>
    <xf numFmtId="8" fontId="0" fillId="54" borderId="57" xfId="1" applyNumberFormat="1" applyFont="1" applyFill="1" applyBorder="1" applyAlignment="1">
      <alignment vertical="center"/>
    </xf>
    <xf numFmtId="43" fontId="0" fillId="54" borderId="26" xfId="1" applyFont="1" applyFill="1" applyBorder="1" applyAlignment="1">
      <alignment vertical="center"/>
    </xf>
    <xf numFmtId="4" fontId="86" fillId="0" borderId="0" xfId="0" applyNumberFormat="1" applyFont="1"/>
    <xf numFmtId="0" fontId="0" fillId="61" borderId="0" xfId="0" applyFill="1" applyAlignment="1">
      <alignment vertical="center"/>
    </xf>
    <xf numFmtId="44" fontId="0" fillId="0" borderId="3" xfId="449" applyFont="1" applyBorder="1" applyAlignment="1">
      <alignment vertical="center"/>
    </xf>
    <xf numFmtId="0" fontId="0" fillId="0" borderId="37" xfId="0" applyBorder="1"/>
    <xf numFmtId="0" fontId="0" fillId="0" borderId="19" xfId="0" applyBorder="1"/>
    <xf numFmtId="0" fontId="0" fillId="0" borderId="32" xfId="0" applyBorder="1"/>
    <xf numFmtId="44" fontId="4" fillId="38" borderId="31" xfId="449" applyFont="1" applyFill="1" applyBorder="1"/>
    <xf numFmtId="44" fontId="4" fillId="38" borderId="0" xfId="449" applyFont="1" applyFill="1" applyBorder="1"/>
    <xf numFmtId="49" fontId="0" fillId="0" borderId="3" xfId="0" applyNumberFormat="1" applyBorder="1" applyAlignment="1">
      <alignment horizontal="center" vertical="center"/>
    </xf>
    <xf numFmtId="44" fontId="4" fillId="0" borderId="3" xfId="449" applyFont="1" applyBorder="1"/>
    <xf numFmtId="44" fontId="0" fillId="47" borderId="0" xfId="449" applyFont="1" applyFill="1" applyAlignment="1">
      <alignment horizontal="center"/>
    </xf>
    <xf numFmtId="174" fontId="0" fillId="0" borderId="0" xfId="1" applyNumberFormat="1" applyFont="1"/>
    <xf numFmtId="174" fontId="0" fillId="0" borderId="3" xfId="1" applyNumberFormat="1" applyFont="1" applyBorder="1"/>
    <xf numFmtId="173" fontId="0" fillId="11" borderId="0" xfId="0" applyNumberFormat="1" applyFill="1"/>
    <xf numFmtId="8" fontId="0" fillId="0" borderId="0" xfId="449" applyNumberFormat="1" applyFont="1"/>
    <xf numFmtId="43" fontId="0" fillId="0" borderId="40" xfId="1" applyFont="1" applyBorder="1" applyAlignment="1">
      <alignment vertical="center"/>
    </xf>
    <xf numFmtId="43" fontId="0" fillId="0" borderId="25" xfId="1" applyFont="1" applyBorder="1" applyAlignment="1">
      <alignment vertical="center"/>
    </xf>
    <xf numFmtId="44" fontId="56" fillId="0" borderId="0" xfId="449" applyFont="1" applyAlignment="1">
      <alignment horizontal="right" vertical="center" wrapText="1"/>
    </xf>
    <xf numFmtId="4" fontId="87" fillId="0" borderId="0" xfId="0" applyNumberFormat="1" applyFont="1"/>
    <xf numFmtId="44" fontId="88" fillId="0" borderId="0" xfId="449" applyFont="1" applyAlignment="1">
      <alignment horizontal="right" vertical="center" wrapText="1"/>
    </xf>
    <xf numFmtId="8" fontId="89" fillId="0" borderId="0" xfId="0" applyNumberFormat="1" applyFont="1"/>
    <xf numFmtId="44" fontId="90" fillId="0" borderId="0" xfId="0" applyNumberFormat="1" applyFont="1" applyAlignment="1">
      <alignment vertical="center"/>
    </xf>
    <xf numFmtId="4" fontId="89" fillId="0" borderId="0" xfId="0" applyNumberFormat="1" applyFont="1"/>
    <xf numFmtId="0" fontId="4" fillId="0" borderId="3" xfId="0" applyFont="1" applyBorder="1"/>
    <xf numFmtId="0" fontId="4" fillId="0" borderId="2" xfId="0" applyFont="1" applyBorder="1"/>
    <xf numFmtId="43" fontId="0" fillId="0" borderId="17" xfId="0" applyNumberFormat="1" applyBorder="1"/>
    <xf numFmtId="43" fontId="0" fillId="0" borderId="18" xfId="0" applyNumberFormat="1" applyBorder="1"/>
    <xf numFmtId="0" fontId="4" fillId="0" borderId="38" xfId="0" applyFont="1" applyBorder="1"/>
    <xf numFmtId="171" fontId="4" fillId="60" borderId="18" xfId="0" applyNumberFormat="1" applyFont="1" applyFill="1" applyBorder="1"/>
    <xf numFmtId="171" fontId="4" fillId="60" borderId="39" xfId="0" applyNumberFormat="1" applyFont="1" applyFill="1" applyBorder="1"/>
    <xf numFmtId="164" fontId="0" fillId="0" borderId="0" xfId="0" applyNumberFormat="1"/>
    <xf numFmtId="6" fontId="0" fillId="0" borderId="0" xfId="0" applyNumberFormat="1" applyAlignment="1">
      <alignment vertical="center" wrapText="1"/>
    </xf>
    <xf numFmtId="173" fontId="0" fillId="42" borderId="34" xfId="0" applyNumberFormat="1" applyFill="1" applyBorder="1"/>
    <xf numFmtId="0" fontId="0" fillId="42" borderId="0" xfId="0" applyFill="1"/>
    <xf numFmtId="8" fontId="0" fillId="0" borderId="37" xfId="449" applyNumberFormat="1" applyFont="1" applyFill="1" applyBorder="1" applyAlignment="1">
      <alignment vertical="center"/>
    </xf>
    <xf numFmtId="44" fontId="0" fillId="0" borderId="37" xfId="449" applyFont="1" applyBorder="1" applyAlignment="1">
      <alignment vertical="center"/>
    </xf>
    <xf numFmtId="44" fontId="4" fillId="11" borderId="3" xfId="449" applyFont="1" applyFill="1" applyBorder="1"/>
    <xf numFmtId="8" fontId="0" fillId="0" borderId="0" xfId="449" applyNumberFormat="1" applyFont="1" applyFill="1" applyAlignment="1">
      <alignment vertical="center"/>
    </xf>
    <xf numFmtId="44" fontId="4" fillId="0" borderId="1" xfId="449" applyFont="1" applyFill="1" applyBorder="1"/>
    <xf numFmtId="0" fontId="0" fillId="11" borderId="0" xfId="0" applyFill="1"/>
    <xf numFmtId="0" fontId="0" fillId="11" borderId="33" xfId="0" applyFill="1" applyBorder="1"/>
    <xf numFmtId="44" fontId="0" fillId="11" borderId="3" xfId="449" applyFont="1" applyFill="1" applyBorder="1"/>
    <xf numFmtId="43" fontId="0" fillId="38" borderId="60" xfId="1" applyFont="1" applyFill="1" applyBorder="1" applyAlignment="1">
      <alignment vertical="center"/>
    </xf>
    <xf numFmtId="43" fontId="0" fillId="38" borderId="47" xfId="1" applyFont="1" applyFill="1" applyBorder="1" applyAlignment="1">
      <alignment vertical="center"/>
    </xf>
    <xf numFmtId="43" fontId="0" fillId="38" borderId="40" xfId="1" applyFont="1" applyFill="1" applyBorder="1" applyAlignment="1">
      <alignment vertical="center"/>
    </xf>
    <xf numFmtId="44" fontId="0" fillId="11" borderId="3" xfId="449" applyFont="1" applyFill="1" applyBorder="1" applyAlignment="1">
      <alignment vertical="center"/>
    </xf>
    <xf numFmtId="0" fontId="91" fillId="64" borderId="0" xfId="645" applyFont="1" applyFill="1"/>
    <xf numFmtId="0" fontId="92" fillId="0" borderId="72" xfId="645" applyFont="1" applyBorder="1" applyAlignment="1">
      <alignment horizontal="center" vertical="center"/>
    </xf>
    <xf numFmtId="0" fontId="92" fillId="65" borderId="72" xfId="645" applyFont="1" applyFill="1" applyBorder="1" applyAlignment="1">
      <alignment horizontal="center" vertical="center"/>
    </xf>
    <xf numFmtId="0" fontId="92" fillId="0" borderId="0" xfId="645" applyFont="1" applyAlignment="1">
      <alignment horizontal="center" vertical="center"/>
    </xf>
    <xf numFmtId="0" fontId="92" fillId="66" borderId="72" xfId="645" applyFont="1" applyFill="1" applyBorder="1" applyAlignment="1">
      <alignment horizontal="center" vertical="center"/>
    </xf>
    <xf numFmtId="17" fontId="93" fillId="0" borderId="0" xfId="645" applyNumberFormat="1" applyFont="1" applyAlignment="1">
      <alignment horizontal="center" vertical="center"/>
    </xf>
    <xf numFmtId="0" fontId="92" fillId="66" borderId="0" xfId="645" applyFont="1" applyFill="1" applyAlignment="1">
      <alignment horizontal="center" vertical="center"/>
    </xf>
    <xf numFmtId="0" fontId="93" fillId="0" borderId="0" xfId="645" applyFont="1"/>
    <xf numFmtId="0" fontId="93" fillId="0" borderId="72" xfId="645" applyFont="1" applyBorder="1"/>
    <xf numFmtId="0" fontId="93" fillId="65" borderId="72" xfId="645" applyFont="1" applyFill="1" applyBorder="1"/>
    <xf numFmtId="1" fontId="93" fillId="0" borderId="0" xfId="645" applyNumberFormat="1" applyFont="1" applyAlignment="1">
      <alignment horizontal="center" vertical="center"/>
    </xf>
    <xf numFmtId="0" fontId="92" fillId="0" borderId="0" xfId="645" applyFont="1"/>
    <xf numFmtId="190" fontId="93" fillId="13" borderId="72" xfId="388" applyNumberFormat="1" applyFont="1" applyFill="1" applyBorder="1"/>
    <xf numFmtId="190" fontId="92" fillId="65" borderId="72" xfId="388" applyNumberFormat="1" applyFont="1" applyFill="1" applyBorder="1"/>
    <xf numFmtId="190" fontId="94" fillId="0" borderId="0" xfId="388" applyNumberFormat="1" applyFont="1"/>
    <xf numFmtId="190" fontId="92" fillId="13" borderId="72" xfId="388" applyNumberFormat="1" applyFont="1" applyFill="1" applyBorder="1"/>
    <xf numFmtId="190" fontId="92" fillId="66" borderId="72" xfId="388" applyNumberFormat="1" applyFont="1" applyFill="1" applyBorder="1"/>
    <xf numFmtId="6" fontId="94" fillId="0" borderId="0" xfId="388" applyNumberFormat="1" applyFont="1" applyFill="1"/>
    <xf numFmtId="190" fontId="93" fillId="13" borderId="72" xfId="645" applyNumberFormat="1" applyFont="1" applyFill="1" applyBorder="1"/>
    <xf numFmtId="190" fontId="94" fillId="0" borderId="0" xfId="388" applyNumberFormat="1" applyFont="1" applyFill="1"/>
    <xf numFmtId="190" fontId="92" fillId="13" borderId="72" xfId="645" applyNumberFormat="1" applyFont="1" applyFill="1" applyBorder="1"/>
    <xf numFmtId="190" fontId="92" fillId="65" borderId="72" xfId="645" applyNumberFormat="1" applyFont="1" applyFill="1" applyBorder="1"/>
    <xf numFmtId="171" fontId="93" fillId="13" borderId="72" xfId="2" applyNumberFormat="1" applyFont="1" applyFill="1" applyBorder="1"/>
    <xf numFmtId="171" fontId="92" fillId="65" borderId="72" xfId="646" applyNumberFormat="1" applyFont="1" applyFill="1" applyBorder="1" applyAlignment="1">
      <alignment vertical="center"/>
    </xf>
    <xf numFmtId="171" fontId="94" fillId="0" borderId="0" xfId="2" applyNumberFormat="1" applyFont="1"/>
    <xf numFmtId="171" fontId="92" fillId="13" borderId="72" xfId="646" applyNumberFormat="1" applyFont="1" applyFill="1" applyBorder="1" applyAlignment="1">
      <alignment vertical="center"/>
    </xf>
    <xf numFmtId="10" fontId="92" fillId="66" borderId="72" xfId="646" applyNumberFormat="1" applyFont="1" applyFill="1" applyBorder="1" applyAlignment="1">
      <alignment vertical="center"/>
    </xf>
    <xf numFmtId="171" fontId="94" fillId="0" borderId="0" xfId="2" applyNumberFormat="1" applyFont="1" applyFill="1"/>
    <xf numFmtId="0" fontId="93" fillId="39" borderId="0" xfId="645" applyFont="1" applyFill="1"/>
    <xf numFmtId="0" fontId="93" fillId="39" borderId="72" xfId="645" applyFont="1" applyFill="1" applyBorder="1"/>
    <xf numFmtId="0" fontId="94" fillId="39" borderId="0" xfId="645" applyFont="1" applyFill="1"/>
    <xf numFmtId="0" fontId="0" fillId="39" borderId="0" xfId="0" applyFill="1"/>
    <xf numFmtId="0" fontId="0" fillId="0" borderId="72" xfId="0" applyBorder="1"/>
    <xf numFmtId="0" fontId="0" fillId="65" borderId="72" xfId="0" applyFill="1" applyBorder="1"/>
    <xf numFmtId="0" fontId="0" fillId="66" borderId="72" xfId="0" applyFill="1" applyBorder="1"/>
    <xf numFmtId="190" fontId="93" fillId="0" borderId="72" xfId="388" applyNumberFormat="1" applyFont="1" applyFill="1" applyBorder="1"/>
    <xf numFmtId="0" fontId="92" fillId="38" borderId="0" xfId="645" applyFont="1" applyFill="1" applyAlignment="1">
      <alignment vertical="center"/>
    </xf>
    <xf numFmtId="0" fontId="92" fillId="38" borderId="72" xfId="645" applyFont="1" applyFill="1" applyBorder="1" applyAlignment="1">
      <alignment vertical="center"/>
    </xf>
    <xf numFmtId="0" fontId="0" fillId="38" borderId="72" xfId="0" applyFill="1" applyBorder="1"/>
    <xf numFmtId="0" fontId="0" fillId="38" borderId="0" xfId="0" applyFill="1"/>
    <xf numFmtId="190" fontId="93" fillId="0" borderId="72" xfId="388" applyNumberFormat="1" applyFont="1" applyBorder="1"/>
    <xf numFmtId="190" fontId="93" fillId="65" borderId="72" xfId="388" applyNumberFormat="1" applyFont="1" applyFill="1" applyBorder="1"/>
    <xf numFmtId="44" fontId="93" fillId="13" borderId="72" xfId="388" applyFont="1" applyFill="1" applyBorder="1"/>
    <xf numFmtId="191" fontId="93" fillId="65" borderId="72" xfId="388" applyNumberFormat="1" applyFont="1" applyFill="1" applyBorder="1"/>
    <xf numFmtId="171" fontId="92" fillId="66" borderId="72" xfId="2" applyNumberFormat="1" applyFont="1" applyFill="1" applyBorder="1"/>
    <xf numFmtId="0" fontId="92" fillId="0" borderId="72" xfId="645" applyFont="1" applyBorder="1"/>
    <xf numFmtId="0" fontId="95" fillId="42" borderId="0" xfId="0" applyFont="1" applyFill="1"/>
    <xf numFmtId="4" fontId="0" fillId="0" borderId="72" xfId="0" applyNumberFormat="1" applyBorder="1"/>
    <xf numFmtId="44" fontId="93" fillId="65" borderId="72" xfId="388" applyFont="1" applyFill="1" applyBorder="1"/>
    <xf numFmtId="171" fontId="93" fillId="13" borderId="0" xfId="2" applyNumberFormat="1" applyFont="1" applyFill="1" applyBorder="1"/>
    <xf numFmtId="0" fontId="4" fillId="42" borderId="0" xfId="0" applyFont="1" applyFill="1" applyAlignment="1">
      <alignment horizontal="left"/>
    </xf>
    <xf numFmtId="0" fontId="92" fillId="38" borderId="0" xfId="645" applyFont="1" applyFill="1" applyAlignment="1">
      <alignment horizontal="left" vertical="center"/>
    </xf>
    <xf numFmtId="10" fontId="0" fillId="0" borderId="0" xfId="0" applyNumberFormat="1" applyAlignment="1">
      <alignment vertical="center"/>
    </xf>
    <xf numFmtId="10" fontId="0" fillId="0" borderId="0" xfId="0" applyNumberFormat="1"/>
    <xf numFmtId="4" fontId="0" fillId="0" borderId="0" xfId="0" applyNumberFormat="1" applyAlignment="1">
      <alignment vertical="center" wrapText="1"/>
    </xf>
    <xf numFmtId="0" fontId="92" fillId="65" borderId="0" xfId="645" applyFont="1" applyFill="1" applyAlignment="1">
      <alignment horizontal="center" vertical="center"/>
    </xf>
    <xf numFmtId="171" fontId="92" fillId="65" borderId="0" xfId="2" applyNumberFormat="1" applyFont="1" applyFill="1"/>
    <xf numFmtId="10" fontId="92" fillId="65" borderId="0" xfId="646" applyNumberFormat="1" applyFont="1" applyFill="1" applyAlignment="1">
      <alignment vertical="center"/>
    </xf>
    <xf numFmtId="0" fontId="0" fillId="65" borderId="0" xfId="0" applyFill="1"/>
    <xf numFmtId="44" fontId="92" fillId="65" borderId="0" xfId="449" applyFont="1" applyFill="1" applyAlignment="1">
      <alignment vertical="center"/>
    </xf>
    <xf numFmtId="190" fontId="92" fillId="65" borderId="0" xfId="449" applyNumberFormat="1" applyFont="1" applyFill="1" applyAlignment="1">
      <alignment vertical="center"/>
    </xf>
    <xf numFmtId="171" fontId="92" fillId="65" borderId="0" xfId="646" applyNumberFormat="1" applyFont="1" applyFill="1" applyAlignment="1">
      <alignment vertical="center"/>
    </xf>
    <xf numFmtId="0" fontId="4" fillId="0" borderId="61" xfId="0" applyFont="1" applyBorder="1"/>
    <xf numFmtId="0" fontId="4" fillId="0" borderId="62" xfId="0" applyFont="1" applyBorder="1"/>
    <xf numFmtId="0" fontId="4" fillId="0" borderId="63" xfId="0" applyFont="1" applyBorder="1"/>
    <xf numFmtId="192" fontId="0" fillId="0" borderId="0" xfId="0" applyNumberFormat="1"/>
    <xf numFmtId="192" fontId="0" fillId="0" borderId="0" xfId="180" applyNumberFormat="1" applyFont="1" applyFill="1" applyBorder="1"/>
    <xf numFmtId="9" fontId="0" fillId="0" borderId="0" xfId="350" applyFont="1" applyFill="1" applyBorder="1"/>
    <xf numFmtId="192" fontId="0" fillId="0" borderId="67" xfId="180" applyNumberFormat="1" applyFont="1" applyBorder="1"/>
    <xf numFmtId="192" fontId="0" fillId="0" borderId="65" xfId="180" applyNumberFormat="1" applyFont="1" applyBorder="1"/>
    <xf numFmtId="0" fontId="4" fillId="0" borderId="3" xfId="0" applyFont="1" applyBorder="1" applyAlignment="1">
      <alignment horizontal="center"/>
    </xf>
    <xf numFmtId="0" fontId="4" fillId="0" borderId="73" xfId="0" applyFont="1" applyBorder="1"/>
    <xf numFmtId="0" fontId="4" fillId="0" borderId="74" xfId="0" applyFont="1" applyBorder="1" applyAlignment="1">
      <alignment horizontal="center"/>
    </xf>
    <xf numFmtId="9" fontId="3" fillId="6" borderId="66" xfId="350" applyFont="1" applyFill="1" applyBorder="1" applyAlignment="1">
      <alignment horizontal="center"/>
    </xf>
    <xf numFmtId="9" fontId="3" fillId="6" borderId="63" xfId="350" applyFont="1" applyFill="1" applyBorder="1" applyAlignment="1">
      <alignment horizontal="center"/>
    </xf>
    <xf numFmtId="192" fontId="96" fillId="0" borderId="67" xfId="180" applyNumberFormat="1" applyFont="1" applyBorder="1"/>
    <xf numFmtId="192" fontId="96" fillId="0" borderId="65" xfId="180" applyNumberFormat="1" applyFont="1" applyBorder="1"/>
    <xf numFmtId="8" fontId="0" fillId="0" borderId="0" xfId="1" applyNumberFormat="1" applyFont="1" applyBorder="1" applyAlignment="1">
      <alignment vertical="center"/>
    </xf>
    <xf numFmtId="0" fontId="3" fillId="10" borderId="3" xfId="0" applyFont="1" applyFill="1" applyBorder="1" applyAlignment="1">
      <alignment horizontal="center" vertical="center"/>
    </xf>
    <xf numFmtId="0" fontId="3" fillId="51" borderId="3" xfId="0" applyFont="1" applyFill="1" applyBorder="1" applyAlignment="1">
      <alignment horizontal="center" vertical="center"/>
    </xf>
    <xf numFmtId="0" fontId="3" fillId="50" borderId="3" xfId="0" applyFont="1" applyFill="1" applyBorder="1" applyAlignment="1">
      <alignment horizontal="center" vertical="center"/>
    </xf>
    <xf numFmtId="0" fontId="3" fillId="49" borderId="3" xfId="0" applyFont="1" applyFill="1" applyBorder="1" applyAlignment="1">
      <alignment horizontal="center" vertical="center"/>
    </xf>
    <xf numFmtId="164" fontId="3" fillId="7" borderId="3" xfId="0" applyNumberFormat="1" applyFont="1" applyFill="1" applyBorder="1" applyAlignment="1">
      <alignment horizontal="center" vertical="center"/>
    </xf>
    <xf numFmtId="0" fontId="3" fillId="10" borderId="16" xfId="0" applyFont="1" applyFill="1" applyBorder="1" applyAlignment="1">
      <alignment horizontal="center" vertical="center"/>
    </xf>
    <xf numFmtId="0" fontId="3" fillId="10" borderId="43" xfId="0" applyFont="1" applyFill="1" applyBorder="1" applyAlignment="1">
      <alignment horizontal="center" vertical="center"/>
    </xf>
    <xf numFmtId="0" fontId="3" fillId="10" borderId="37" xfId="0" applyFont="1" applyFill="1" applyBorder="1" applyAlignment="1">
      <alignment horizontal="center" vertical="center"/>
    </xf>
    <xf numFmtId="43" fontId="3" fillId="9" borderId="16" xfId="0" applyNumberFormat="1" applyFont="1" applyFill="1" applyBorder="1" applyAlignment="1">
      <alignment horizontal="center" vertical="center"/>
    </xf>
    <xf numFmtId="43" fontId="3" fillId="9" borderId="43" xfId="0" applyNumberFormat="1" applyFont="1" applyFill="1" applyBorder="1" applyAlignment="1">
      <alignment horizontal="center" vertical="center"/>
    </xf>
    <xf numFmtId="43" fontId="3" fillId="9" borderId="37" xfId="0" applyNumberFormat="1" applyFont="1" applyFill="1" applyBorder="1" applyAlignment="1">
      <alignment horizontal="center" vertical="center"/>
    </xf>
    <xf numFmtId="0" fontId="3" fillId="7" borderId="16" xfId="0" applyFont="1" applyFill="1" applyBorder="1" applyAlignment="1">
      <alignment horizontal="center" vertical="center"/>
    </xf>
    <xf numFmtId="0" fontId="3" fillId="7" borderId="43" xfId="0" applyFont="1" applyFill="1" applyBorder="1" applyAlignment="1">
      <alignment horizontal="center" vertical="center"/>
    </xf>
    <xf numFmtId="0" fontId="3" fillId="7" borderId="37" xfId="0" applyFont="1" applyFill="1" applyBorder="1" applyAlignment="1">
      <alignment horizontal="center" vertical="center"/>
    </xf>
    <xf numFmtId="0" fontId="3" fillId="8" borderId="16" xfId="0" applyFont="1" applyFill="1" applyBorder="1" applyAlignment="1">
      <alignment horizontal="center" vertical="center"/>
    </xf>
    <xf numFmtId="0" fontId="3" fillId="8" borderId="43" xfId="0" applyFont="1" applyFill="1" applyBorder="1" applyAlignment="1">
      <alignment horizontal="center" vertical="center"/>
    </xf>
    <xf numFmtId="0" fontId="3" fillId="8" borderId="37" xfId="0" applyFont="1" applyFill="1" applyBorder="1" applyAlignment="1">
      <alignment horizontal="center" vertical="center"/>
    </xf>
    <xf numFmtId="0" fontId="0" fillId="13" borderId="54" xfId="0" applyFill="1" applyBorder="1" applyAlignment="1">
      <alignment horizontal="center" vertical="center"/>
    </xf>
    <xf numFmtId="0" fontId="0" fillId="13" borderId="55" xfId="0" applyFill="1" applyBorder="1" applyAlignment="1">
      <alignment horizontal="center" vertical="center"/>
    </xf>
    <xf numFmtId="0" fontId="0" fillId="13" borderId="51" xfId="0" applyFill="1" applyBorder="1" applyAlignment="1">
      <alignment horizontal="center" vertical="center"/>
    </xf>
    <xf numFmtId="0" fontId="0" fillId="13" borderId="56" xfId="0" applyFill="1" applyBorder="1" applyAlignment="1">
      <alignment horizontal="center" vertical="center"/>
    </xf>
    <xf numFmtId="0" fontId="0" fillId="13" borderId="30" xfId="0" applyFill="1" applyBorder="1" applyAlignment="1">
      <alignment horizontal="center" vertical="center"/>
    </xf>
    <xf numFmtId="0" fontId="0" fillId="13" borderId="27" xfId="0" applyFill="1" applyBorder="1" applyAlignment="1">
      <alignment horizontal="center" vertical="center"/>
    </xf>
    <xf numFmtId="0" fontId="0" fillId="0" borderId="56" xfId="0" applyBorder="1" applyAlignment="1">
      <alignment horizontal="center" vertical="center"/>
    </xf>
    <xf numFmtId="0" fontId="0" fillId="0" borderId="30" xfId="0" applyBorder="1" applyAlignment="1">
      <alignment horizontal="center" vertical="center"/>
    </xf>
    <xf numFmtId="0" fontId="0" fillId="0" borderId="27" xfId="0" applyBorder="1" applyAlignment="1">
      <alignment horizontal="center" vertical="center"/>
    </xf>
    <xf numFmtId="0" fontId="3" fillId="43" borderId="19" xfId="0" applyFont="1" applyFill="1" applyBorder="1" applyAlignment="1">
      <alignment horizontal="center"/>
    </xf>
    <xf numFmtId="17" fontId="63" fillId="0" borderId="0" xfId="0" applyNumberFormat="1" applyFont="1" applyAlignment="1">
      <alignment horizontal="center" vertical="center" wrapText="1"/>
    </xf>
    <xf numFmtId="0" fontId="62" fillId="0" borderId="0" xfId="0" applyFont="1" applyAlignment="1">
      <alignment vertical="center" wrapText="1"/>
    </xf>
    <xf numFmtId="0" fontId="0" fillId="42" borderId="3" xfId="0" applyFill="1" applyBorder="1" applyAlignment="1">
      <alignment horizontal="center"/>
    </xf>
    <xf numFmtId="44" fontId="4" fillId="38" borderId="0" xfId="449" applyFont="1" applyFill="1" applyAlignment="1">
      <alignment horizontal="center"/>
    </xf>
    <xf numFmtId="0" fontId="4" fillId="49" borderId="35" xfId="0" applyFont="1" applyFill="1" applyBorder="1" applyAlignment="1">
      <alignment horizontal="center"/>
    </xf>
    <xf numFmtId="0" fontId="4" fillId="49" borderId="31" xfId="0" applyFont="1" applyFill="1" applyBorder="1" applyAlignment="1">
      <alignment horizontal="center"/>
    </xf>
    <xf numFmtId="0" fontId="4" fillId="42" borderId="35" xfId="0" applyFont="1" applyFill="1" applyBorder="1" applyAlignment="1">
      <alignment horizontal="center"/>
    </xf>
    <xf numFmtId="0" fontId="4" fillId="42" borderId="31" xfId="0" applyFont="1" applyFill="1" applyBorder="1" applyAlignment="1">
      <alignment horizontal="center"/>
    </xf>
    <xf numFmtId="0" fontId="4" fillId="4" borderId="16" xfId="0" applyFont="1" applyFill="1" applyBorder="1" applyAlignment="1">
      <alignment horizontal="center"/>
    </xf>
    <xf numFmtId="0" fontId="4" fillId="4" borderId="43" xfId="0" applyFont="1" applyFill="1" applyBorder="1" applyAlignment="1">
      <alignment horizontal="center"/>
    </xf>
    <xf numFmtId="0" fontId="4" fillId="4" borderId="37" xfId="0" applyFont="1" applyFill="1" applyBorder="1" applyAlignment="1">
      <alignment horizontal="center"/>
    </xf>
    <xf numFmtId="0" fontId="4" fillId="37" borderId="24" xfId="0" applyFont="1" applyFill="1" applyBorder="1" applyAlignment="1">
      <alignment horizontal="center"/>
    </xf>
    <xf numFmtId="0" fontId="4" fillId="37" borderId="26" xfId="0" applyFont="1" applyFill="1" applyBorder="1" applyAlignment="1">
      <alignment horizontal="center"/>
    </xf>
    <xf numFmtId="0" fontId="0" fillId="63" borderId="2" xfId="0" applyFill="1" applyBorder="1" applyAlignment="1">
      <alignment horizontal="center" vertical="center"/>
    </xf>
    <xf numFmtId="0" fontId="0" fillId="63" borderId="3" xfId="0" applyFill="1" applyBorder="1" applyAlignment="1">
      <alignment horizontal="center" vertical="center"/>
    </xf>
    <xf numFmtId="0" fontId="0" fillId="42" borderId="3" xfId="0" applyFill="1" applyBorder="1" applyAlignment="1">
      <alignment horizontal="center" vertical="center"/>
    </xf>
    <xf numFmtId="0" fontId="0" fillId="42" borderId="38" xfId="0" applyFill="1" applyBorder="1" applyAlignment="1">
      <alignment horizontal="center" vertical="center"/>
    </xf>
    <xf numFmtId="0" fontId="0" fillId="0" borderId="20" xfId="0" applyBorder="1" applyAlignment="1">
      <alignment horizontal="center" vertical="center"/>
    </xf>
    <xf numFmtId="0" fontId="0" fillId="0" borderId="21" xfId="0" applyBorder="1" applyAlignment="1">
      <alignment horizontal="center" vertical="center"/>
    </xf>
    <xf numFmtId="0" fontId="0" fillId="0" borderId="41" xfId="0" applyBorder="1" applyAlignment="1">
      <alignment horizontal="center" vertical="center"/>
    </xf>
    <xf numFmtId="0" fontId="4" fillId="37" borderId="54" xfId="0" applyFont="1" applyFill="1" applyBorder="1" applyAlignment="1">
      <alignment horizontal="center"/>
    </xf>
    <xf numFmtId="0" fontId="4" fillId="37" borderId="71" xfId="0" applyFont="1" applyFill="1" applyBorder="1" applyAlignment="1">
      <alignment horizontal="center"/>
    </xf>
    <xf numFmtId="0" fontId="0" fillId="62" borderId="3" xfId="0" applyFill="1" applyBorder="1" applyAlignment="1">
      <alignment horizontal="center" vertical="center"/>
    </xf>
    <xf numFmtId="0" fontId="0" fillId="62" borderId="38" xfId="0" applyFill="1" applyBorder="1" applyAlignment="1">
      <alignment horizontal="center" vertical="center"/>
    </xf>
    <xf numFmtId="0" fontId="4" fillId="0" borderId="1" xfId="0" applyFont="1" applyFill="1" applyBorder="1" applyAlignment="1">
      <alignment horizontal="center" vertical="center"/>
    </xf>
    <xf numFmtId="0" fontId="0" fillId="0" borderId="0" xfId="0" applyBorder="1" applyAlignment="1">
      <alignment horizontal="left" vertical="center"/>
    </xf>
    <xf numFmtId="0" fontId="0" fillId="53" borderId="0" xfId="0" applyFill="1" applyBorder="1"/>
    <xf numFmtId="175" fontId="4" fillId="53" borderId="0" xfId="0" applyNumberFormat="1" applyFont="1" applyFill="1" applyBorder="1"/>
    <xf numFmtId="175" fontId="4" fillId="0" borderId="0" xfId="0" applyNumberFormat="1" applyFont="1" applyBorder="1"/>
    <xf numFmtId="0" fontId="0" fillId="0" borderId="0" xfId="0" applyBorder="1"/>
    <xf numFmtId="175" fontId="4" fillId="0" borderId="3" xfId="0" applyNumberFormat="1" applyFont="1" applyFill="1" applyBorder="1"/>
    <xf numFmtId="0" fontId="0" fillId="0" borderId="3" xfId="0" applyFill="1" applyBorder="1"/>
    <xf numFmtId="0" fontId="0" fillId="0" borderId="3" xfId="0" applyFill="1" applyBorder="1" applyAlignment="1">
      <alignment horizontal="left" vertical="center"/>
    </xf>
    <xf numFmtId="8" fontId="0" fillId="0" borderId="3" xfId="449" applyNumberFormat="1" applyFont="1" applyFill="1" applyBorder="1" applyAlignment="1">
      <alignment vertical="center"/>
    </xf>
    <xf numFmtId="0" fontId="0" fillId="0" borderId="31" xfId="0" applyFill="1" applyBorder="1"/>
    <xf numFmtId="175" fontId="4" fillId="0" borderId="31" xfId="0" applyNumberFormat="1" applyFont="1" applyFill="1" applyBorder="1"/>
    <xf numFmtId="175" fontId="0" fillId="0" borderId="31" xfId="0" applyNumberFormat="1" applyFill="1" applyBorder="1"/>
    <xf numFmtId="175" fontId="4" fillId="0" borderId="16" xfId="0" applyNumberFormat="1" applyFont="1" applyFill="1" applyBorder="1"/>
    <xf numFmtId="49" fontId="0" fillId="0" borderId="0" xfId="0" applyNumberFormat="1" applyFont="1" applyBorder="1" applyAlignment="1">
      <alignment vertical="center"/>
    </xf>
    <xf numFmtId="49" fontId="0" fillId="0" borderId="0" xfId="0" applyNumberFormat="1" applyBorder="1" applyAlignment="1">
      <alignment vertical="center"/>
    </xf>
    <xf numFmtId="8" fontId="0" fillId="0" borderId="0" xfId="0" applyNumberFormat="1" applyBorder="1" applyAlignment="1">
      <alignment vertical="center"/>
    </xf>
    <xf numFmtId="8" fontId="0" fillId="0" borderId="0" xfId="0" applyNumberFormat="1" applyBorder="1" applyAlignment="1">
      <alignment vertical="center" wrapText="1"/>
    </xf>
    <xf numFmtId="0" fontId="0" fillId="0" borderId="0" xfId="0" applyFont="1" applyBorder="1" applyAlignment="1">
      <alignment vertical="center"/>
    </xf>
    <xf numFmtId="8" fontId="0" fillId="0" borderId="0" xfId="0" applyNumberFormat="1" applyFont="1" applyBorder="1" applyAlignment="1">
      <alignment vertical="center"/>
    </xf>
    <xf numFmtId="0" fontId="0" fillId="0" borderId="0" xfId="0" applyBorder="1" applyAlignment="1">
      <alignment vertical="center"/>
    </xf>
    <xf numFmtId="0" fontId="0" fillId="0" borderId="0" xfId="0" applyBorder="1" applyAlignment="1">
      <alignment vertical="center" wrapText="1"/>
    </xf>
  </cellXfs>
  <cellStyles count="647">
    <cellStyle name="20% - Accent1 2" xfId="16" xr:uid="{00000000-0005-0000-0000-000000000000}"/>
    <cellStyle name="20% - Accent1 2 2" xfId="17" xr:uid="{00000000-0005-0000-0000-000001000000}"/>
    <cellStyle name="20% - Accent1 2 3" xfId="18" xr:uid="{00000000-0005-0000-0000-000002000000}"/>
    <cellStyle name="20% - Accent1 2 3 2" xfId="19" xr:uid="{00000000-0005-0000-0000-000003000000}"/>
    <cellStyle name="20% - Accent1 2 4" xfId="20" xr:uid="{00000000-0005-0000-0000-000004000000}"/>
    <cellStyle name="20% - Accent1 2_Cluster Trading" xfId="21" xr:uid="{00000000-0005-0000-0000-000005000000}"/>
    <cellStyle name="20% - Accent2 2" xfId="22" xr:uid="{00000000-0005-0000-0000-000006000000}"/>
    <cellStyle name="20% - Accent2 2 2" xfId="23" xr:uid="{00000000-0005-0000-0000-000007000000}"/>
    <cellStyle name="20% - Accent2 2 3" xfId="24" xr:uid="{00000000-0005-0000-0000-000008000000}"/>
    <cellStyle name="20% - Accent2 2 3 2" xfId="25" xr:uid="{00000000-0005-0000-0000-000009000000}"/>
    <cellStyle name="20% - Accent2 2 4" xfId="26" xr:uid="{00000000-0005-0000-0000-00000A000000}"/>
    <cellStyle name="20% - Accent2 2_Cluster Trading" xfId="27" xr:uid="{00000000-0005-0000-0000-00000B000000}"/>
    <cellStyle name="20% - Accent3 2" xfId="28" xr:uid="{00000000-0005-0000-0000-00000C000000}"/>
    <cellStyle name="20% - Accent3 2 2" xfId="29" xr:uid="{00000000-0005-0000-0000-00000D000000}"/>
    <cellStyle name="20% - Accent3 2 3" xfId="30" xr:uid="{00000000-0005-0000-0000-00000E000000}"/>
    <cellStyle name="20% - Accent3 2 3 2" xfId="31" xr:uid="{00000000-0005-0000-0000-00000F000000}"/>
    <cellStyle name="20% - Accent3 2 4" xfId="32" xr:uid="{00000000-0005-0000-0000-000010000000}"/>
    <cellStyle name="20% - Accent3 2_Cluster Trading" xfId="33" xr:uid="{00000000-0005-0000-0000-000011000000}"/>
    <cellStyle name="20% - Accent4 2" xfId="34" xr:uid="{00000000-0005-0000-0000-000012000000}"/>
    <cellStyle name="20% - Accent4 2 2" xfId="35" xr:uid="{00000000-0005-0000-0000-000013000000}"/>
    <cellStyle name="20% - Accent4 2 3" xfId="36" xr:uid="{00000000-0005-0000-0000-000014000000}"/>
    <cellStyle name="20% - Accent4 2 3 2" xfId="37" xr:uid="{00000000-0005-0000-0000-000015000000}"/>
    <cellStyle name="20% - Accent4 2 4" xfId="38" xr:uid="{00000000-0005-0000-0000-000016000000}"/>
    <cellStyle name="20% - Accent4 2_Cluster Trading" xfId="39" xr:uid="{00000000-0005-0000-0000-000017000000}"/>
    <cellStyle name="20% - Accent5 2" xfId="40" xr:uid="{00000000-0005-0000-0000-000018000000}"/>
    <cellStyle name="20% - Accent5 2 2" xfId="41" xr:uid="{00000000-0005-0000-0000-000019000000}"/>
    <cellStyle name="20% - Accent5 2 3" xfId="42" xr:uid="{00000000-0005-0000-0000-00001A000000}"/>
    <cellStyle name="20% - Accent5 2 3 2" xfId="43" xr:uid="{00000000-0005-0000-0000-00001B000000}"/>
    <cellStyle name="20% - Accent5 2 4" xfId="44" xr:uid="{00000000-0005-0000-0000-00001C000000}"/>
    <cellStyle name="20% - Accent5 2_Cluster Trading" xfId="45" xr:uid="{00000000-0005-0000-0000-00001D000000}"/>
    <cellStyle name="20% - Accent6 2" xfId="46" xr:uid="{00000000-0005-0000-0000-00001E000000}"/>
    <cellStyle name="20% - Accent6 2 2" xfId="47" xr:uid="{00000000-0005-0000-0000-00001F000000}"/>
    <cellStyle name="20% - Accent6 2 3" xfId="48" xr:uid="{00000000-0005-0000-0000-000020000000}"/>
    <cellStyle name="20% - Accent6 2 3 2" xfId="49" xr:uid="{00000000-0005-0000-0000-000021000000}"/>
    <cellStyle name="20% - Accent6 2 4" xfId="50" xr:uid="{00000000-0005-0000-0000-000022000000}"/>
    <cellStyle name="20% - Accent6 2_Cluster Trading" xfId="51" xr:uid="{00000000-0005-0000-0000-000023000000}"/>
    <cellStyle name="20% - Akzent1" xfId="52" xr:uid="{00000000-0005-0000-0000-000024000000}"/>
    <cellStyle name="20% - Akzent2" xfId="53" xr:uid="{00000000-0005-0000-0000-000025000000}"/>
    <cellStyle name="20% - Akzent3" xfId="54" xr:uid="{00000000-0005-0000-0000-000026000000}"/>
    <cellStyle name="20% - Akzent4" xfId="55" xr:uid="{00000000-0005-0000-0000-000027000000}"/>
    <cellStyle name="20% - Akzent5" xfId="56" xr:uid="{00000000-0005-0000-0000-000028000000}"/>
    <cellStyle name="20% - Akzent6" xfId="57" xr:uid="{00000000-0005-0000-0000-000029000000}"/>
    <cellStyle name="40% - Accent1 2" xfId="58" xr:uid="{00000000-0005-0000-0000-00002A000000}"/>
    <cellStyle name="40% - Accent1 2 2" xfId="59" xr:uid="{00000000-0005-0000-0000-00002B000000}"/>
    <cellStyle name="40% - Accent1 2 3" xfId="60" xr:uid="{00000000-0005-0000-0000-00002C000000}"/>
    <cellStyle name="40% - Accent1 2 3 2" xfId="61" xr:uid="{00000000-0005-0000-0000-00002D000000}"/>
    <cellStyle name="40% - Accent1 2 4" xfId="62" xr:uid="{00000000-0005-0000-0000-00002E000000}"/>
    <cellStyle name="40% - Accent1 2_Cluster Trading" xfId="63" xr:uid="{00000000-0005-0000-0000-00002F000000}"/>
    <cellStyle name="40% - Accent2 2" xfId="64" xr:uid="{00000000-0005-0000-0000-000030000000}"/>
    <cellStyle name="40% - Accent2 2 2" xfId="65" xr:uid="{00000000-0005-0000-0000-000031000000}"/>
    <cellStyle name="40% - Accent2 2 3" xfId="66" xr:uid="{00000000-0005-0000-0000-000032000000}"/>
    <cellStyle name="40% - Accent2 2 3 2" xfId="67" xr:uid="{00000000-0005-0000-0000-000033000000}"/>
    <cellStyle name="40% - Accent2 2 4" xfId="68" xr:uid="{00000000-0005-0000-0000-000034000000}"/>
    <cellStyle name="40% - Accent2 2_Cluster Trading" xfId="69" xr:uid="{00000000-0005-0000-0000-000035000000}"/>
    <cellStyle name="40% - Accent3 2" xfId="70" xr:uid="{00000000-0005-0000-0000-000036000000}"/>
    <cellStyle name="40% - Accent3 2 2" xfId="71" xr:uid="{00000000-0005-0000-0000-000037000000}"/>
    <cellStyle name="40% - Accent3 2 3" xfId="72" xr:uid="{00000000-0005-0000-0000-000038000000}"/>
    <cellStyle name="40% - Accent3 2 3 2" xfId="73" xr:uid="{00000000-0005-0000-0000-000039000000}"/>
    <cellStyle name="40% - Accent3 2 4" xfId="74" xr:uid="{00000000-0005-0000-0000-00003A000000}"/>
    <cellStyle name="40% - Accent3 2_Cluster Trading" xfId="75" xr:uid="{00000000-0005-0000-0000-00003B000000}"/>
    <cellStyle name="40% - Accent4 2" xfId="76" xr:uid="{00000000-0005-0000-0000-00003C000000}"/>
    <cellStyle name="40% - Accent4 2 2" xfId="77" xr:uid="{00000000-0005-0000-0000-00003D000000}"/>
    <cellStyle name="40% - Accent4 2 3" xfId="78" xr:uid="{00000000-0005-0000-0000-00003E000000}"/>
    <cellStyle name="40% - Accent4 2 3 2" xfId="79" xr:uid="{00000000-0005-0000-0000-00003F000000}"/>
    <cellStyle name="40% - Accent4 2 4" xfId="80" xr:uid="{00000000-0005-0000-0000-000040000000}"/>
    <cellStyle name="40% - Accent4 2_Cluster Trading" xfId="81" xr:uid="{00000000-0005-0000-0000-000041000000}"/>
    <cellStyle name="40% - Accent5 2" xfId="82" xr:uid="{00000000-0005-0000-0000-000042000000}"/>
    <cellStyle name="40% - Accent5 2 2" xfId="83" xr:uid="{00000000-0005-0000-0000-000043000000}"/>
    <cellStyle name="40% - Accent5 2 3" xfId="84" xr:uid="{00000000-0005-0000-0000-000044000000}"/>
    <cellStyle name="40% - Accent5 2 3 2" xfId="85" xr:uid="{00000000-0005-0000-0000-000045000000}"/>
    <cellStyle name="40% - Accent5 2 4" xfId="86" xr:uid="{00000000-0005-0000-0000-000046000000}"/>
    <cellStyle name="40% - Accent5 2_Cluster Trading" xfId="87" xr:uid="{00000000-0005-0000-0000-000047000000}"/>
    <cellStyle name="40% - Accent6 2" xfId="88" xr:uid="{00000000-0005-0000-0000-000048000000}"/>
    <cellStyle name="40% - Accent6 2 2" xfId="89" xr:uid="{00000000-0005-0000-0000-000049000000}"/>
    <cellStyle name="40% - Accent6 2 3" xfId="90" xr:uid="{00000000-0005-0000-0000-00004A000000}"/>
    <cellStyle name="40% - Accent6 2 3 2" xfId="91" xr:uid="{00000000-0005-0000-0000-00004B000000}"/>
    <cellStyle name="40% - Accent6 2 4" xfId="92" xr:uid="{00000000-0005-0000-0000-00004C000000}"/>
    <cellStyle name="40% - Accent6 2_Cluster Trading" xfId="93" xr:uid="{00000000-0005-0000-0000-00004D000000}"/>
    <cellStyle name="40% - Akzent1" xfId="94" xr:uid="{00000000-0005-0000-0000-00004E000000}"/>
    <cellStyle name="40% - Akzent2" xfId="95" xr:uid="{00000000-0005-0000-0000-00004F000000}"/>
    <cellStyle name="40% - Akzent3" xfId="96" xr:uid="{00000000-0005-0000-0000-000050000000}"/>
    <cellStyle name="40% - Akzent4" xfId="97" xr:uid="{00000000-0005-0000-0000-000051000000}"/>
    <cellStyle name="40% - Akzent5" xfId="98" xr:uid="{00000000-0005-0000-0000-000052000000}"/>
    <cellStyle name="40% - Akzent6" xfId="99" xr:uid="{00000000-0005-0000-0000-000053000000}"/>
    <cellStyle name="60% - Accent1 2" xfId="100" xr:uid="{00000000-0005-0000-0000-000054000000}"/>
    <cellStyle name="60% - Accent1 2 2" xfId="101" xr:uid="{00000000-0005-0000-0000-000055000000}"/>
    <cellStyle name="60% - Accent2 2" xfId="102" xr:uid="{00000000-0005-0000-0000-000056000000}"/>
    <cellStyle name="60% - Accent2 2 2" xfId="103" xr:uid="{00000000-0005-0000-0000-000057000000}"/>
    <cellStyle name="60% - Accent3 2" xfId="104" xr:uid="{00000000-0005-0000-0000-000058000000}"/>
    <cellStyle name="60% - Accent3 2 2" xfId="105" xr:uid="{00000000-0005-0000-0000-000059000000}"/>
    <cellStyle name="60% - Accent4 2" xfId="106" xr:uid="{00000000-0005-0000-0000-00005A000000}"/>
    <cellStyle name="60% - Accent4 2 2" xfId="107" xr:uid="{00000000-0005-0000-0000-00005B000000}"/>
    <cellStyle name="60% - Accent5 2" xfId="108" xr:uid="{00000000-0005-0000-0000-00005C000000}"/>
    <cellStyle name="60% - Accent5 2 2" xfId="109" xr:uid="{00000000-0005-0000-0000-00005D000000}"/>
    <cellStyle name="60% - Accent6 2" xfId="110" xr:uid="{00000000-0005-0000-0000-00005E000000}"/>
    <cellStyle name="60% - Accent6 2 2" xfId="111" xr:uid="{00000000-0005-0000-0000-00005F000000}"/>
    <cellStyle name="60% - Akzent1" xfId="112" xr:uid="{00000000-0005-0000-0000-000060000000}"/>
    <cellStyle name="60% - Akzent2" xfId="113" xr:uid="{00000000-0005-0000-0000-000061000000}"/>
    <cellStyle name="60% - Akzent3" xfId="114" xr:uid="{00000000-0005-0000-0000-000062000000}"/>
    <cellStyle name="60% - Akzent4" xfId="115" xr:uid="{00000000-0005-0000-0000-000063000000}"/>
    <cellStyle name="60% - Akzent5" xfId="116" xr:uid="{00000000-0005-0000-0000-000064000000}"/>
    <cellStyle name="60% - Akzent6" xfId="117" xr:uid="{00000000-0005-0000-0000-000065000000}"/>
    <cellStyle name="Accent1 2" xfId="118" xr:uid="{00000000-0005-0000-0000-000066000000}"/>
    <cellStyle name="Accent1 2 2" xfId="119" xr:uid="{00000000-0005-0000-0000-000067000000}"/>
    <cellStyle name="Accent2 2" xfId="120" xr:uid="{00000000-0005-0000-0000-000068000000}"/>
    <cellStyle name="Accent2 2 2" xfId="121" xr:uid="{00000000-0005-0000-0000-000069000000}"/>
    <cellStyle name="Accent3 2" xfId="122" xr:uid="{00000000-0005-0000-0000-00006A000000}"/>
    <cellStyle name="Accent3 2 2" xfId="123" xr:uid="{00000000-0005-0000-0000-00006B000000}"/>
    <cellStyle name="Accent4 2" xfId="124" xr:uid="{00000000-0005-0000-0000-00006C000000}"/>
    <cellStyle name="Accent4 2 2" xfId="125" xr:uid="{00000000-0005-0000-0000-00006D000000}"/>
    <cellStyle name="Accent5 2" xfId="126" xr:uid="{00000000-0005-0000-0000-00006E000000}"/>
    <cellStyle name="Accent5 2 2" xfId="127" xr:uid="{00000000-0005-0000-0000-00006F000000}"/>
    <cellStyle name="Accent6 2" xfId="128" xr:uid="{00000000-0005-0000-0000-000070000000}"/>
    <cellStyle name="Accent6 2 2" xfId="129" xr:uid="{00000000-0005-0000-0000-000071000000}"/>
    <cellStyle name="Actual Date" xfId="584" xr:uid="{89432427-EAF1-4B86-B1D4-04C840211DF7}"/>
    <cellStyle name="Akzent1" xfId="130" xr:uid="{00000000-0005-0000-0000-000072000000}"/>
    <cellStyle name="Akzent2" xfId="131" xr:uid="{00000000-0005-0000-0000-000073000000}"/>
    <cellStyle name="Akzent3" xfId="132" xr:uid="{00000000-0005-0000-0000-000074000000}"/>
    <cellStyle name="Akzent4" xfId="133" xr:uid="{00000000-0005-0000-0000-000075000000}"/>
    <cellStyle name="Akzent5" xfId="134" xr:uid="{00000000-0005-0000-0000-000076000000}"/>
    <cellStyle name="Akzent6" xfId="135" xr:uid="{00000000-0005-0000-0000-000077000000}"/>
    <cellStyle name="Ausgabe" xfId="136" xr:uid="{00000000-0005-0000-0000-000078000000}"/>
    <cellStyle name="Bad 2" xfId="137" xr:uid="{00000000-0005-0000-0000-000079000000}"/>
    <cellStyle name="Bad 2 2" xfId="138" xr:uid="{00000000-0005-0000-0000-00007A000000}"/>
    <cellStyle name="Bad 3" xfId="139" xr:uid="{00000000-0005-0000-0000-00007B000000}"/>
    <cellStyle name="Bad 4" xfId="140" xr:uid="{00000000-0005-0000-0000-00007C000000}"/>
    <cellStyle name="Berechnung" xfId="141" xr:uid="{00000000-0005-0000-0000-00007D000000}"/>
    <cellStyle name="Calculation 2" xfId="142" xr:uid="{00000000-0005-0000-0000-00007E000000}"/>
    <cellStyle name="Calculation 2 2" xfId="143" xr:uid="{00000000-0005-0000-0000-00007F000000}"/>
    <cellStyle name="Check Cell 2" xfId="144" xr:uid="{00000000-0005-0000-0000-000080000000}"/>
    <cellStyle name="Check Cell 2 2" xfId="145" xr:uid="{00000000-0005-0000-0000-000081000000}"/>
    <cellStyle name="Collegamento ipertestuale" xfId="146" xr:uid="{00000000-0005-0000-0000-000082000000}"/>
    <cellStyle name="Collegamento ipertestuale visitato" xfId="147" xr:uid="{00000000-0005-0000-0000-000083000000}"/>
    <cellStyle name="Comma" xfId="1" builtinId="3"/>
    <cellStyle name="Comma  - Style1" xfId="585" xr:uid="{4AE22FB9-8898-416E-BEF4-5DA21AA0D7E3}"/>
    <cellStyle name="Comma  - Style2" xfId="586" xr:uid="{7C6947B1-225A-433C-ADBA-806DAD08397C}"/>
    <cellStyle name="Comma  - Style3" xfId="587" xr:uid="{7053681E-B23F-4261-9AEB-0D6AE129C46E}"/>
    <cellStyle name="Comma  - Style4" xfId="588" xr:uid="{282086BA-697A-4B5F-B3AD-5660F6FCF12D}"/>
    <cellStyle name="Comma  - Style5" xfId="589" xr:uid="{0381E22C-06D5-41D8-92AC-EA3F5CEEB5DB}"/>
    <cellStyle name="Comma  - Style6" xfId="590" xr:uid="{9409936C-CF06-4DC3-8786-57C90A1D15B6}"/>
    <cellStyle name="Comma  - Style7" xfId="591" xr:uid="{71A03835-B77F-44A2-AE69-BC12743312A0}"/>
    <cellStyle name="Comma  - Style8" xfId="592" xr:uid="{E362C05B-DF24-4FE0-8F80-6E6771CC730E}"/>
    <cellStyle name="Comma 10" xfId="148" xr:uid="{00000000-0005-0000-0000-000085000000}"/>
    <cellStyle name="Comma 11" xfId="530" xr:uid="{2D108C9D-B3FF-44D7-911F-52C114B8BD58}"/>
    <cellStyle name="Comma 12" xfId="149" xr:uid="{00000000-0005-0000-0000-000086000000}"/>
    <cellStyle name="Comma 12 7" xfId="150" xr:uid="{00000000-0005-0000-0000-000087000000}"/>
    <cellStyle name="Comma 12 7 2" xfId="151" xr:uid="{00000000-0005-0000-0000-000088000000}"/>
    <cellStyle name="Comma 12 7 2 2" xfId="396" xr:uid="{224D3399-0DF7-4D77-A1F7-3EDFEB85F594}"/>
    <cellStyle name="Comma 12 7 2 2 2" xfId="435" xr:uid="{6581F85B-C00B-4C7C-8001-905023389CF1}"/>
    <cellStyle name="Comma 12 7 2 2 2 2" xfId="515" xr:uid="{CDC7872C-BF2D-401B-A85C-6C7A65883B6D}"/>
    <cellStyle name="Comma 12 7 2 2 3" xfId="476" xr:uid="{F88642A2-22D7-4D19-A0B6-172C86536035}"/>
    <cellStyle name="Comma 12 7 2 2 4" xfId="566" xr:uid="{4A7007C5-ABF4-4674-AA44-44C846E3B43C}"/>
    <cellStyle name="Comma 12 7 2 3" xfId="416" xr:uid="{9F512E02-A2D3-4242-A047-00DBF787EBA5}"/>
    <cellStyle name="Comma 12 7 2 3 2" xfId="496" xr:uid="{10E6CC4B-C329-4F7D-A0F1-B6B70F2C3BE2}"/>
    <cellStyle name="Comma 12 7 2 4" xfId="457" xr:uid="{CA7DBC63-E97E-442C-A117-64CE6064D1B8}"/>
    <cellStyle name="Comma 12 7 2 5" xfId="546" xr:uid="{F72A2220-805F-4220-9E23-EF7DB447AEEB}"/>
    <cellStyle name="Comma 12 7 3" xfId="395" xr:uid="{FDB37F96-7233-4AB8-85EA-F25EEA71240C}"/>
    <cellStyle name="Comma 12 7 3 2" xfId="434" xr:uid="{75D5B580-1BDA-4C35-B5B2-535BB0E19197}"/>
    <cellStyle name="Comma 12 7 3 2 2" xfId="514" xr:uid="{5DD58C1B-835D-4766-BB3D-C4914BB6335C}"/>
    <cellStyle name="Comma 12 7 3 3" xfId="475" xr:uid="{D6F29F2D-56CB-4DFB-A6F5-68BF77E9E65E}"/>
    <cellStyle name="Comma 12 7 3 4" xfId="565" xr:uid="{3C313F73-BFB8-4F9E-AB41-EB5CCE33F391}"/>
    <cellStyle name="Comma 12 7 4" xfId="415" xr:uid="{895D0FE7-F7CD-497A-8643-E47BBBF3E916}"/>
    <cellStyle name="Comma 12 7 4 2" xfId="495" xr:uid="{6882E71A-0BCF-4FB1-8953-4C3A347662A2}"/>
    <cellStyle name="Comma 12 7 5" xfId="456" xr:uid="{A5D11CA8-9BA4-4F32-97A3-A93A24AFED65}"/>
    <cellStyle name="Comma 12 7 6" xfId="545" xr:uid="{F3707761-3F3E-4A15-A6BF-AFE57B513082}"/>
    <cellStyle name="Comma 13" xfId="580" xr:uid="{609044F8-ED3E-4A3C-9A22-216302E2886A}"/>
    <cellStyle name="Comma 14" xfId="581" xr:uid="{6DBCB491-8297-4005-A0F3-33EE18393A78}"/>
    <cellStyle name="Comma 15" xfId="582" xr:uid="{7CCB1DBE-4983-4C7A-BF2F-148ADD307FA3}"/>
    <cellStyle name="Comma 16" xfId="152" xr:uid="{00000000-0005-0000-0000-000089000000}"/>
    <cellStyle name="Comma 17" xfId="153" xr:uid="{00000000-0005-0000-0000-00008A000000}"/>
    <cellStyle name="Comma 17 2" xfId="154" xr:uid="{00000000-0005-0000-0000-00008B000000}"/>
    <cellStyle name="Comma 17 2 2" xfId="155" xr:uid="{00000000-0005-0000-0000-00008C000000}"/>
    <cellStyle name="Comma 17 2 2 2" xfId="398" xr:uid="{E4E2DCCD-9FFA-48E6-AF6F-6B569AC46A34}"/>
    <cellStyle name="Comma 17 2 2 2 2" xfId="437" xr:uid="{C14C7FED-8C87-4DB5-99E3-D45F9EA65C76}"/>
    <cellStyle name="Comma 17 2 2 2 2 2" xfId="517" xr:uid="{701C8201-F6E6-423A-9E25-67CD1C31D4F4}"/>
    <cellStyle name="Comma 17 2 2 2 3" xfId="478" xr:uid="{F203E217-5A01-4CEB-ACAE-06E16236ABCC}"/>
    <cellStyle name="Comma 17 2 2 2 4" xfId="568" xr:uid="{32E9B12D-C9D9-4F74-9811-7EE61367FACA}"/>
    <cellStyle name="Comma 17 2 2 3" xfId="418" xr:uid="{4844247C-E3F2-4C29-9AB2-A6C6790CF04A}"/>
    <cellStyle name="Comma 17 2 2 3 2" xfId="498" xr:uid="{8487A27E-7891-4AAF-925D-81CF48817711}"/>
    <cellStyle name="Comma 17 2 2 4" xfId="459" xr:uid="{2FB55BA6-E9CC-4AE1-A47E-3D060936287C}"/>
    <cellStyle name="Comma 17 2 2 5" xfId="548" xr:uid="{BEB2AE6C-FE10-4753-9AD5-67EF70887CD2}"/>
    <cellStyle name="Comma 17 2 3" xfId="397" xr:uid="{B1F4CFD4-3BE1-4790-BB55-8D135478385B}"/>
    <cellStyle name="Comma 17 2 3 2" xfId="436" xr:uid="{1C908BF0-52F8-44FF-94EB-A5B6B545E82C}"/>
    <cellStyle name="Comma 17 2 3 2 2" xfId="516" xr:uid="{5627D679-4620-4FDF-80B5-4C49A312B35A}"/>
    <cellStyle name="Comma 17 2 3 3" xfId="477" xr:uid="{110B7E1B-47AB-4631-A52F-11F9684E672C}"/>
    <cellStyle name="Comma 17 2 3 4" xfId="567" xr:uid="{0B0E2712-1CB5-417F-8E1A-B2C2A7A0AC84}"/>
    <cellStyle name="Comma 17 2 4" xfId="417" xr:uid="{34B16141-3647-4F40-8FD9-2528E106CFC9}"/>
    <cellStyle name="Comma 17 2 4 2" xfId="497" xr:uid="{61845CE4-4328-4B0C-A99D-115713659D04}"/>
    <cellStyle name="Comma 17 2 5" xfId="458" xr:uid="{BE9840CE-E56D-42E0-A511-1BBCDFE30D90}"/>
    <cellStyle name="Comma 17 2 6" xfId="547" xr:uid="{F5216650-3A8B-4E8C-B9B1-76766E389791}"/>
    <cellStyle name="Comma 19" xfId="156" xr:uid="{00000000-0005-0000-0000-00008D000000}"/>
    <cellStyle name="Comma 2" xfId="7" xr:uid="{00000000-0005-0000-0000-000001000000}"/>
    <cellStyle name="Comma 2 10" xfId="583" xr:uid="{56E4C880-9DB5-4BAC-815B-FE2A0EC50F5B}"/>
    <cellStyle name="Comma 2 2" xfId="158" xr:uid="{00000000-0005-0000-0000-00008F000000}"/>
    <cellStyle name="Comma 2 2 2" xfId="400" xr:uid="{95CCAAAF-A854-49F9-BCCA-7672AB5B2E8A}"/>
    <cellStyle name="Comma 2 2 2 2" xfId="439" xr:uid="{933B2030-2189-4FB2-8645-AB4B997E07EA}"/>
    <cellStyle name="Comma 2 2 2 2 2" xfId="519" xr:uid="{9F3748AB-55D4-4E1C-8738-2FEDDB8434B6}"/>
    <cellStyle name="Comma 2 2 2 3" xfId="480" xr:uid="{49ED66B2-8794-4D8C-9ACB-7A0ABEEA1F35}"/>
    <cellStyle name="Comma 2 2 2 4" xfId="570" xr:uid="{25009E3F-8F99-43ED-BB3B-2777ACC76218}"/>
    <cellStyle name="Comma 2 2 3" xfId="420" xr:uid="{E08444D5-3BE6-4404-A40D-E9BE0C7EE392}"/>
    <cellStyle name="Comma 2 2 3 2" xfId="500" xr:uid="{BC39DCB0-3574-4885-AC62-68C8693BDD2A}"/>
    <cellStyle name="Comma 2 2 3 3" xfId="550" xr:uid="{A59BE613-221D-4309-8107-E2436177494D}"/>
    <cellStyle name="Comma 2 2 4" xfId="461" xr:uid="{570267F2-9F02-458D-AEFA-FC87E816BE68}"/>
    <cellStyle name="Comma 2 2 5" xfId="536" xr:uid="{04E6197E-3639-4F85-A12E-BF0AB6785EBA}"/>
    <cellStyle name="Comma 2 2 6" xfId="631" xr:uid="{4F7C9DBD-21EE-4BBD-A0D9-2DEF69CC9ACA}"/>
    <cellStyle name="Comma 2 3" xfId="14" xr:uid="{00000000-0005-0000-0000-000090000000}"/>
    <cellStyle name="Comma 2 3 2" xfId="393" xr:uid="{D84EC6AE-27DE-48C6-A28B-D8F12DCACE1E}"/>
    <cellStyle name="Comma 2 3 2 2" xfId="432" xr:uid="{39EC6F8B-33F7-4FB3-B76B-4EA81660AEF1}"/>
    <cellStyle name="Comma 2 3 2 2 2" xfId="512" xr:uid="{D57DA43A-381B-4401-A0B7-B6D0E09131F5}"/>
    <cellStyle name="Comma 2 3 2 3" xfId="473" xr:uid="{A9135746-CE48-49DE-BF23-F7E83224B459}"/>
    <cellStyle name="Comma 2 3 2 4" xfId="563" xr:uid="{75016551-C100-4D0A-BC54-12792DF54910}"/>
    <cellStyle name="Comma 2 3 3" xfId="413" xr:uid="{1C55C45D-4218-4024-A886-C615FF0C7787}"/>
    <cellStyle name="Comma 2 3 3 2" xfId="493" xr:uid="{EEDFD4E9-0E39-4A21-94C7-83E94062D977}"/>
    <cellStyle name="Comma 2 3 4" xfId="454" xr:uid="{6BF81CAC-FF47-4DA9-8BE5-1694EC1ABCBD}"/>
    <cellStyle name="Comma 2 3 5" xfId="543" xr:uid="{F89781F5-8D1D-456D-93F4-AD5A5D3A5162}"/>
    <cellStyle name="Comma 2 4" xfId="385" xr:uid="{00000000-0005-0000-0000-000001000000}"/>
    <cellStyle name="Comma 2 4 2" xfId="405" xr:uid="{8ADFA106-A7DA-4BDE-B4D1-D9C86CA16BF3}"/>
    <cellStyle name="Comma 2 4 2 2" xfId="444" xr:uid="{B952903E-6B50-41D9-BB07-5465E3B1C92D}"/>
    <cellStyle name="Comma 2 4 2 2 2" xfId="524" xr:uid="{316DCE61-CFE4-4528-895B-87D9B2F54015}"/>
    <cellStyle name="Comma 2 4 2 3" xfId="485" xr:uid="{844798F6-5EE3-49A0-8BDF-25D066C87692}"/>
    <cellStyle name="Comma 2 4 2 4" xfId="575" xr:uid="{6E4A7443-BDCA-4474-8DE5-1C5AB2F35883}"/>
    <cellStyle name="Comma 2 4 3" xfId="425" xr:uid="{2918F055-134E-4EEE-9C64-3F6801A22605}"/>
    <cellStyle name="Comma 2 4 3 2" xfId="505" xr:uid="{95227986-44D6-4A72-8B21-471D8968F6AC}"/>
    <cellStyle name="Comma 2 4 4" xfId="466" xr:uid="{66C67BA4-07AE-4B2E-80AE-66735FFCD20E}"/>
    <cellStyle name="Comma 2 4 5" xfId="556" xr:uid="{82ADFB37-BC4E-413C-BDE2-ECD0FE4B326F}"/>
    <cellStyle name="Comma 2 5" xfId="157" xr:uid="{00000000-0005-0000-0000-00008E000000}"/>
    <cellStyle name="Comma 2 5 2" xfId="399" xr:uid="{98C91FC1-C957-495F-B63D-AD26DFC2814B}"/>
    <cellStyle name="Comma 2 5 2 2" xfId="438" xr:uid="{8F302A89-10B6-4F9D-8930-B3D9D56FE01C}"/>
    <cellStyle name="Comma 2 5 2 2 2" xfId="518" xr:uid="{4BA7583A-B34A-414D-8DC0-05AE190CB2D2}"/>
    <cellStyle name="Comma 2 5 2 3" xfId="479" xr:uid="{F9D2A43F-3638-4B66-8967-4DB69923A589}"/>
    <cellStyle name="Comma 2 5 2 4" xfId="569" xr:uid="{392C2061-939A-48A4-8AD2-4D5F1C9ABA9F}"/>
    <cellStyle name="Comma 2 5 3" xfId="419" xr:uid="{E38C05A1-2471-42E8-8EED-3106F9D3D558}"/>
    <cellStyle name="Comma 2 5 3 2" xfId="499" xr:uid="{E9E197BC-BED7-477B-B966-2C3243D4A3B3}"/>
    <cellStyle name="Comma 2 5 4" xfId="460" xr:uid="{837A5BD0-8277-4FF6-9926-2EC0FC752D80}"/>
    <cellStyle name="Comma 2 5 5" xfId="549" xr:uid="{FB6857D1-6E79-4F2A-8AF2-398C77F8D16F}"/>
    <cellStyle name="Comma 2 6" xfId="391" xr:uid="{3B54D382-9BB6-4562-A319-C6CB1C2F52F6}"/>
    <cellStyle name="Comma 2 6 2" xfId="430" xr:uid="{4F8C3E63-B79C-486C-ADB4-17246288F252}"/>
    <cellStyle name="Comma 2 6 2 2" xfId="510" xr:uid="{784D9EB6-AED4-4C42-88FF-E80505BFFC40}"/>
    <cellStyle name="Comma 2 6 3" xfId="471" xr:uid="{C64DD5AF-9A8D-4421-AA1C-147D5BCDBAA9}"/>
    <cellStyle name="Comma 2 6 4" xfId="561" xr:uid="{D8AA22ED-1623-4132-82C5-77110EDC5BA4}"/>
    <cellStyle name="Comma 2 7" xfId="411" xr:uid="{38204E33-0079-4905-AC32-57A68D7BFDA4}"/>
    <cellStyle name="Comma 2 7 2" xfId="491" xr:uid="{F2E1A173-1B13-4D47-96FF-FDFF3293693E}"/>
    <cellStyle name="Comma 2 7 3" xfId="541" xr:uid="{A0F2495F-7C27-4AAF-83B0-E81AE9CB96F1}"/>
    <cellStyle name="Comma 2 8" xfId="452" xr:uid="{197A687F-17A7-46DD-93B2-CF96F193C432}"/>
    <cellStyle name="Comma 2 8 2" xfId="535" xr:uid="{A0EE3951-05FE-40F0-AE87-65F042C7B789}"/>
    <cellStyle name="Comma 2 9" xfId="532" xr:uid="{691CBB7D-9533-46E8-89C0-033997E7E9FB}"/>
    <cellStyle name="Comma 25" xfId="159" xr:uid="{00000000-0005-0000-0000-000091000000}"/>
    <cellStyle name="Comma 27" xfId="160" xr:uid="{00000000-0005-0000-0000-000092000000}"/>
    <cellStyle name="Comma 28" xfId="161" xr:uid="{00000000-0005-0000-0000-000093000000}"/>
    <cellStyle name="Comma 3" xfId="5" xr:uid="{00000000-0005-0000-0000-000002000000}"/>
    <cellStyle name="Comma 3 2" xfId="15" xr:uid="{00000000-0005-0000-0000-000095000000}"/>
    <cellStyle name="Comma 3 2 2" xfId="394" xr:uid="{FFFA7A45-37DF-426E-AE09-F2F6AAD4681B}"/>
    <cellStyle name="Comma 3 2 2 2" xfId="433" xr:uid="{DA4DB0E9-29AE-4959-A079-4C6BBDA11586}"/>
    <cellStyle name="Comma 3 2 2 2 2" xfId="513" xr:uid="{8C0A86DC-4168-4B2E-8361-92D3950C31E8}"/>
    <cellStyle name="Comma 3 2 2 3" xfId="474" xr:uid="{7B3DFA0B-F380-4933-A71E-73723DDF5294}"/>
    <cellStyle name="Comma 3 2 2 4" xfId="564" xr:uid="{98597041-5D1A-4104-9C37-4A0D9D1D1D41}"/>
    <cellStyle name="Comma 3 2 3" xfId="414" xr:uid="{D9B7025E-E2EC-4805-9C81-78E9496DC47A}"/>
    <cellStyle name="Comma 3 2 3 2" xfId="494" xr:uid="{61BE31A6-93A4-461B-99F2-6BEE88D70475}"/>
    <cellStyle name="Comma 3 2 4" xfId="455" xr:uid="{96BE60F9-816C-4F41-861B-941FED41D7FA}"/>
    <cellStyle name="Comma 3 2 5" xfId="544" xr:uid="{B3251015-A904-43F1-8D3E-ED07EDE7654C}"/>
    <cellStyle name="Comma 3 3" xfId="384" xr:uid="{00000000-0005-0000-0000-000002000000}"/>
    <cellStyle name="Comma 3 3 2" xfId="404" xr:uid="{7BF15426-937E-41BA-9386-959CFEFFB4FE}"/>
    <cellStyle name="Comma 3 3 2 2" xfId="443" xr:uid="{21F19CE1-1ED7-4D00-A9DE-AB87B6AB3D79}"/>
    <cellStyle name="Comma 3 3 2 2 2" xfId="523" xr:uid="{5D88EC2A-6D30-4F3A-9151-8931D97F77D4}"/>
    <cellStyle name="Comma 3 3 2 3" xfId="484" xr:uid="{95EF2D53-DE06-4DC8-B921-747DDAC106CC}"/>
    <cellStyle name="Comma 3 3 2 4" xfId="574" xr:uid="{DFE306A2-83D8-4C48-9A0A-E7108873DFC0}"/>
    <cellStyle name="Comma 3 3 3" xfId="424" xr:uid="{A55DD2C4-7908-44EF-B7B2-00320FDD58FB}"/>
    <cellStyle name="Comma 3 3 3 2" xfId="504" xr:uid="{92AA9F5C-9899-483A-AF0E-FCB353065D76}"/>
    <cellStyle name="Comma 3 3 4" xfId="465" xr:uid="{CD125DAA-B861-4F9D-AF7D-FFFCD36DF48C}"/>
    <cellStyle name="Comma 3 3 5" xfId="555" xr:uid="{4886466A-D399-47C1-843A-F74559A0C535}"/>
    <cellStyle name="Comma 3 4" xfId="162" xr:uid="{00000000-0005-0000-0000-000094000000}"/>
    <cellStyle name="Comma 3 4 2" xfId="401" xr:uid="{979A3E37-A32D-42C4-95FD-F290B8935A76}"/>
    <cellStyle name="Comma 3 4 2 2" xfId="440" xr:uid="{26778C32-6FE9-4612-AD39-0D5ADCA40C54}"/>
    <cellStyle name="Comma 3 4 2 2 2" xfId="520" xr:uid="{76BAE71A-6726-41BD-8FCA-FE85D646B18E}"/>
    <cellStyle name="Comma 3 4 2 3" xfId="481" xr:uid="{AE0252AD-FDCA-4C8D-84A3-AC6E116CCFC6}"/>
    <cellStyle name="Comma 3 4 2 4" xfId="571" xr:uid="{52EA016E-DFF6-43B4-93D3-082F2FE3775C}"/>
    <cellStyle name="Comma 3 4 3" xfId="421" xr:uid="{02487150-3FE6-4B70-8815-D21152DC0BB8}"/>
    <cellStyle name="Comma 3 4 3 2" xfId="501" xr:uid="{AB30DF0A-523A-45A0-AFAE-9C9D54DFBD38}"/>
    <cellStyle name="Comma 3 4 4" xfId="462" xr:uid="{D59C5F90-7E0E-4D26-8B39-F41C3E470DB6}"/>
    <cellStyle name="Comma 3 4 5" xfId="551" xr:uid="{E97A9119-6D50-43E2-9461-68F7B43548B7}"/>
    <cellStyle name="Comma 3 5" xfId="390" xr:uid="{8FC80D26-5231-4DCC-825D-42943AF2B7C8}"/>
    <cellStyle name="Comma 3 5 2" xfId="429" xr:uid="{B70DF10F-2CA5-4D76-9FEC-89C504986706}"/>
    <cellStyle name="Comma 3 5 2 2" xfId="509" xr:uid="{D3186819-1187-493A-B0FE-0154C78A25CB}"/>
    <cellStyle name="Comma 3 5 3" xfId="470" xr:uid="{5B838D5E-5632-4FFC-B3E8-DFD57AB29FE3}"/>
    <cellStyle name="Comma 3 5 4" xfId="560" xr:uid="{C9D686DD-F1D3-45CE-ACD4-022B47E5EBAE}"/>
    <cellStyle name="Comma 3 6" xfId="410" xr:uid="{652732CC-F4E4-4555-838F-FEACEC4AB38F}"/>
    <cellStyle name="Comma 3 6 2" xfId="490" xr:uid="{75AF5676-CADE-46B8-9CB2-672A7C839116}"/>
    <cellStyle name="Comma 3 7" xfId="451" xr:uid="{9EC735A6-474E-4781-AEAA-DD67606A37FA}"/>
    <cellStyle name="Comma 3 8" xfId="540" xr:uid="{07045838-BF48-4999-8A64-479FA3881DFF}"/>
    <cellStyle name="Comma 31" xfId="163" xr:uid="{00000000-0005-0000-0000-000096000000}"/>
    <cellStyle name="Comma 37" xfId="164" xr:uid="{00000000-0005-0000-0000-000097000000}"/>
    <cellStyle name="Comma 38" xfId="165" xr:uid="{00000000-0005-0000-0000-000098000000}"/>
    <cellStyle name="Comma 4" xfId="11" xr:uid="{00000000-0005-0000-0000-000003000000}"/>
    <cellStyle name="Comma 4 2" xfId="387" xr:uid="{00000000-0005-0000-0000-000003000000}"/>
    <cellStyle name="Comma 4 2 2" xfId="406" xr:uid="{377CEC77-CDAC-42D1-8242-531A8C112720}"/>
    <cellStyle name="Comma 4 2 2 2" xfId="445" xr:uid="{C2FDBC79-E917-4F16-BE4E-F4A3B118FCA0}"/>
    <cellStyle name="Comma 4 2 2 2 2" xfId="525" xr:uid="{BFBAAD1B-4754-44B6-8599-81054319760D}"/>
    <cellStyle name="Comma 4 2 2 3" xfId="486" xr:uid="{9BFAA382-3F56-45CC-B02B-AD8F4153E79D}"/>
    <cellStyle name="Comma 4 2 2 4" xfId="576" xr:uid="{15BEAEE3-0B88-4917-80BA-E4772980C488}"/>
    <cellStyle name="Comma 4 2 3" xfId="426" xr:uid="{589455F7-E243-4D4C-B868-AC7FE4CBE5F6}"/>
    <cellStyle name="Comma 4 2 3 2" xfId="506" xr:uid="{B8422768-05B8-4B93-9AF1-9FA3C542A78D}"/>
    <cellStyle name="Comma 4 2 4" xfId="467" xr:uid="{3C13D46A-BA93-4A72-8DE9-AE79E86A3517}"/>
    <cellStyle name="Comma 4 2 5" xfId="557" xr:uid="{F6261E6D-3A75-4FEE-AB38-7915ABD45B68}"/>
    <cellStyle name="Comma 4 3" xfId="166" xr:uid="{00000000-0005-0000-0000-000099000000}"/>
    <cellStyle name="Comma 4 4" xfId="392" xr:uid="{A671E701-F878-4BA4-BE80-474F59AE9F68}"/>
    <cellStyle name="Comma 4 4 2" xfId="431" xr:uid="{35D56F42-92B2-405B-A0BD-5009CE15C14E}"/>
    <cellStyle name="Comma 4 4 2 2" xfId="511" xr:uid="{AFC9EBD0-FE35-41EA-B14A-C6A0296BD732}"/>
    <cellStyle name="Comma 4 4 3" xfId="472" xr:uid="{142273F0-39EC-4F60-AED0-01A1CD91FAEC}"/>
    <cellStyle name="Comma 4 4 4" xfId="562" xr:uid="{6742CE9B-97E7-4CB8-87F3-4ABC3DE072CC}"/>
    <cellStyle name="Comma 4 5" xfId="412" xr:uid="{B59E3828-BBF6-4E7D-9552-ED79B3D9E80E}"/>
    <cellStyle name="Comma 4 5 2" xfId="492" xr:uid="{2DD43992-FF92-45CE-BC13-00A49B21B204}"/>
    <cellStyle name="Comma 4 6" xfId="453" xr:uid="{E67DDACA-C752-433A-9C9F-0CE3755699C4}"/>
    <cellStyle name="Comma 4 7" xfId="542" xr:uid="{D0656865-B8D2-47E6-98BA-17271ED3AFA1}"/>
    <cellStyle name="Comma 4 9" xfId="167" xr:uid="{00000000-0005-0000-0000-00009A000000}"/>
    <cellStyle name="Comma 40" xfId="168" xr:uid="{00000000-0005-0000-0000-00009B000000}"/>
    <cellStyle name="Comma 41" xfId="169" xr:uid="{00000000-0005-0000-0000-00009C000000}"/>
    <cellStyle name="Comma 42" xfId="170" xr:uid="{00000000-0005-0000-0000-00009D000000}"/>
    <cellStyle name="Comma 43" xfId="171" xr:uid="{00000000-0005-0000-0000-00009E000000}"/>
    <cellStyle name="Comma 44" xfId="172" xr:uid="{00000000-0005-0000-0000-00009F000000}"/>
    <cellStyle name="Comma 48" xfId="173" xr:uid="{00000000-0005-0000-0000-0000A0000000}"/>
    <cellStyle name="Comma 49" xfId="174" xr:uid="{00000000-0005-0000-0000-0000A1000000}"/>
    <cellStyle name="Comma 5" xfId="175" xr:uid="{00000000-0005-0000-0000-0000A2000000}"/>
    <cellStyle name="Comma 5 2" xfId="402" xr:uid="{0506F487-9535-4D2F-B557-B9014411493C}"/>
    <cellStyle name="Comma 5 2 2" xfId="441" xr:uid="{DF3B78F8-5E36-42F5-AA88-163ED94600E6}"/>
    <cellStyle name="Comma 5 2 2 2" xfId="521" xr:uid="{21BA3B42-B573-44F3-BC23-659A680DBD4D}"/>
    <cellStyle name="Comma 5 2 3" xfId="482" xr:uid="{6F37636F-27EF-4729-A807-23EAB22FECFF}"/>
    <cellStyle name="Comma 5 2 4" xfId="572" xr:uid="{E5858ED3-2E16-4E69-87BD-FAF7E18149A7}"/>
    <cellStyle name="Comma 5 3" xfId="422" xr:uid="{0BCD82CA-BD16-418C-95E4-D5EA647F3E34}"/>
    <cellStyle name="Comma 5 3 2" xfId="502" xr:uid="{26C7E230-A545-424B-9231-C4B350D7EDAB}"/>
    <cellStyle name="Comma 5 4" xfId="463" xr:uid="{EEB0EDEE-9FD3-4553-A5F7-75A2FBB578AB}"/>
    <cellStyle name="Comma 5 5" xfId="552" xr:uid="{2920E8D4-FF72-4FF3-9189-A66577B9E68F}"/>
    <cellStyle name="Comma 50" xfId="176" xr:uid="{00000000-0005-0000-0000-0000A3000000}"/>
    <cellStyle name="Comma 51" xfId="177" xr:uid="{00000000-0005-0000-0000-0000A4000000}"/>
    <cellStyle name="Comma 57" xfId="178" xr:uid="{00000000-0005-0000-0000-0000A5000000}"/>
    <cellStyle name="Comma 59" xfId="179" xr:uid="{00000000-0005-0000-0000-0000A6000000}"/>
    <cellStyle name="Comma 6" xfId="379" xr:uid="{00000000-0005-0000-0000-0000A7000000}"/>
    <cellStyle name="Comma 6 2" xfId="403" xr:uid="{988CAB33-4C65-4416-BED8-229B353D41E5}"/>
    <cellStyle name="Comma 6 2 2" xfId="442" xr:uid="{00D90B07-A15F-403E-B352-08680DFE961C}"/>
    <cellStyle name="Comma 6 2 2 2" xfId="522" xr:uid="{4843EB3C-D9A3-48B4-9EE2-19BB6B937FBB}"/>
    <cellStyle name="Comma 6 2 3" xfId="483" xr:uid="{E6D9410F-5518-4BC4-8BF5-492184B2B0F5}"/>
    <cellStyle name="Comma 6 2 4" xfId="573" xr:uid="{3B83BB61-4A6F-40F0-913A-89766B07D453}"/>
    <cellStyle name="Comma 6 3" xfId="423" xr:uid="{9246C436-2884-4D4C-A7BA-A010B75F190E}"/>
    <cellStyle name="Comma 6 3 2" xfId="503" xr:uid="{F64F084C-9584-4710-A0FE-BDCDDA01BFF9}"/>
    <cellStyle name="Comma 6 4" xfId="464" xr:uid="{4F6758C7-A418-430F-A689-5ABEFA867FBC}"/>
    <cellStyle name="Comma 6 5" xfId="554" xr:uid="{16AD75E0-0C8B-49A5-8603-26AAA822BB19}"/>
    <cellStyle name="Comma 7" xfId="389" xr:uid="{C556CC8A-355F-4103-94FA-F8B09D6B0C86}"/>
    <cellStyle name="Comma 7 2" xfId="428" xr:uid="{567AB419-4F81-4FFF-8308-C7F094E97D8A}"/>
    <cellStyle name="Comma 7 2 2" xfId="508" xr:uid="{A0C4A290-A534-4F06-8696-BF58243A5FBF}"/>
    <cellStyle name="Comma 7 3" xfId="469" xr:uid="{3A0AC6F8-B3C9-4525-B682-F07CAF31D232}"/>
    <cellStyle name="Comma 7 4" xfId="559" xr:uid="{93EF8EDB-6251-4192-9904-711B0AD6504F}"/>
    <cellStyle name="Comma 8" xfId="409" xr:uid="{0E7704A4-9C65-4236-9ADB-A57974F4930B}"/>
    <cellStyle name="Comma 8 2" xfId="489" xr:uid="{6DDCBDA9-637F-4841-867F-72A36D1F0E96}"/>
    <cellStyle name="Comma 8 3" xfId="539" xr:uid="{9F6DFBB4-FC81-4DBA-B915-BC3ED9C83D46}"/>
    <cellStyle name="Comma 9" xfId="450" xr:uid="{0AC6AAC5-0304-4F4C-81C5-40687B259386}"/>
    <cellStyle name="Comma 9 2" xfId="538" xr:uid="{D3F825B8-53B5-4665-8C0A-28C20A2FCAA1}"/>
    <cellStyle name="Currency" xfId="449" builtinId="4"/>
    <cellStyle name="Currency 2" xfId="180" xr:uid="{00000000-0005-0000-0000-0000A8000000}"/>
    <cellStyle name="Currency 2 2" xfId="181" xr:uid="{00000000-0005-0000-0000-0000A9000000}"/>
    <cellStyle name="Currency 2 3" xfId="553" xr:uid="{5D249CC3-20C1-4D6B-9FDB-E5EB9934B49E}"/>
    <cellStyle name="Currency 2 4" xfId="537" xr:uid="{FB7E1263-821D-4727-8BAA-C7CBB109F0C6}"/>
    <cellStyle name="Currency 2 5" xfId="533" xr:uid="{09C5B822-FF92-42E9-9A67-AEE4D55713C6}"/>
    <cellStyle name="Currency 3" xfId="388" xr:uid="{427778B9-ED60-4159-8A86-8401F4FC7690}"/>
    <cellStyle name="Currency 3 2" xfId="407" xr:uid="{89D59146-D379-43ED-8506-4CDAF9D8A274}"/>
    <cellStyle name="Currency 3 2 2" xfId="446" xr:uid="{A9D13768-88FA-4957-91FD-E697E32DC256}"/>
    <cellStyle name="Currency 3 2 2 2" xfId="526" xr:uid="{F13C7696-D275-47BD-8706-FF8402AF05A3}"/>
    <cellStyle name="Currency 3 2 3" xfId="487" xr:uid="{5D71BE73-4CF4-4344-BEAE-E6A276B0070A}"/>
    <cellStyle name="Currency 3 2 4" xfId="577" xr:uid="{B4449830-F50B-4C98-9933-FCC711E91FB9}"/>
    <cellStyle name="Currency 3 3" xfId="427" xr:uid="{F828C82F-187F-4FD6-8D30-AAD7C20EE88B}"/>
    <cellStyle name="Currency 3 3 2" xfId="507" xr:uid="{23CF54C8-5B41-44FF-B835-DDF59CBE6493}"/>
    <cellStyle name="Currency 3 4" xfId="468" xr:uid="{6C544559-92B5-431F-BF2D-7DDACFAF0FB5}"/>
    <cellStyle name="Currency 3 5" xfId="558" xr:uid="{BEC3FAF3-27A4-4E33-8CD9-C6241061E5A6}"/>
    <cellStyle name="Currency 4" xfId="408" xr:uid="{AF33211E-BEC5-4D0C-A8B2-0F89693B0A43}"/>
    <cellStyle name="Currency 4 2" xfId="447" xr:uid="{928B67DA-5054-465E-843D-9633DEB78100}"/>
    <cellStyle name="Currency 4 2 2" xfId="527" xr:uid="{EB5D4388-494B-43EE-9548-2590DD8DFB36}"/>
    <cellStyle name="Currency 4 3" xfId="488" xr:uid="{11BC2527-C596-4100-98FC-F2E274A3065A}"/>
    <cellStyle name="Currency 4 4" xfId="578" xr:uid="{8E70DDB7-0317-42D3-9D33-F4D0BC72AB24}"/>
    <cellStyle name="Currency 5" xfId="448" xr:uid="{DE3154D6-C623-41A3-9F3D-50850F26F90A}"/>
    <cellStyle name="Currency 5 2" xfId="528" xr:uid="{AEF762D2-B977-4270-A8ED-00417B011AFE}"/>
    <cellStyle name="Currency 5 3" xfId="534" xr:uid="{0987A21A-FFF8-426C-BB78-B935F728AFBC}"/>
    <cellStyle name="Currency 6" xfId="529" xr:uid="{BD1473F4-200A-46A6-863F-8B6BE841E4AC}"/>
    <cellStyle name="Currency 7" xfId="531" xr:uid="{E2DD40CF-0D5B-45F4-AB8D-2253E8672421}"/>
    <cellStyle name="Currency 8" xfId="579" xr:uid="{BA64D23A-A83E-412A-A8BD-06C3CBCFE144}"/>
    <cellStyle name="Currency ᛛ0]" xfId="593" xr:uid="{31091D2F-D510-43A2-849B-61914FFB2721}"/>
    <cellStyle name="Date" xfId="594" xr:uid="{C202BACE-A7A0-4139-9E31-B9C40C996766}"/>
    <cellStyle name="Eingabe" xfId="182" xr:uid="{00000000-0005-0000-0000-0000AA000000}"/>
    <cellStyle name="Ergebnis" xfId="183" xr:uid="{00000000-0005-0000-0000-0000AB000000}"/>
    <cellStyle name="Erklärender Text" xfId="184" xr:uid="{00000000-0005-0000-0000-0000AC000000}"/>
    <cellStyle name="Euro" xfId="185" xr:uid="{00000000-0005-0000-0000-0000AD000000}"/>
    <cellStyle name="Euro 2" xfId="595" xr:uid="{12F0A631-862F-4772-9606-528DCF8A457C}"/>
    <cellStyle name="Explanatory Text 2" xfId="186" xr:uid="{00000000-0005-0000-0000-0000AE000000}"/>
    <cellStyle name="Explanatory Text 2 2" xfId="187" xr:uid="{00000000-0005-0000-0000-0000AF000000}"/>
    <cellStyle name="Fees" xfId="596" xr:uid="{E95D4EDA-3156-4AB1-BB62-1A33BC6E402C}"/>
    <cellStyle name="Fixed" xfId="597" xr:uid="{6AF138C0-9D7D-4AAA-A84F-D9DAE483CA93}"/>
    <cellStyle name="Good" xfId="3" builtinId="26"/>
    <cellStyle name="Good 2" xfId="188" xr:uid="{00000000-0005-0000-0000-0000B0000000}"/>
    <cellStyle name="Good 2 2" xfId="189" xr:uid="{00000000-0005-0000-0000-0000B1000000}"/>
    <cellStyle name="Good 3" xfId="190" xr:uid="{00000000-0005-0000-0000-0000B2000000}"/>
    <cellStyle name="Good 4" xfId="191" xr:uid="{00000000-0005-0000-0000-0000B3000000}"/>
    <cellStyle name="Grey" xfId="598" xr:uid="{A71A6C81-8814-4812-A067-2F148C210A01}"/>
    <cellStyle name="Gut" xfId="192" xr:uid="{00000000-0005-0000-0000-0000B4000000}"/>
    <cellStyle name="HEADER" xfId="599" xr:uid="{496FE8F8-A154-4F8A-AAD4-10E3452B36E8}"/>
    <cellStyle name="Heading 1 2" xfId="193" xr:uid="{00000000-0005-0000-0000-0000B5000000}"/>
    <cellStyle name="Heading 1 2 2" xfId="194" xr:uid="{00000000-0005-0000-0000-0000B6000000}"/>
    <cellStyle name="Heading 2 2" xfId="195" xr:uid="{00000000-0005-0000-0000-0000B7000000}"/>
    <cellStyle name="Heading 2 2 2" xfId="196" xr:uid="{00000000-0005-0000-0000-0000B8000000}"/>
    <cellStyle name="Heading 3 2" xfId="197" xr:uid="{00000000-0005-0000-0000-0000B9000000}"/>
    <cellStyle name="Heading 3 2 2" xfId="198" xr:uid="{00000000-0005-0000-0000-0000BA000000}"/>
    <cellStyle name="Heading 4 2" xfId="199" xr:uid="{00000000-0005-0000-0000-0000BB000000}"/>
    <cellStyle name="Heading 4 2 2" xfId="200" xr:uid="{00000000-0005-0000-0000-0000BC000000}"/>
    <cellStyle name="Heading1" xfId="600" xr:uid="{F3DA19A8-BDEA-4F16-9FFC-A65AF0FB11AE}"/>
    <cellStyle name="Heading2" xfId="601" xr:uid="{25C11B69-532C-481D-A991-43C5ACD6B700}"/>
    <cellStyle name="HIGHLIGHT" xfId="602" xr:uid="{381E5812-E497-4F7E-AF82-9B84F3CAE11F}"/>
    <cellStyle name="Hyperlink 2" xfId="201" xr:uid="{00000000-0005-0000-0000-0000BD000000}"/>
    <cellStyle name="Hyperlink 3" xfId="202" xr:uid="{00000000-0005-0000-0000-0000BE000000}"/>
    <cellStyle name="Hyperlink 4" xfId="203" xr:uid="{00000000-0005-0000-0000-0000BF000000}"/>
    <cellStyle name="Input [yellow]" xfId="603" xr:uid="{024E8CD6-097A-45FF-8D2D-46796DD57D25}"/>
    <cellStyle name="Input 2" xfId="8" xr:uid="{00000000-0005-0000-0000-000005000000}"/>
    <cellStyle name="Input 2 2" xfId="205" xr:uid="{00000000-0005-0000-0000-0000C1000000}"/>
    <cellStyle name="Input 2 3" xfId="386" xr:uid="{00000000-0005-0000-0000-000005000000}"/>
    <cellStyle name="Input 2 4" xfId="204" xr:uid="{00000000-0005-0000-0000-0000C0000000}"/>
    <cellStyle name="Linked Cell 2" xfId="206" xr:uid="{00000000-0005-0000-0000-0000C2000000}"/>
    <cellStyle name="Linked Cell 2 2" xfId="207" xr:uid="{00000000-0005-0000-0000-0000C3000000}"/>
    <cellStyle name="Migliaia (0)_2004-03-15 - NFES Refined estimates reorganization Italy - V3" xfId="604" xr:uid="{1DC4F65B-3448-4807-AEC8-3DA1520DD7F2}"/>
    <cellStyle name="Migliaia [0] 2" xfId="605" xr:uid="{12EF4CF9-0617-42CE-901C-E28112C6BA24}"/>
    <cellStyle name="Migliaia 2" xfId="606" xr:uid="{81C212AA-8F63-4F04-A66A-FDCC96D47BFD}"/>
    <cellStyle name="Migliaia 3" xfId="607" xr:uid="{6C1F36E4-7040-49E1-9F0B-EC3EDF803CB5}"/>
    <cellStyle name="Migliaia 4" xfId="608" xr:uid="{011AB518-5AB4-4C21-BDA2-07DC83335802}"/>
    <cellStyle name="Migliaia 4 2" xfId="609" xr:uid="{47FF1E9B-2EEC-409C-94C0-5B22D553DDDD}"/>
    <cellStyle name="Neutral 2" xfId="208" xr:uid="{00000000-0005-0000-0000-0000C4000000}"/>
    <cellStyle name="no dec" xfId="610" xr:uid="{0A7BF626-3999-403C-8D98-5F19A0790D9E}"/>
    <cellStyle name="Non_definito" xfId="611" xr:uid="{0278F802-379C-4043-8660-70628814B320}"/>
    <cellStyle name="Normal" xfId="0" builtinId="0"/>
    <cellStyle name="Normal - Style1" xfId="612" xr:uid="{25CC89EE-9C0B-4810-A15F-ACAA526E3205}"/>
    <cellStyle name="Normal 10" xfId="209" xr:uid="{00000000-0005-0000-0000-0000C6000000}"/>
    <cellStyle name="Normal 10 2" xfId="210" xr:uid="{00000000-0005-0000-0000-0000C7000000}"/>
    <cellStyle name="Normal 10 3" xfId="211" xr:uid="{00000000-0005-0000-0000-0000C8000000}"/>
    <cellStyle name="Normal 10 4" xfId="212" xr:uid="{00000000-0005-0000-0000-0000C9000000}"/>
    <cellStyle name="Normal 100" xfId="213" xr:uid="{00000000-0005-0000-0000-0000CA000000}"/>
    <cellStyle name="Normal 11" xfId="214" xr:uid="{00000000-0005-0000-0000-0000CB000000}"/>
    <cellStyle name="Normal 12" xfId="215" xr:uid="{00000000-0005-0000-0000-0000CC000000}"/>
    <cellStyle name="Normal 13" xfId="216" xr:uid="{00000000-0005-0000-0000-0000CD000000}"/>
    <cellStyle name="Normal 14" xfId="217" xr:uid="{00000000-0005-0000-0000-0000CE000000}"/>
    <cellStyle name="Normal 14 2" xfId="218" xr:uid="{00000000-0005-0000-0000-0000CF000000}"/>
    <cellStyle name="Normal 15" xfId="219" xr:uid="{00000000-0005-0000-0000-0000D0000000}"/>
    <cellStyle name="Normal 155" xfId="220" xr:uid="{00000000-0005-0000-0000-0000D1000000}"/>
    <cellStyle name="Normal 16" xfId="12" xr:uid="{00000000-0005-0000-0000-0000D2000000}"/>
    <cellStyle name="Normal 16 2" xfId="221" xr:uid="{00000000-0005-0000-0000-0000D3000000}"/>
    <cellStyle name="Normal 17" xfId="222" xr:uid="{00000000-0005-0000-0000-0000D4000000}"/>
    <cellStyle name="Normal 18" xfId="223" xr:uid="{00000000-0005-0000-0000-0000D5000000}"/>
    <cellStyle name="Normal 19" xfId="224" xr:uid="{00000000-0005-0000-0000-0000D6000000}"/>
    <cellStyle name="Normal 2" xfId="6" xr:uid="{00000000-0005-0000-0000-000007000000}"/>
    <cellStyle name="Normal 2 2" xfId="9" xr:uid="{00000000-0005-0000-0000-000008000000}"/>
    <cellStyle name="Normal 2 2 2" xfId="226" xr:uid="{00000000-0005-0000-0000-0000D9000000}"/>
    <cellStyle name="Normal 2 2 3" xfId="227" xr:uid="{00000000-0005-0000-0000-0000DA000000}"/>
    <cellStyle name="Normal 2 2 4" xfId="228" xr:uid="{00000000-0005-0000-0000-0000DB000000}"/>
    <cellStyle name="Normal 2 2 5" xfId="13" xr:uid="{00000000-0005-0000-0000-0000DC000000}"/>
    <cellStyle name="Normal 2 2 6" xfId="630" xr:uid="{E2D4526B-4166-434D-9B83-9B62B4EB3D2A}"/>
    <cellStyle name="Normal 2 3" xfId="229" xr:uid="{00000000-0005-0000-0000-0000DD000000}"/>
    <cellStyle name="Normal 2 4" xfId="230" xr:uid="{00000000-0005-0000-0000-0000DE000000}"/>
    <cellStyle name="Normal 2 5" xfId="231" xr:uid="{00000000-0005-0000-0000-0000DF000000}"/>
    <cellStyle name="Normal 2 6" xfId="232" xr:uid="{00000000-0005-0000-0000-0000E0000000}"/>
    <cellStyle name="Normal 2 7" xfId="380" xr:uid="{00000000-0005-0000-0000-0000E1000000}"/>
    <cellStyle name="Normal 2 8" xfId="225" xr:uid="{00000000-0005-0000-0000-0000D7000000}"/>
    <cellStyle name="Normal 2_Cluster Trading" xfId="233" xr:uid="{00000000-0005-0000-0000-0000E2000000}"/>
    <cellStyle name="Normal 20" xfId="234" xr:uid="{00000000-0005-0000-0000-0000E3000000}"/>
    <cellStyle name="Normal 21" xfId="235" xr:uid="{00000000-0005-0000-0000-0000E4000000}"/>
    <cellStyle name="Normal 219" xfId="236" xr:uid="{00000000-0005-0000-0000-0000E5000000}"/>
    <cellStyle name="Normal 22" xfId="237" xr:uid="{00000000-0005-0000-0000-0000E6000000}"/>
    <cellStyle name="Normal 225" xfId="238" xr:uid="{00000000-0005-0000-0000-0000E7000000}"/>
    <cellStyle name="Normal 226" xfId="239" xr:uid="{00000000-0005-0000-0000-0000E8000000}"/>
    <cellStyle name="Normal 23" xfId="240" xr:uid="{00000000-0005-0000-0000-0000E9000000}"/>
    <cellStyle name="Normal 238" xfId="241" xr:uid="{00000000-0005-0000-0000-0000EA000000}"/>
    <cellStyle name="Normal 239" xfId="242" xr:uid="{00000000-0005-0000-0000-0000EB000000}"/>
    <cellStyle name="Normal 24" xfId="243" xr:uid="{00000000-0005-0000-0000-0000EC000000}"/>
    <cellStyle name="Normal 25" xfId="244" xr:uid="{00000000-0005-0000-0000-0000ED000000}"/>
    <cellStyle name="Normal 26" xfId="245" xr:uid="{00000000-0005-0000-0000-0000EE000000}"/>
    <cellStyle name="Normal 27" xfId="246" xr:uid="{00000000-0005-0000-0000-0000EF000000}"/>
    <cellStyle name="Normal 28" xfId="247" xr:uid="{00000000-0005-0000-0000-0000F0000000}"/>
    <cellStyle name="Normal 285" xfId="248" xr:uid="{00000000-0005-0000-0000-0000F1000000}"/>
    <cellStyle name="Normal 286" xfId="249" xr:uid="{00000000-0005-0000-0000-0000F2000000}"/>
    <cellStyle name="Normal 29" xfId="250" xr:uid="{00000000-0005-0000-0000-0000F3000000}"/>
    <cellStyle name="Normal 290" xfId="251" xr:uid="{00000000-0005-0000-0000-0000F4000000}"/>
    <cellStyle name="Normal 291" xfId="252" xr:uid="{00000000-0005-0000-0000-0000F5000000}"/>
    <cellStyle name="Normal 293 2" xfId="253" xr:uid="{00000000-0005-0000-0000-0000F6000000}"/>
    <cellStyle name="Normal 3" xfId="254" xr:uid="{00000000-0005-0000-0000-0000F7000000}"/>
    <cellStyle name="Normal 3 2" xfId="255" xr:uid="{00000000-0005-0000-0000-0000F8000000}"/>
    <cellStyle name="Normal 3 2 2" xfId="256" xr:uid="{00000000-0005-0000-0000-0000F9000000}"/>
    <cellStyle name="Normal 3 2 3" xfId="614" xr:uid="{DF7EBD97-396D-434E-B05C-9447BFE7A47B}"/>
    <cellStyle name="Normal 3 3" xfId="257" xr:uid="{00000000-0005-0000-0000-0000FA000000}"/>
    <cellStyle name="Normal 3 3 2" xfId="258" xr:uid="{00000000-0005-0000-0000-0000FB000000}"/>
    <cellStyle name="Normal 3 4" xfId="259" xr:uid="{00000000-0005-0000-0000-0000FC000000}"/>
    <cellStyle name="Normal 3 5" xfId="260" xr:uid="{00000000-0005-0000-0000-0000FD000000}"/>
    <cellStyle name="Normal 3 6" xfId="261" xr:uid="{00000000-0005-0000-0000-0000FE000000}"/>
    <cellStyle name="Normal 3 7" xfId="613" xr:uid="{BA00E7B0-915C-4CAA-8BFB-16A0888701A3}"/>
    <cellStyle name="Normal 3 8" xfId="645" xr:uid="{B610484E-D695-4562-A27C-636D74BAB2A7}"/>
    <cellStyle name="Normal 30" xfId="262" xr:uid="{00000000-0005-0000-0000-0000FF000000}"/>
    <cellStyle name="Normal 31" xfId="263" xr:uid="{00000000-0005-0000-0000-000000010000}"/>
    <cellStyle name="Normal 316" xfId="264" xr:uid="{00000000-0005-0000-0000-000001010000}"/>
    <cellStyle name="Normal 317" xfId="265" xr:uid="{00000000-0005-0000-0000-000002010000}"/>
    <cellStyle name="Normal 32" xfId="266" xr:uid="{00000000-0005-0000-0000-000003010000}"/>
    <cellStyle name="Normal 326" xfId="267" xr:uid="{00000000-0005-0000-0000-000004010000}"/>
    <cellStyle name="Normal 33" xfId="268" xr:uid="{00000000-0005-0000-0000-000005010000}"/>
    <cellStyle name="Normal 330" xfId="269" xr:uid="{00000000-0005-0000-0000-000006010000}"/>
    <cellStyle name="Normal 332" xfId="270" xr:uid="{00000000-0005-0000-0000-000007010000}"/>
    <cellStyle name="Normal 336" xfId="271" xr:uid="{00000000-0005-0000-0000-000008010000}"/>
    <cellStyle name="Normal 34" xfId="272" xr:uid="{00000000-0005-0000-0000-000009010000}"/>
    <cellStyle name="Normal 340" xfId="273" xr:uid="{00000000-0005-0000-0000-00000A010000}"/>
    <cellStyle name="Normal 345" xfId="274" xr:uid="{00000000-0005-0000-0000-00000B010000}"/>
    <cellStyle name="Normal 349" xfId="275" xr:uid="{00000000-0005-0000-0000-00000C010000}"/>
    <cellStyle name="Normal 35" xfId="276" xr:uid="{00000000-0005-0000-0000-00000D010000}"/>
    <cellStyle name="Normal 353" xfId="277" xr:uid="{00000000-0005-0000-0000-00000E010000}"/>
    <cellStyle name="Normal 354 2" xfId="278" xr:uid="{00000000-0005-0000-0000-00000F010000}"/>
    <cellStyle name="Normal 36" xfId="279" xr:uid="{00000000-0005-0000-0000-000010010000}"/>
    <cellStyle name="Normal 364" xfId="280" xr:uid="{00000000-0005-0000-0000-000011010000}"/>
    <cellStyle name="Normal 368" xfId="281" xr:uid="{00000000-0005-0000-0000-000012010000}"/>
    <cellStyle name="Normal 37" xfId="282" xr:uid="{00000000-0005-0000-0000-000013010000}"/>
    <cellStyle name="Normal 372" xfId="283" xr:uid="{00000000-0005-0000-0000-000014010000}"/>
    <cellStyle name="Normal 374" xfId="284" xr:uid="{00000000-0005-0000-0000-000015010000}"/>
    <cellStyle name="Normal 375" xfId="285" xr:uid="{00000000-0005-0000-0000-000016010000}"/>
    <cellStyle name="Normal 377" xfId="286" xr:uid="{00000000-0005-0000-0000-000017010000}"/>
    <cellStyle name="Normal 379" xfId="287" xr:uid="{00000000-0005-0000-0000-000018010000}"/>
    <cellStyle name="Normal 38" xfId="288" xr:uid="{00000000-0005-0000-0000-000019010000}"/>
    <cellStyle name="Normal 388" xfId="289" xr:uid="{00000000-0005-0000-0000-00001A010000}"/>
    <cellStyle name="Normal 39" xfId="290" xr:uid="{00000000-0005-0000-0000-00001B010000}"/>
    <cellStyle name="Normal 39 2" xfId="291" xr:uid="{00000000-0005-0000-0000-00001C010000}"/>
    <cellStyle name="Normal 4" xfId="292" xr:uid="{00000000-0005-0000-0000-00001D010000}"/>
    <cellStyle name="Normal 4 2" xfId="293" xr:uid="{00000000-0005-0000-0000-00001E010000}"/>
    <cellStyle name="Normal 4 2 2" xfId="294" xr:uid="{00000000-0005-0000-0000-00001F010000}"/>
    <cellStyle name="Normal 4 2_Cluster Trading" xfId="295" xr:uid="{00000000-0005-0000-0000-000020010000}"/>
    <cellStyle name="Normal 4 3" xfId="296" xr:uid="{00000000-0005-0000-0000-000021010000}"/>
    <cellStyle name="Normal 4 3 2" xfId="297" xr:uid="{00000000-0005-0000-0000-000022010000}"/>
    <cellStyle name="Normal 4 3_Quality WALL" xfId="298" xr:uid="{00000000-0005-0000-0000-000023010000}"/>
    <cellStyle name="Normal 4 4" xfId="299" xr:uid="{00000000-0005-0000-0000-000024010000}"/>
    <cellStyle name="Normal 4 5" xfId="300" xr:uid="{00000000-0005-0000-0000-000025010000}"/>
    <cellStyle name="Normal 4 6" xfId="301" xr:uid="{00000000-0005-0000-0000-000026010000}"/>
    <cellStyle name="Normal 4_Cluster Trading" xfId="302" xr:uid="{00000000-0005-0000-0000-000027010000}"/>
    <cellStyle name="Normal 40" xfId="303" xr:uid="{00000000-0005-0000-0000-000028010000}"/>
    <cellStyle name="Normal 401" xfId="304" xr:uid="{00000000-0005-0000-0000-000029010000}"/>
    <cellStyle name="Normal 405" xfId="305" xr:uid="{00000000-0005-0000-0000-00002A010000}"/>
    <cellStyle name="Normal 416" xfId="306" xr:uid="{00000000-0005-0000-0000-00002B010000}"/>
    <cellStyle name="Normal 420" xfId="307" xr:uid="{00000000-0005-0000-0000-00002C010000}"/>
    <cellStyle name="Normal 423 2" xfId="308" xr:uid="{00000000-0005-0000-0000-00002D010000}"/>
    <cellStyle name="Normal 434" xfId="309" xr:uid="{00000000-0005-0000-0000-00002E010000}"/>
    <cellStyle name="Normal 443" xfId="381" xr:uid="{00000000-0005-0000-0000-00002F010000}"/>
    <cellStyle name="Normal 444" xfId="382" xr:uid="{00000000-0005-0000-0000-000030010000}"/>
    <cellStyle name="Normal 5" xfId="310" xr:uid="{00000000-0005-0000-0000-000031010000}"/>
    <cellStyle name="Normal 5 2" xfId="311" xr:uid="{00000000-0005-0000-0000-000032010000}"/>
    <cellStyle name="Normal 5 2 2" xfId="312" xr:uid="{00000000-0005-0000-0000-000033010000}"/>
    <cellStyle name="Normal 5 2 3" xfId="313" xr:uid="{00000000-0005-0000-0000-000034010000}"/>
    <cellStyle name="Normal 5 3" xfId="314" xr:uid="{00000000-0005-0000-0000-000035010000}"/>
    <cellStyle name="Normal 5 4" xfId="315" xr:uid="{00000000-0005-0000-0000-000036010000}"/>
    <cellStyle name="Normal 5_Cluster Trading" xfId="316" xr:uid="{00000000-0005-0000-0000-000037010000}"/>
    <cellStyle name="Normal 6" xfId="317" xr:uid="{00000000-0005-0000-0000-000038010000}"/>
    <cellStyle name="Normal 6 2" xfId="318" xr:uid="{00000000-0005-0000-0000-000039010000}"/>
    <cellStyle name="Normal 6 2 2" xfId="319" xr:uid="{00000000-0005-0000-0000-00003A010000}"/>
    <cellStyle name="Normal 6 2 3" xfId="320" xr:uid="{00000000-0005-0000-0000-00003B010000}"/>
    <cellStyle name="Normal 6 3" xfId="321" xr:uid="{00000000-0005-0000-0000-00003C010000}"/>
    <cellStyle name="Normal 6 3 2" xfId="322" xr:uid="{00000000-0005-0000-0000-00003D010000}"/>
    <cellStyle name="Normal 6 3_Cluster Trading" xfId="323" xr:uid="{00000000-0005-0000-0000-00003E010000}"/>
    <cellStyle name="Normal 6 4" xfId="324" xr:uid="{00000000-0005-0000-0000-00003F010000}"/>
    <cellStyle name="Normal 6 5" xfId="325" xr:uid="{00000000-0005-0000-0000-000040010000}"/>
    <cellStyle name="Normal 6_Cluster Trading" xfId="326" xr:uid="{00000000-0005-0000-0000-000041010000}"/>
    <cellStyle name="Normal 7" xfId="327" xr:uid="{00000000-0005-0000-0000-000042010000}"/>
    <cellStyle name="Normal 7 2" xfId="328" xr:uid="{00000000-0005-0000-0000-000043010000}"/>
    <cellStyle name="Normal 7 2 2" xfId="329" xr:uid="{00000000-0005-0000-0000-000044010000}"/>
    <cellStyle name="Normal 7 2 3" xfId="330" xr:uid="{00000000-0005-0000-0000-000045010000}"/>
    <cellStyle name="Normal 7 3" xfId="331" xr:uid="{00000000-0005-0000-0000-000046010000}"/>
    <cellStyle name="Normal 7 3 2" xfId="332" xr:uid="{00000000-0005-0000-0000-000047010000}"/>
    <cellStyle name="Normal 7 3 3" xfId="333" xr:uid="{00000000-0005-0000-0000-000048010000}"/>
    <cellStyle name="Normal 7 4" xfId="334" xr:uid="{00000000-0005-0000-0000-000049010000}"/>
    <cellStyle name="Normal 7 5" xfId="335" xr:uid="{00000000-0005-0000-0000-00004A010000}"/>
    <cellStyle name="Normal 8" xfId="336" xr:uid="{00000000-0005-0000-0000-00004B010000}"/>
    <cellStyle name="Normal 8 2" xfId="337" xr:uid="{00000000-0005-0000-0000-00004C010000}"/>
    <cellStyle name="Normal 8 3" xfId="338" xr:uid="{00000000-0005-0000-0000-00004D010000}"/>
    <cellStyle name="Normal 8 4" xfId="339" xr:uid="{00000000-0005-0000-0000-00004E010000}"/>
    <cellStyle name="Normal 9" xfId="340" xr:uid="{00000000-0005-0000-0000-00004F010000}"/>
    <cellStyle name="Normal 9 2" xfId="341" xr:uid="{00000000-0005-0000-0000-000050010000}"/>
    <cellStyle name="Normal 9 3" xfId="342" xr:uid="{00000000-0005-0000-0000-000051010000}"/>
    <cellStyle name="Normale 2" xfId="383" xr:uid="{00000000-0005-0000-0000-000052010000}"/>
    <cellStyle name="Normale 2 2" xfId="643" xr:uid="{F7579BAE-8814-48F8-B49B-17F89652C938}"/>
    <cellStyle name="Normale 2 6" xfId="4" xr:uid="{00000000-0005-0000-0000-000009000000}"/>
    <cellStyle name="Normale 3" xfId="615" xr:uid="{653F31B7-9C2E-450E-8EF4-FE7BE6966422}"/>
    <cellStyle name="Normale 3 2" xfId="632" xr:uid="{48F0F1D8-C4D9-4A06-8755-B00E7108B525}"/>
    <cellStyle name="Normale 4" xfId="616" xr:uid="{59B03191-E2BA-43C4-9BD0-3C6A213DECD5}"/>
    <cellStyle name="Normale 4 2" xfId="633" xr:uid="{F8437EC9-3F3F-44B7-A9FD-92E27C5281CC}"/>
    <cellStyle name="Normale 40" xfId="343" xr:uid="{00000000-0005-0000-0000-000053010000}"/>
    <cellStyle name="Normale 5" xfId="617" xr:uid="{E32AE64E-5DE2-481D-8C70-E5B8A3EA6F41}"/>
    <cellStyle name="Normale 6" xfId="634" xr:uid="{85358FAD-6DC7-4875-A271-067B4D895C93}"/>
    <cellStyle name="Normale 6 2" xfId="635" xr:uid="{9F72739B-9C89-458C-AC22-9805216DDA90}"/>
    <cellStyle name="Normale 7" xfId="636" xr:uid="{E272E6B6-8740-4E70-9089-EE4A0199776A}"/>
    <cellStyle name="Normale 7 2" xfId="637" xr:uid="{F17D7028-8D6D-4DF4-B250-6B89D6ED747D}"/>
    <cellStyle name="Normale 7 3" xfId="638" xr:uid="{A8ED015F-1555-4524-A94B-27661CC58424}"/>
    <cellStyle name="Normale 8" xfId="642" xr:uid="{76821DAB-3E70-475E-AFAA-BA16142DCD6B}"/>
    <cellStyle name="Normale 9" xfId="644" xr:uid="{0B770856-B6A5-485F-8B88-8B908C50449E}"/>
    <cellStyle name="Note 2" xfId="344" xr:uid="{00000000-0005-0000-0000-000055010000}"/>
    <cellStyle name="Note 2 2" xfId="345" xr:uid="{00000000-0005-0000-0000-000056010000}"/>
    <cellStyle name="Notiz" xfId="346" xr:uid="{00000000-0005-0000-0000-000057010000}"/>
    <cellStyle name="Notiz 2" xfId="347" xr:uid="{00000000-0005-0000-0000-000058010000}"/>
    <cellStyle name="Output 2" xfId="348" xr:uid="{00000000-0005-0000-0000-000059010000}"/>
    <cellStyle name="Output 2 2" xfId="349" xr:uid="{00000000-0005-0000-0000-00005A010000}"/>
    <cellStyle name="Percent" xfId="2" builtinId="5"/>
    <cellStyle name="Percent [2]" xfId="618" xr:uid="{D5ADDD51-C832-4591-BE83-53658039456A}"/>
    <cellStyle name="Percent 2" xfId="350" xr:uid="{00000000-0005-0000-0000-00005B010000}"/>
    <cellStyle name="Percent 2 2" xfId="351" xr:uid="{00000000-0005-0000-0000-00005C010000}"/>
    <cellStyle name="Percent 2 2 2" xfId="352" xr:uid="{00000000-0005-0000-0000-00005D010000}"/>
    <cellStyle name="Percent 2 2 3" xfId="353" xr:uid="{00000000-0005-0000-0000-00005E010000}"/>
    <cellStyle name="Percent 2 3" xfId="354" xr:uid="{00000000-0005-0000-0000-00005F010000}"/>
    <cellStyle name="Percent 2 4" xfId="355" xr:uid="{00000000-0005-0000-0000-000060010000}"/>
    <cellStyle name="Percent 2 5" xfId="646" xr:uid="{B9BB3EB6-DF21-4BB1-8AE3-A2792476773A}"/>
    <cellStyle name="Percent 3" xfId="356" xr:uid="{00000000-0005-0000-0000-000061010000}"/>
    <cellStyle name="Percent 4" xfId="357" xr:uid="{00000000-0005-0000-0000-000062010000}"/>
    <cellStyle name="Percent 5" xfId="358" xr:uid="{00000000-0005-0000-0000-000063010000}"/>
    <cellStyle name="Percent 6" xfId="359" xr:uid="{00000000-0005-0000-0000-000064010000}"/>
    <cellStyle name="Percent 7" xfId="360" xr:uid="{00000000-0005-0000-0000-000065010000}"/>
    <cellStyle name="Percentuale 2" xfId="619" xr:uid="{F75E8967-8C0E-4331-B9F1-BD5D88B0D2BA}"/>
    <cellStyle name="Percentuale 3" xfId="620" xr:uid="{57030BC2-126A-48CD-A9EF-766C10775DA4}"/>
    <cellStyle name="Percentuale 3 2" xfId="639" xr:uid="{4FBD320D-EE52-4077-BF8D-97474515056F}"/>
    <cellStyle name="Percentuale 4" xfId="640" xr:uid="{81907B7F-C98F-41B2-98B7-8B1BA1295532}"/>
    <cellStyle name="Percentuale 5" xfId="641" xr:uid="{3B521C4B-8B69-463F-B28D-06A41AB56073}"/>
    <cellStyle name="Schlecht" xfId="361" xr:uid="{00000000-0005-0000-0000-000066010000}"/>
    <cellStyle name="Standard 2" xfId="362" xr:uid="{00000000-0005-0000-0000-000067010000}"/>
    <cellStyle name="Standard 4" xfId="363" xr:uid="{00000000-0005-0000-0000-000068010000}"/>
    <cellStyle name="Standard_alt" xfId="364" xr:uid="{00000000-0005-0000-0000-000069010000}"/>
    <cellStyle name="Stile 1" xfId="621" xr:uid="{5AC3B098-23ED-431D-BC6F-11ECFF13F827}"/>
    <cellStyle name="Title 2" xfId="365" xr:uid="{00000000-0005-0000-0000-00006A010000}"/>
    <cellStyle name="Title date" xfId="622" xr:uid="{642942FC-13F6-4F87-AA49-7702C62B1AA7}"/>
    <cellStyle name="Title1" xfId="366" xr:uid="{00000000-0005-0000-0000-00006B010000}"/>
    <cellStyle name="Titles" xfId="623" xr:uid="{2335A523-2039-4C94-A06E-FE5C3A3F5EC1}"/>
    <cellStyle name="Total 2" xfId="367" xr:uid="{00000000-0005-0000-0000-00006C010000}"/>
    <cellStyle name="Total 2 2" xfId="368" xr:uid="{00000000-0005-0000-0000-00006D010000}"/>
    <cellStyle name="Überschrift" xfId="369" xr:uid="{00000000-0005-0000-0000-00006E010000}"/>
    <cellStyle name="Überschrift 1" xfId="370" xr:uid="{00000000-0005-0000-0000-00006F010000}"/>
    <cellStyle name="Überschrift 2" xfId="371" xr:uid="{00000000-0005-0000-0000-000070010000}"/>
    <cellStyle name="Überschrift 3" xfId="372" xr:uid="{00000000-0005-0000-0000-000071010000}"/>
    <cellStyle name="Überschrift 4" xfId="373" xr:uid="{00000000-0005-0000-0000-000072010000}"/>
    <cellStyle name="Undeline" xfId="10" xr:uid="{00000000-0005-0000-0000-00000B000000}"/>
    <cellStyle name="Unprot" xfId="624" xr:uid="{23FF02CB-478A-4AB6-9356-7ED2402A6A52}"/>
    <cellStyle name="Unprot$" xfId="625" xr:uid="{3090DF8D-7835-48F6-B67F-83DC7A671789}"/>
    <cellStyle name="Unprotect" xfId="626" xr:uid="{70766BA7-19C2-4C4A-8A82-50473CB3BA85}"/>
    <cellStyle name="Valuta (0)_2004-03-15 - NFES Refined estimates reorganization Italy - V3" xfId="627" xr:uid="{7E4C61F5-9445-4533-AA0E-EAA390B47564}"/>
    <cellStyle name="Var %" xfId="628" xr:uid="{2EA7184E-057D-4CDD-9368-ED741D0CBB9F}"/>
    <cellStyle name="Variance" xfId="629" xr:uid="{0BE31AC3-F502-47A2-A9C8-11433B209BE5}"/>
    <cellStyle name="Verknüpfte Zelle" xfId="374" xr:uid="{00000000-0005-0000-0000-000073010000}"/>
    <cellStyle name="Warnender Text" xfId="375" xr:uid="{00000000-0005-0000-0000-000074010000}"/>
    <cellStyle name="Warning Text 2" xfId="376" xr:uid="{00000000-0005-0000-0000-000075010000}"/>
    <cellStyle name="Warning Text 2 2" xfId="377" xr:uid="{00000000-0005-0000-0000-000076010000}"/>
    <cellStyle name="Zelle überprüfen" xfId="378" xr:uid="{00000000-0005-0000-0000-000077010000}"/>
  </cellStyles>
  <dxfs count="151">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auto="1"/>
      </font>
      <fill>
        <patternFill>
          <bgColor rgb="FFFF0000"/>
        </patternFill>
      </fill>
    </dxf>
    <dxf>
      <font>
        <color rgb="FF9C0006"/>
      </font>
      <fill>
        <patternFill>
          <bgColor rgb="FFFFC7CE"/>
        </patternFill>
      </fill>
    </dxf>
    <dxf>
      <font>
        <color rgb="FF9C0006"/>
      </font>
      <fill>
        <patternFill>
          <bgColor rgb="FFFFC7CE"/>
        </patternFill>
      </fill>
    </dxf>
    <dxf>
      <alignment horizontal="general" vertical="center" textRotation="0" wrapText="1" indent="0" justifyLastLine="0" shrinkToFit="0" readingOrder="0"/>
    </dxf>
    <dxf>
      <alignment horizontal="general" vertical="center" textRotation="0" wrapText="0" indent="0" justifyLastLine="0" shrinkToFit="0" readingOrder="0"/>
    </dxf>
    <dxf>
      <alignment horizontal="left"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2" formatCode="#,##0.00\ &quot;€&quot;;[Red]\-#,##0.00\ &quot;€&quot;"/>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center" textRotation="0" wrapText="0" indent="0" justifyLastLine="0" shrinkToFit="0" readingOrder="0"/>
    </dxf>
    <dxf>
      <numFmt numFmtId="12" formatCode="#,##0.00\ &quot;€&quot;;[Red]\-#,##0.00\ &quot;€&quot;"/>
      <fill>
        <patternFill patternType="none">
          <fgColor indexed="64"/>
          <bgColor indexed="65"/>
        </patternFill>
      </fill>
      <alignment horizontal="general" vertical="center" textRotation="0" wrapText="0" indent="0" justifyLastLine="0" shrinkToFit="0" readingOrder="0"/>
    </dxf>
    <dxf>
      <alignment horizontal="general" vertical="center" textRotation="0" wrapText="1"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30" formatCode="@"/>
      <alignment horizontal="general" vertical="center" textRotation="0" wrapText="0" indent="0" justifyLastLine="0" shrinkToFit="0" readingOrder="0"/>
    </dxf>
    <dxf>
      <numFmt numFmtId="30" formatCode="@"/>
      <alignment horizontal="general" vertical="center" textRotation="0" wrapText="0" indent="0" justifyLastLine="0" shrinkToFit="0" readingOrder="0"/>
    </dxf>
    <dxf>
      <numFmt numFmtId="30" formatCode="@"/>
      <alignment horizontal="general" vertical="center" textRotation="0" wrapText="0" indent="0" justifyLastLine="0" shrinkToFit="0" readingOrder="0"/>
    </dxf>
    <dxf>
      <numFmt numFmtId="30" formatCode="@"/>
      <alignment horizontal="general" vertical="center" textRotation="0" wrapText="0" indent="0" justifyLastLine="0" shrinkToFit="0" readingOrder="0"/>
    </dxf>
    <dxf>
      <numFmt numFmtId="30" formatCode="@"/>
      <alignment horizontal="general" vertical="center" textRotation="0" wrapText="0" indent="0" justifyLastLine="0" shrinkToFit="0" readingOrder="0"/>
    </dxf>
    <dxf>
      <numFmt numFmtId="30" formatCode="@"/>
      <alignment horizontal="general" vertical="center" textRotation="0" wrapText="0" indent="0" justifyLastLine="0" shrinkToFit="0" readingOrder="0"/>
    </dxf>
    <dxf>
      <numFmt numFmtId="30" formatCode="@"/>
      <fill>
        <patternFill patternType="none">
          <fgColor indexed="64"/>
          <bgColor auto="1"/>
        </patternFill>
      </fill>
      <alignment horizontal="general" vertical="center" textRotation="0" wrapText="0" indent="0" justifyLastLine="0" shrinkToFit="0" readingOrder="0"/>
    </dxf>
    <dxf>
      <numFmt numFmtId="30" formatCode="@"/>
      <fill>
        <patternFill patternType="none">
          <fgColor indexed="64"/>
          <bgColor auto="1"/>
        </patternFill>
      </fill>
      <alignment horizontal="general" vertical="center" textRotation="0" wrapText="0" indent="0" justifyLastLine="0" shrinkToFit="0" readingOrder="0"/>
    </dxf>
    <dxf>
      <numFmt numFmtId="30" formatCode="@"/>
      <alignment horizontal="general" vertical="center" textRotation="0" wrapText="0" indent="0" justifyLastLine="0" shrinkToFit="0" readingOrder="0"/>
    </dxf>
    <dxf>
      <alignment vertical="center" textRotation="0" indent="0" justifyLastLine="0" shrinkToFit="0" readingOrder="0"/>
    </dxf>
    <dxf>
      <fill>
        <patternFill patternType="none">
          <fgColor indexed="64"/>
          <bgColor indexed="65"/>
        </patternFill>
      </fill>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left" vertical="center" textRotation="0" wrapText="0" indent="0" justifyLastLine="0" shrinkToFit="0" readingOrder="0"/>
    </dxf>
    <dxf>
      <alignment horizontal="left" vertical="center" textRotation="0" indent="0" justifyLastLine="0" shrinkToFit="0" readingOrder="0"/>
    </dxf>
    <dxf>
      <font>
        <b val="0"/>
        <i val="0"/>
        <strike val="0"/>
        <condense val="0"/>
        <extend val="0"/>
        <outline val="0"/>
        <shadow val="0"/>
        <u val="none"/>
        <vertAlign val="baseline"/>
        <sz val="11"/>
        <color theme="1"/>
        <name val="Calibri"/>
        <family val="2"/>
        <scheme val="minor"/>
      </font>
      <numFmt numFmtId="34" formatCode="_-* #,##0.00\ &quot;€&quot;_-;\-* #,##0.00\ &quot;€&quot;_-;_-* &quot;-&quot;??\ &quot;€&quot;_-;_-@_-"/>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 #,##0.00\ &quot;€&quot;_-;\-* #,##0.00\ &quot;€&quot;_-;_-* &quot;-&quot;??\ &quot;€&quot;_-;_-@_-"/>
      <alignment vertical="center" textRotation="0" indent="0" justifyLastLine="0" shrinkToFit="0" readingOrder="0"/>
    </dxf>
    <dxf>
      <font>
        <b val="0"/>
        <i val="0"/>
        <strike val="0"/>
        <condense val="0"/>
        <extend val="0"/>
        <outline val="0"/>
        <shadow val="0"/>
        <u val="none"/>
        <vertAlign val="baseline"/>
        <sz val="11"/>
        <color theme="1"/>
        <name val="Calibri"/>
        <family val="2"/>
        <scheme val="minor"/>
      </font>
      <numFmt numFmtId="34" formatCode="_-* #,##0.00\ &quot;€&quot;_-;\-* #,##0.00\ &quot;€&quot;_-;_-* &quot;-&quot;??\ &quot;€&quot;_-;_-@_-"/>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vertical="center" textRotation="0" indent="0" justifyLastLine="0" shrinkToFit="0" readingOrder="0"/>
    </dxf>
    <dxf>
      <numFmt numFmtId="34" formatCode="_-* #,##0.00\ &quot;€&quot;_-;\-* #,##0.00\ &quot;€&quot;_-;_-* &quot;-&quot;??\ &quot;€&quot;_-;_-@_-"/>
      <alignment horizontal="general" vertical="center" textRotation="0" wrapText="0" indent="0" justifyLastLine="0" shrinkToFit="0" readingOrder="0"/>
    </dxf>
    <dxf>
      <alignment vertical="center" textRotation="0" indent="0" justifyLastLine="0" shrinkToFit="0" readingOrder="0"/>
    </dxf>
    <dxf>
      <numFmt numFmtId="12" formatCode="#,##0.00\ &quot;€&quot;;[Red]\-#,##0.00\ &quot;€&quot;"/>
      <alignment horizontal="general" vertical="center" textRotation="0" wrapText="1" indent="0" justifyLastLine="0" shrinkToFit="0" readingOrder="0"/>
    </dxf>
    <dxf>
      <alignment horizontal="general" vertical="center" textRotation="0" wrapText="1" indent="0" justifyLastLine="0" shrinkToFit="0" readingOrder="0"/>
    </dxf>
    <dxf>
      <numFmt numFmtId="12" formatCode="#,##0.00\ &quot;€&quot;;[Red]\-#,##0.00\ &quot;€&quot;"/>
      <alignment horizontal="general" vertical="center" textRotation="0" wrapText="0" indent="0" justifyLastLine="0" shrinkToFit="0" readingOrder="0"/>
    </dxf>
    <dxf>
      <alignment vertical="center" textRotation="0" indent="0" justifyLastLine="0" shrinkToFit="0" readingOrder="0"/>
    </dxf>
    <dxf>
      <alignment horizontal="general" vertical="center" textRotation="0" wrapText="0" indent="0" justifyLastLine="0" shrinkToFit="0" readingOrder="0"/>
    </dxf>
    <dxf>
      <alignment vertical="center" textRotation="0" indent="0" justifyLastLine="0" shrinkToFit="0" readingOrder="0"/>
    </dxf>
    <dxf>
      <alignment horizontal="general" vertical="center" textRotation="0" wrapText="0" indent="0" justifyLastLine="0" shrinkToFit="0" readingOrder="0"/>
    </dxf>
    <dxf>
      <alignment vertical="center" textRotation="0" indent="0" justifyLastLine="0" shrinkToFit="0" readingOrder="0"/>
    </dxf>
    <dxf>
      <numFmt numFmtId="30" formatCode="@"/>
      <alignment horizontal="general" vertical="center" textRotation="0" wrapText="0" indent="0" justifyLastLine="0" shrinkToFit="0" readingOrder="0"/>
    </dxf>
    <dxf>
      <numFmt numFmtId="30" formatCode="@"/>
      <alignment vertical="center" textRotation="0" indent="0" justifyLastLine="0" shrinkToFit="0" readingOrder="0"/>
    </dxf>
    <dxf>
      <numFmt numFmtId="30" formatCode="@"/>
      <alignment horizontal="general" vertical="center" textRotation="0" wrapText="0" indent="0" justifyLastLine="0" shrinkToFit="0" readingOrder="0"/>
    </dxf>
    <dxf>
      <numFmt numFmtId="30" formatCode="@"/>
      <alignment vertical="center" textRotation="0" indent="0" justifyLastLine="0" shrinkToFit="0" readingOrder="0"/>
    </dxf>
    <dxf>
      <numFmt numFmtId="30" formatCode="@"/>
      <alignment horizontal="general" vertical="center" textRotation="0" wrapText="0" indent="0" justifyLastLine="0" shrinkToFit="0" readingOrder="0"/>
    </dxf>
    <dxf>
      <numFmt numFmtId="30" formatCode="@"/>
      <alignment vertical="center" textRotation="0" indent="0" justifyLastLine="0" shrinkToFit="0" readingOrder="0"/>
    </dxf>
    <dxf>
      <numFmt numFmtId="30" formatCode="@"/>
      <alignment horizontal="general" vertical="center" textRotation="0" wrapText="0" indent="0" justifyLastLine="0" shrinkToFit="0" readingOrder="0"/>
    </dxf>
    <dxf>
      <numFmt numFmtId="30" formatCode="@"/>
      <alignment horizontal="general" vertical="center" textRotation="0" wrapText="0" indent="0" justifyLastLine="0" shrinkToFit="0" readingOrder="0"/>
    </dxf>
    <dxf>
      <numFmt numFmtId="30" formatCode="@"/>
      <alignment horizontal="general" vertical="center" textRotation="0" wrapText="0" indent="0" justifyLastLine="0" shrinkToFit="0" readingOrder="0"/>
    </dxf>
    <dxf>
      <numFmt numFmtId="30" formatCode="@"/>
      <alignment horizontal="general" vertical="center" textRotation="0" wrapText="0" indent="0" justifyLastLine="0" shrinkToFit="0" readingOrder="0"/>
    </dxf>
    <dxf>
      <numFmt numFmtId="30" formatCode="@"/>
      <alignment horizontal="general" vertical="center" textRotation="0" wrapText="0" indent="0" justifyLastLine="0" shrinkToFit="0" readingOrder="0"/>
    </dxf>
    <dxf>
      <numFmt numFmtId="30" formatCode="@"/>
      <alignment horizontal="general" vertical="center" textRotation="0" wrapText="0" indent="0" justifyLastLine="0" shrinkToFit="0" readingOrder="0"/>
    </dxf>
    <dxf>
      <numFmt numFmtId="30" formatCode="@"/>
      <fill>
        <patternFill patternType="none">
          <fgColor indexed="64"/>
          <bgColor indexed="65"/>
        </patternFill>
      </fill>
      <alignment horizontal="general" vertical="center" textRotation="0" wrapText="0" indent="0" justifyLastLine="0" shrinkToFit="0" readingOrder="0"/>
    </dxf>
    <dxf>
      <numFmt numFmtId="30" formatCode="@"/>
      <fill>
        <patternFill patternType="none">
          <fgColor indexed="64"/>
          <bgColor auto="1"/>
        </patternFill>
      </fill>
      <alignment horizontal="general" vertical="center" textRotation="0" wrapText="0" indent="0" justifyLastLine="0" shrinkToFit="0" readingOrder="0"/>
    </dxf>
    <dxf>
      <numFmt numFmtId="30" formatCode="@"/>
      <fill>
        <patternFill patternType="none">
          <fgColor indexed="64"/>
          <bgColor indexed="65"/>
        </patternFill>
      </fill>
      <alignment horizontal="general" vertical="center" textRotation="0" wrapText="0" indent="0" justifyLastLine="0" shrinkToFit="0" readingOrder="0"/>
    </dxf>
    <dxf>
      <numFmt numFmtId="30" formatCode="@"/>
      <fill>
        <patternFill patternType="none">
          <fgColor indexed="64"/>
          <bgColor auto="1"/>
        </patternFill>
      </fill>
      <alignment vertical="center" textRotation="0" indent="0" justifyLastLine="0" shrinkToFit="0" readingOrder="0"/>
    </dxf>
    <dxf>
      <alignment horizontal="general"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font>
        <b val="0"/>
        <i val="0"/>
        <strike val="0"/>
        <condense val="0"/>
        <extend val="0"/>
        <outline val="0"/>
        <shadow val="0"/>
        <u val="none"/>
        <vertAlign val="baseline"/>
        <sz val="11"/>
        <color theme="1"/>
        <name val="Calibri"/>
        <family val="2"/>
        <scheme val="minor"/>
      </font>
      <numFmt numFmtId="34" formatCode="_-* #,##0.00\ &quot;€&quot;_-;\-* #,##0.00\ &quot;€&quot;_-;_-* &quot;-&quot;??\ &quot;€&quot;_-;_-@_-"/>
      <alignment vertical="center" textRotation="0" indent="0" justifyLastLine="0" shrinkToFit="0" readingOrder="0"/>
    </dxf>
    <dxf>
      <font>
        <b val="0"/>
        <i val="0"/>
        <strike val="0"/>
        <condense val="0"/>
        <extend val="0"/>
        <outline val="0"/>
        <shadow val="0"/>
        <u val="none"/>
        <vertAlign val="baseline"/>
        <sz val="11"/>
        <color theme="1"/>
        <name val="Calibri"/>
        <family val="2"/>
        <scheme val="minor"/>
      </font>
      <alignment vertical="center" textRotation="0" indent="0" justifyLastLine="0" shrinkToFit="0" readingOrder="0"/>
    </dxf>
    <dxf>
      <alignment vertical="center" textRotation="0" indent="0" justifyLastLine="0" shrinkToFit="0" readingOrder="0"/>
    </dxf>
    <dxf>
      <alignment horizontal="general"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numFmt numFmtId="30" formatCode="@"/>
      <alignment vertical="center" textRotation="0" indent="0" justifyLastLine="0" shrinkToFit="0" readingOrder="0"/>
    </dxf>
    <dxf>
      <numFmt numFmtId="30" formatCode="@"/>
      <alignment vertical="center" textRotation="0" indent="0" justifyLastLine="0" shrinkToFit="0" readingOrder="0"/>
    </dxf>
    <dxf>
      <numFmt numFmtId="30" formatCode="@"/>
      <alignment vertical="center" textRotation="0" indent="0" justifyLastLine="0" shrinkToFit="0" readingOrder="0"/>
    </dxf>
    <dxf>
      <numFmt numFmtId="30" formatCode="@"/>
      <alignment horizontal="general" vertical="center" textRotation="0" wrapText="0" indent="0" justifyLastLine="0" shrinkToFit="0" readingOrder="0"/>
    </dxf>
    <dxf>
      <numFmt numFmtId="30" formatCode="@"/>
      <fill>
        <patternFill patternType="none">
          <fgColor indexed="64"/>
          <bgColor auto="1"/>
        </patternFill>
      </fill>
      <alignment horizontal="general" vertical="center" textRotation="0" wrapText="0" indent="0" justifyLastLine="0" shrinkToFit="0" readingOrder="0"/>
    </dxf>
    <dxf>
      <numFmt numFmtId="30" formatCode="@"/>
      <fill>
        <patternFill patternType="none">
          <fgColor indexed="64"/>
          <bgColor auto="1"/>
        </patternFill>
      </fill>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dxf>
    <dxf>
      <alignment vertical="center"/>
    </dxf>
    <dxf>
      <alignment vertical="center"/>
    </dxf>
    <dxf>
      <alignment vertical="center"/>
    </dxf>
    <dxf>
      <alignment vertical="center"/>
    </dxf>
    <dxf>
      <alignment vertical="center"/>
    </dxf>
    <dxf>
      <numFmt numFmtId="34" formatCode="_-* #,##0.00\ &quot;€&quot;_-;\-* #,##0.00\ &quot;€&quot;_-;_-* &quot;-&quot;??\ &quot;€&quot;_-;_-@_-"/>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sites\SecMaterials.ICEG\Shared%20Documents\Team%20Governance\FS%20Security%20-%20Client%20Master%20Plan%20v2.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ts.accenture.com/sites/CrditAgricole/Shared%20Documents/Cr&#232;dit%20Agricole%20-%20General/00%20-%20PMO/CAGS%20-%20Economics_v01.xlsx" TargetMode="External"/><Relationship Id="rId1" Type="http://schemas.openxmlformats.org/officeDocument/2006/relationships/externalLinkPath" Target="file:///C:\sites\CrditAgricole\Shared%20Documents\Cr&#232;dit%20Agricole%20-%20General\00%20-%20PMO\CAGS%20-%20Economics_v0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alfonso.pace\AppData\Local\Microsoft\Windows\INetCache\Content.Outlook\NCL6EOIE\ACN_UCS_Estimate_ACTIVITY_NAME_vX.X_AAAAMMDD%20v1.5.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C FS - ADP 2020"/>
      <sheetName val="Team Overview 2020"/>
      <sheetName val="FS Security - Client 2020"/>
      <sheetName val="Budget 2020"/>
      <sheetName val="TRs CHG 2020"/>
      <sheetName val="UC Org"/>
      <sheetName val="Sheet2"/>
      <sheetName val="Sheet1 (2)"/>
      <sheetName val="Sheet1"/>
      <sheetName val="Target FY20"/>
      <sheetName val="OppParametri"/>
      <sheetName val="ASAS Organization"/>
      <sheetName val="Tender VAPT"/>
      <sheetName val="Extra Activities"/>
      <sheetName val="SARA ASS"/>
      <sheetName val="Source_UC Org"/>
      <sheetName val="UC_Org"/>
      <sheetName val="FS Security - Client Master Pla"/>
      <sheetName val="Resources (Scapparone)"/>
      <sheetName val="VAPT PMO (Lopez)"/>
      <sheetName val="Vulnerability Recheck (Lopez)"/>
      <sheetName val="VAPT Yearly Plan (Lopez)"/>
      <sheetName val="Opportunities (Pace)"/>
      <sheetName val="SR &amp; Proposal (Pace)"/>
      <sheetName val="CDP"/>
      <sheetName val="Sheet1 (3)"/>
      <sheetName val="Sheet1 (4)"/>
      <sheetName val="Budget 2020 (2)"/>
      <sheetName val="SIA"/>
      <sheetName val="CIS"/>
      <sheetName val="ACS-CIS"/>
    </sheetNames>
    <sheetDataSet>
      <sheetData sheetId="0"/>
      <sheetData sheetId="1"/>
      <sheetData sheetId="2"/>
      <sheetData sheetId="3"/>
      <sheetData sheetId="4">
        <row r="40">
          <cell r="AK40">
            <v>2689.60</v>
          </cell>
        </row>
      </sheetData>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orecast iga-layer"/>
      <sheetName val="Sheet1"/>
      <sheetName val="Costi vs Forecast (3)"/>
      <sheetName val="Costi vs Forecast"/>
      <sheetName val="Staffing"/>
      <sheetName val="Payroll Costs"/>
      <sheetName val="Contratti"/>
      <sheetName val="Costi BD"/>
      <sheetName val="Monitoraggio BD"/>
      <sheetName val="Fatturate Post Booking"/>
      <sheetName val="CAGS - Economics_v01"/>
    </sheetNames>
    <sheetDataSet>
      <sheetData sheetId="0"/>
      <sheetData sheetId="1"/>
      <sheetData sheetId="2"/>
      <sheetData sheetId="3"/>
      <sheetData sheetId="4"/>
      <sheetData sheetId="5">
        <row r="2">
          <cell r="BB2" t="str">
            <v>DEC</v>
          </cell>
        </row>
      </sheetData>
      <sheetData sheetId="6"/>
      <sheetData sheetId="7"/>
      <sheetData sheetId="8"/>
      <sheetData sheetId="9"/>
      <sheetData sheetId="1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ities"/>
      <sheetName val="Assumptions"/>
      <sheetName val="Pricing"/>
      <sheetName val="Payroll"/>
      <sheetName val="Rates"/>
      <sheetName val="ACN_UCS_Estimate_ACTIVITY_NAME_"/>
    </sheetNames>
    <sheetDataSet>
      <sheetData sheetId="0"/>
      <sheetData sheetId="1"/>
      <sheetData sheetId="2">
        <row r="19">
          <cell r="S19">
            <v>0</v>
          </cell>
        </row>
      </sheetData>
      <sheetData sheetId="3"/>
      <sheetData sheetId="4"/>
      <sheetData sheetId="5"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5581.641596296293" createdVersion="8" refreshedVersion="8" minRefreshableVersion="3" recordCount="18" xr:uid="{87630602-D343-4B6C-8A6E-64A4A83E633D}">
  <cacheSource type="worksheet">
    <worksheetSource name="Table1"/>
  </cacheSource>
  <cacheFields count="9">
    <cacheField name="Contract" numFmtId="49">
      <sharedItems containsMixedTypes="1" containsNumber="1" containsInteger="1" minValue="9940436673" maxValue="9940436673"/>
    </cacheField>
    <cacheField name="Opp ID MMS" numFmtId="49">
      <sharedItems containsBlank="1"/>
    </cacheField>
    <cacheField name="BNL Contract" numFmtId="0">
      <sharedItems containsBlank="1"/>
    </cacheField>
    <cacheField name="ODA ID" numFmtId="0">
      <sharedItems containsBlank="1" containsMixedTypes="1" containsNumber="1" containsInteger="1" minValue="4500349001" maxValue="4500353570"/>
    </cacheField>
    <cacheField name="WBS" numFmtId="0">
      <sharedItems count="2">
        <s v="BMM6S001"/>
        <s v="BQ6JR001"/>
      </sharedItems>
    </cacheField>
    <cacheField name="Project" numFmtId="0">
      <sharedItems/>
    </cacheField>
    <cacheField name="Revenues" numFmtId="44">
      <sharedItems containsSemiMixedTypes="0" containsString="0" containsNumber="1" minValue="17222.75" maxValue="341121.81"/>
    </cacheField>
    <cacheField name="Billed" numFmtId="0">
      <sharedItems containsString="0" containsBlank="1" containsNumber="1" minValue="17222.75" maxValue="341121.81"/>
    </cacheField>
    <cacheField name="To be billed" numFmtId="44">
      <sharedItems containsSemiMixedTypes="0" containsString="0" containsNumber="1" minValue="0" maxValue="50960.43"/>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s v="8871789615"/>
    <m/>
    <m/>
    <m/>
    <x v="0"/>
    <s v="Before Gen 2024"/>
    <n v="82805.46"/>
    <n v="82805.46"/>
    <n v="0"/>
  </r>
  <r>
    <s v="8871789615"/>
    <s v="1521397896"/>
    <m/>
    <s v="ORF/435/2023_x000a_ORF/436/2023_x000a_ORF/536/2023_x000a_ORF/482/2023_x000a_ORF/467/2023_x000a_ORF/545/2023_x000a_ORF/540/2023_x000a_ORF / 572 / 2023_x000a_ORF / 568 / 2024"/>
    <x v="0"/>
    <s v="Beta-Supporto IT Sec Gov 2023 Fase 2"/>
    <n v="24520.01"/>
    <n v="24520.01"/>
    <n v="0"/>
  </r>
  <r>
    <s v="8871789615"/>
    <s v="1245510568"/>
    <m/>
    <s v="ORF / 642 / 2023_x000a_ORF / 634 / 2023_x000a_ORF Proposta ACCENTURE Offerta firmata per accettazione_x000a_636_2023_x000a_ORF Proposta Accenture_SCTASK1888833_x000a_680_2023_x000a_ORF Proposta ACCENTURE SCTASK1888832"/>
    <x v="0"/>
    <s v="Beta-Supporto IT Sec Gov 2023 Fase 3"/>
    <n v="49561.70"/>
    <n v="49561.70"/>
    <n v="0"/>
  </r>
  <r>
    <s v="8874098591"/>
    <m/>
    <m/>
    <m/>
    <x v="1"/>
    <s v="Before Gen 2024"/>
    <n v="277570.82"/>
    <n v="277570.82"/>
    <n v="0"/>
  </r>
  <r>
    <s v="8874098591"/>
    <s v="3765539974"/>
    <s v="55006 - 10000251107"/>
    <s v="4548777663"/>
    <x v="1"/>
    <s v="Onboarding Fuori IAM"/>
    <n v="71038.40"/>
    <n v="71038.40"/>
    <n v="0"/>
  </r>
  <r>
    <s v="8874098591"/>
    <s v="3765539974"/>
    <s v="56574 - 10000247730"/>
    <n v="4500353570"/>
    <x v="1"/>
    <s v="Supporto RSB - Riportafogliazione Commerciale 2024"/>
    <n v="16945.90"/>
    <n v="16945.90"/>
    <n v="0"/>
  </r>
  <r>
    <n v="9940436673"/>
    <s v="1761468578"/>
    <s v="56224 - 10000246907"/>
    <s v="4659527761"/>
    <x v="1"/>
    <s v="Supporto studio siteminder"/>
    <n v="19360.03"/>
    <n v="19360.03"/>
    <n v="0"/>
  </r>
  <r>
    <n v="9940436673"/>
    <s v="4042480119"/>
    <s v="54978 - 10000245044"/>
    <s v="0627619269"/>
    <x v="1"/>
    <s v="Estensione supporto MFA IBM e Access Log"/>
    <n v="14014.15"/>
    <n v="14014.15"/>
    <n v="0"/>
  </r>
  <r>
    <n v="9940436673"/>
    <s v="0740771984 "/>
    <s v="53371 - 10000244430"/>
    <n v="4500349001"/>
    <x v="1"/>
    <s v="Remediation Fornitori Prod Sec"/>
    <n v="14776.17"/>
    <n v="14776.17"/>
    <n v="0"/>
  </r>
  <r>
    <n v="9940436673"/>
    <s v="8351313876 "/>
    <s v="57745 - 10000254848"/>
    <s v="8876031743"/>
    <x v="1"/>
    <s v="Supporto RSB Fase2"/>
    <n v="28957"/>
    <n v="28957"/>
    <n v="0"/>
  </r>
  <r>
    <s v="8871789615"/>
    <s v="0948625791"/>
    <m/>
    <s v="Vedi file Lista Proposte in Axb Security - General\Projects\BetaCredit\PM Tecnico_Supporto Sec Governance"/>
    <x v="0"/>
    <s v="Beta-Supporto IT Sec Gov 2024 Fase 1"/>
    <n v="39997"/>
    <n v="39997"/>
    <n v="0"/>
  </r>
  <r>
    <s v="8871789615"/>
    <s v="5397945729"/>
    <m/>
    <s v="Vedi file Lista Proposte in Axb Security - General\Projects\BetaCredit\PM Tecnico_Supporto Sec Governance"/>
    <x v="0"/>
    <s v="Beta-Supporto IT Sec Gov 2024 Fase 2"/>
    <n v="23911.35"/>
    <n v="23911.35"/>
    <n v="0"/>
  </r>
  <r>
    <s v="8871789615"/>
    <s v="5383612719"/>
    <m/>
    <s v="Vedi file Lista Proposte in Axb Security - General\Projects\BetaCredit\PM Tecnico_Supporto Sec Governance"/>
    <x v="0"/>
    <s v="Beta-Supporto IT Sec Gov 2024 Fase 3"/>
    <n v="34780.14"/>
    <n v="34780.14"/>
    <n v="0"/>
  </r>
  <r>
    <s v="8871789615"/>
    <s v="5200683467"/>
    <m/>
    <s v="Vedi file Lista Proposte in Axb Security - General\Projects\BetaCredit\PM Tecnico_Supporto Sec Governance"/>
    <x v="0"/>
    <s v="Beta-Supporto IT Sec Gov 2024 Fase 4"/>
    <n v="25215.59"/>
    <n v="25215.59"/>
    <n v="0"/>
  </r>
  <r>
    <s v="8871789615"/>
    <s v="7096827756"/>
    <m/>
    <s v="Vedi file Lista Proposte in Axb Security - General\Projects\BetaCredit\PM Tecnico_Supporto Sec Governance"/>
    <x v="0"/>
    <s v="Beta-Supporto IT Sec Gov 2024 Fase 5"/>
    <n v="18042.20"/>
    <n v="18042.20"/>
    <n v="0"/>
  </r>
  <r>
    <s v="8871789615"/>
    <s v="6712788755"/>
    <m/>
    <m/>
    <x v="0"/>
    <s v="BetaCredit-Assessment terze parti 2024"/>
    <n v="24346"/>
    <m/>
    <n v="24346"/>
  </r>
  <r>
    <n v="9940436673"/>
    <s v="6341738945"/>
    <s v="58725 - 10000260908"/>
    <s v="5465621059"/>
    <x v="1"/>
    <s v="IT Continuity e AIA - II semestre 2024"/>
    <n v="46601"/>
    <n v="46601"/>
    <n v="0"/>
  </r>
  <r>
    <n v="9940436673"/>
    <s v="6184053863"/>
    <s v="59063 - 10000263196"/>
    <s v="9302502377"/>
    <x v="1"/>
    <s v="Task Force IAM Pantheon/Delta e HQRE"/>
    <n v="41466.50"/>
    <m/>
    <n v="41466.5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D3CD877-858A-4590-8747-FFAD2ABCC08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Numero fattura">
  <location ref="Q2:R5" firstHeaderRow="1" firstDataRow="1" firstDataCol="1"/>
  <pivotFields count="9">
    <pivotField showAll="0"/>
    <pivotField showAll="0"/>
    <pivotField showAll="0"/>
    <pivotField showAll="0"/>
    <pivotField axis="axisRow" showAll="0">
      <items count="3">
        <item x="0"/>
        <item x="1"/>
        <item t="default"/>
      </items>
    </pivotField>
    <pivotField showAll="0"/>
    <pivotField dataField="1" showAll="0"/>
    <pivotField showAll="0"/>
    <pivotField numFmtId="44" showAll="0"/>
  </pivotFields>
  <rowFields count="1">
    <field x="4"/>
  </rowFields>
  <rowItems count="3">
    <i>
      <x/>
    </i>
    <i>
      <x v="1"/>
    </i>
    <i t="grand">
      <x/>
    </i>
  </rowItems>
  <colItems count="1">
    <i/>
  </colItems>
  <dataFields count="1">
    <dataField name="Sum of Revenues" fld="6" baseField="0" baseItem="0" numFmtId="44"/>
  </dataFields>
  <formats count="7">
    <format dxfId="150">
      <pivotArea outline="0" collapsedLevelsAreSubtotals="1" fieldPosition="0"/>
    </format>
    <format dxfId="149">
      <pivotArea type="all" dataOnly="0" outline="0" fieldPosition="0"/>
    </format>
    <format dxfId="148">
      <pivotArea outline="0" collapsedLevelsAreSubtotals="1" fieldPosition="0"/>
    </format>
    <format dxfId="147">
      <pivotArea field="4" type="button" dataOnly="0" labelOnly="1" outline="0" axis="axisRow" fieldPosition="0"/>
    </format>
    <format dxfId="146">
      <pivotArea dataOnly="0" labelOnly="1" fieldPosition="0">
        <references count="1">
          <reference field="4" count="0"/>
        </references>
      </pivotArea>
    </format>
    <format dxfId="145">
      <pivotArea dataOnly="0" labelOnly="1" grandRow="1" outline="0" fieldPosition="0"/>
    </format>
    <format dxfId="14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9C6C5C-FE7A-497D-A475-04D82F619166}" name="Table1" displayName="Table1" ref="B2:P38" totalsRowShown="0" headerRowDxfId="143" dataDxfId="142">
  <autoFilter ref="B2:P38" xr:uid="{529C6C5C-FE7A-497D-A475-04D82F619166}">
    <filterColumn colId="7">
      <filters>
        <filter val="B7SIC001"/>
      </filters>
    </filterColumn>
    <filterColumn colId="8">
      <filters>
        <filter val="EACB"/>
        <filter val="Estensione supporto MFA IBM e Access Log"/>
        <filter val="IAM for the Whole Bank"/>
        <filter val="IAM for the whole Bank - Estensione"/>
        <filter val="IT Continuity e AIA - II semestre 2024"/>
        <filter val="IT Continuity Support"/>
        <filter val="Onboarding Fuori IAM"/>
        <filter val="Refactoring portale istituzionale BNL.it"/>
        <filter val="Remediation Fornitori Prod Sec"/>
        <filter val="Supporto ProdSec per campagna ricertificazione utenze 2025 (PAT074)"/>
        <filter val="Supporto RSB - Estensione 2024"/>
        <filter val="Supporto RSB - Riportafogliazione Commerciale 2024"/>
        <filter val="Supporto RSB Fase2"/>
        <filter val="Supporto studio siteminder"/>
        <filter val="Task Force IAM Pantheon/Savoy e HQRE"/>
      </filters>
    </filterColumn>
  </autoFilter>
  <tableColumns count="15">
    <tableColumn id="1" xr3:uid="{DD355104-F1EA-4192-953D-FF5B266668D5}" name="Contract" dataDxfId="141"/>
    <tableColumn id="12" xr3:uid="{5EC92898-22E9-41CE-83B4-90F4759C04E3}" name="PDS Status" dataDxfId="140"/>
    <tableColumn id="13" xr3:uid="{0DA2200B-CB51-4E6D-8F75-84E1AB45DBE7}" name="Stato ACN Tool" dataDxfId="139"/>
    <tableColumn id="16" xr3:uid="{B5B8680C-9364-4764-ACA4-C27B71427126}" name="MMS Status" dataDxfId="138"/>
    <tableColumn id="9" xr3:uid="{1B6A9AE6-E993-457B-9221-761A19260B2D}" name="Opp ID MMS" dataDxfId="137"/>
    <tableColumn id="8" xr3:uid="{0095463A-6034-408A-A777-EA021343BDCB}" name="BNL Contract (CCP)" dataDxfId="136"/>
    <tableColumn id="7" xr3:uid="{08108CF9-CDC5-4470-9F03-14B199133B39}" name="ODA ID" dataDxfId="135"/>
    <tableColumn id="2" xr3:uid="{85FB5539-DA4E-4623-A8B6-236EF967EA43}" name="WBS" dataDxfId="134"/>
    <tableColumn id="3" xr3:uid="{99524D5B-DDAC-4E93-831A-B0420F3C0D0E}" name="Project" dataDxfId="133"/>
    <tableColumn id="10" xr3:uid="{C53EA978-030E-40E9-8C27-ABCB6A8A329F}" name="Ref Name" dataDxfId="132"/>
    <tableColumn id="11" xr3:uid="{56D4A91F-E912-4CEF-80F6-3EAAE00EEC03}" name="Piano Fatturazione Concordato" dataDxfId="131"/>
    <tableColumn id="4" xr3:uid="{9F3FD2F3-3A47-41ED-AA09-CF0A7A1B1AF7}" name="Revenues" dataDxfId="130"/>
    <tableColumn id="5" xr3:uid="{07929D2E-E649-483A-A9F7-2D8815A2654C}" name="Billed" dataDxfId="129"/>
    <tableColumn id="6" xr3:uid="{708547FF-634E-44D1-93FD-760437C3CE2E}" name="To be billed" dataDxfId="128">
      <calculatedColumnFormula>Table1[[#This Row],[Revenues]]-Table1[[#This Row],[Billed]]</calculatedColumnFormula>
    </tableColumn>
    <tableColumn id="14" xr3:uid="{462231A0-F51A-4233-8DB7-A14DE957E43D}" name="pagamento" dataDxfId="127"/>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6E96ABE-FEAA-4F0B-8207-17B100D5A008}" name="Table13" displayName="Table13" ref="B2:T31" totalsRowShown="0" headerRowDxfId="126" dataDxfId="125">
  <autoFilter ref="B2:T31" xr:uid="{16E96ABE-FEAA-4F0B-8207-17B100D5A008}"/>
  <tableColumns count="19">
    <tableColumn id="1" xr3:uid="{CB955D43-102E-467D-AE75-02B0A715F60B}" name="Contract" dataDxfId="124" totalsRowDxfId="123"/>
    <tableColumn id="12" xr3:uid="{19392F87-732E-41CC-94E4-4B154DD58730}" name="PDS Status" dataDxfId="122" totalsRowDxfId="121"/>
    <tableColumn id="13" xr3:uid="{E6D86C8C-FB74-4638-B105-EBFD9CC7BF0A}" name="Stato ACN Tool" dataDxfId="120" totalsRowDxfId="119"/>
    <tableColumn id="16" xr3:uid="{5914221F-30C1-4E9D-B31F-ECDA34390DFA}" name="MMS Status" dataDxfId="118" totalsRowDxfId="117"/>
    <tableColumn id="15" xr3:uid="{630C158D-C36A-4F71-9EF0-8DFE2D2C01FC}" name="Close Date" dataDxfId="116" totalsRowDxfId="115"/>
    <tableColumn id="17" xr3:uid="{309D4AC6-1185-45EC-BF15-FF1C73A00F06}" name="Close Date Quarter" dataDxfId="114" totalsRowDxfId="113"/>
    <tableColumn id="9" xr3:uid="{E3ED6CB7-D6A3-4568-B698-DF744292DAC5}" name="Opp ID MMS" dataDxfId="112" totalsRowDxfId="111"/>
    <tableColumn id="8" xr3:uid="{1D2BE15F-7720-4242-884F-A0B61AAC51FF}" name="BNL Contract (CCP)" dataDxfId="110" totalsRowDxfId="109"/>
    <tableColumn id="7" xr3:uid="{73416823-3D90-49E7-BCC6-13B985E2A74F}" name="ODA ID" dataDxfId="108" totalsRowDxfId="107"/>
    <tableColumn id="2" xr3:uid="{E807EB0B-CEE9-422D-AA75-F5A38DFE114B}" name="WBS" dataDxfId="106" totalsRowDxfId="105"/>
    <tableColumn id="3" xr3:uid="{5BB90921-71D4-42DB-BC85-30096D42A55D}" name="Project" dataDxfId="104" totalsRowDxfId="103"/>
    <tableColumn id="10" xr3:uid="{15870673-A2BE-4A55-A66D-330943DF6D49}" name="Ref Name" dataDxfId="102" totalsRowDxfId="101"/>
    <tableColumn id="11" xr3:uid="{53AF766E-E15F-4D4C-8887-17A542A4FB9F}" name="Piano Fatturazione Concordato" dataDxfId="100" totalsRowDxfId="99"/>
    <tableColumn id="4" xr3:uid="{3FE3C14E-0999-427A-9CDF-39E0E5EE112B}" name="Revenues" dataDxfId="98" totalsRowDxfId="97"/>
    <tableColumn id="5" xr3:uid="{9E5AFC3B-C64C-4F30-B31F-879F72917658}" name="Billed" dataDxfId="96" totalsRowDxfId="95"/>
    <tableColumn id="6" xr3:uid="{FE7A8A25-CA33-499D-A5D6-1FF5298D9A1F}" name="To be billed" dataDxfId="94" totalsRowDxfId="93">
      <calculatedColumnFormula>Table13[[#This Row],[Revenues]]-Table13[[#This Row],[Billed]]</calculatedColumnFormula>
    </tableColumn>
    <tableColumn id="18" xr3:uid="{538BFCC2-6157-42A1-AAFF-12B402EC55CA}" name="Nr. Fattura" dataDxfId="92" totalsRowDxfId="91"/>
    <tableColumn id="14" xr3:uid="{441473CF-8C08-455E-AD04-D6FE9163738F}" name="MMR Code" dataDxfId="90" totalsRowDxfId="89"/>
    <tableColumn id="19" xr3:uid="{9352BE88-0465-43E2-9E83-A5CB4B3AF233}" name="Note" dataDxfId="88" totalsRowDxfId="87"/>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0AFC47C-5715-4560-8AD8-6D4C5310B3F2}" name="Table134" displayName="Table134" ref="B2:T23" totalsRowShown="0" headerRowDxfId="85">
  <autoFilter ref="B2:T23" xr:uid="{16E96ABE-FEAA-4F0B-8207-17B100D5A008}"/>
  <tableColumns count="19">
    <tableColumn id="1" xr3:uid="{A5CDE18F-8438-4E24-AFEF-F9280E8A1FF9}" name="Contract" dataDxfId="84"/>
    <tableColumn id="12" xr3:uid="{F8F0E01A-8684-4B66-B93F-CA5634CEC195}" name="PDS Status" dataDxfId="83"/>
    <tableColumn id="13" xr3:uid="{26BBEC15-7DCA-438D-9507-586B3375A363}" name="Stato ACN Tool" dataDxfId="82"/>
    <tableColumn id="16" xr3:uid="{1BA0B65F-145B-4B0D-8528-8E3441C1DBEF}" name="MMS Status" dataDxfId="81"/>
    <tableColumn id="15" xr3:uid="{CFFD882E-66BC-4E9D-8ED2-EE26302B1CEA}" name="Close Date" dataDxfId="80"/>
    <tableColumn id="17" xr3:uid="{D37C7A64-A89C-4A36-9368-AB172418A8D7}" name="Close Date Quarter" dataDxfId="79"/>
    <tableColumn id="9" xr3:uid="{3C9E4113-CC1E-4728-89E9-DC0C408590C1}" name="Opp ID MMS" dataDxfId="78"/>
    <tableColumn id="8" xr3:uid="{FA2FF87C-B6E2-449F-AD6E-072B1F7121D7}" name="BNL Contract (CCP)" dataDxfId="77"/>
    <tableColumn id="7" xr3:uid="{4B35A4B8-60D9-436F-B908-6852BDDE8DE0}" name="ODA ID" dataDxfId="76"/>
    <tableColumn id="2" xr3:uid="{DA71A8D1-E159-407F-9A5A-BAD4566B5428}" name="WBS" dataDxfId="75"/>
    <tableColumn id="3" xr3:uid="{B9236106-7372-44AF-BB0F-3006F6335E28}" name="Project" dataDxfId="74"/>
    <tableColumn id="10" xr3:uid="{890B1319-6427-407B-BC8A-1C4743B5178B}" name="Ref Name" dataDxfId="73"/>
    <tableColumn id="11" xr3:uid="{52FEB40D-B3BA-4CDC-816D-E1AC2B2A0CF5}" name="Piano Fatturazione Concordato" dataDxfId="72"/>
    <tableColumn id="4" xr3:uid="{5778CBA4-D23A-4C73-92BE-9FD8274A1152}" name="Revenues" dataDxfId="71" dataCellStyle="Currency"/>
    <tableColumn id="5" xr3:uid="{3F814DAF-4747-4BAE-95F4-C2E3C644927B}" name="Billed" dataDxfId="70"/>
    <tableColumn id="6" xr3:uid="{EF9DCCE1-1801-4AE2-BF55-2D4D649368E5}" name="To be billed" dataDxfId="69">
      <calculatedColumnFormula>Table134[[#This Row],[Revenues]]-Table134[[#This Row],[Billed]]</calculatedColumnFormula>
    </tableColumn>
    <tableColumn id="18" xr3:uid="{3052FF5E-F654-4AC7-8D58-A0E76DF5DC76}" name="Nr. Fattura" dataDxfId="68"/>
    <tableColumn id="14" xr3:uid="{B399539D-55BF-48FE-B9BE-2C501EF62F11}" name="MMR Code" dataDxfId="67"/>
    <tableColumn id="19" xr3:uid="{1695D2E4-C9E5-448B-92F3-0625B409C27C}" name="Note" dataDxfId="66"/>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10" dT="2025-04-09T12:40:15.72" personId="{00000000-0000-0000-0000-000000000000}" id="{5462642C-E851-40BE-A285-6DB8689CEA94}">
    <text xml:space="preserve">45%+5 di bd al mese
</text>
  </threadedComment>
  <threadedComment ref="B11" dT="2025-04-09T12:40:29.80" personId="{00000000-0000-0000-0000-000000000000}" id="{A898A557-4CB5-4E8A-8D44-9EED0D04B084}">
    <text>95% con noi</text>
  </threadedComment>
</ThreadedComments>
</file>

<file path=xl/threadedComments/threadedComment2.xml><?xml version="1.0" encoding="utf-8"?>
<ThreadedComments xmlns="http://schemas.microsoft.com/office/spreadsheetml/2018/threadedcomments" xmlns:x="http://schemas.openxmlformats.org/spreadsheetml/2006/main">
  <threadedComment ref="M9" dT="2024-01-19T12:09:38.22" personId="{00000000-0000-0000-0000-000000000000}" id="{62387351-901D-49BB-942A-FB8FA3D6D172}">
    <text>Residuo 2024</text>
  </threadedComment>
  <threadedComment ref="M10" dT="2024-01-19T12:09:46.27" personId="{00000000-0000-0000-0000-000000000000}" id="{D5A07EA9-E50E-4FC8-A998-3B650C988043}">
    <text>Residuo 2024</text>
  </threadedComment>
  <threadedComment ref="M11" dT="2024-01-19T12:09:54.79" personId="{00000000-0000-0000-0000-000000000000}" id="{ABDEC10F-374E-4E25-B04F-5BC1B7A5318D}">
    <text>Residuo 20204</text>
  </threadedComment>
</ThreadedComments>
</file>

<file path=xl/threadedComments/threadedComment3.xml><?xml version="1.0" encoding="utf-8"?>
<ThreadedComments xmlns="http://schemas.microsoft.com/office/spreadsheetml/2018/threadedcomments" xmlns:x="http://schemas.openxmlformats.org/spreadsheetml/2006/main">
  <threadedComment ref="AO5" dT="2026-03-16T11:18:45.61" personId="{00000000-0000-0000-0000-000000000000}" id="{2B1795BE-591D-4740-8163-0737399E5272}">
    <text>16h Cabel - 8 Ferie</text>
  </threadedComment>
  <threadedComment ref="AS5" dT="2026-05-14T12:31:46.27" personId="{00000000-0000-0000-0000-000000000000}" id="{6EA25D68-65D3-4946-8969-F0C17309977C}">
    <text>20h cabel</text>
  </threadedComment>
  <threadedComment ref="AU5" dT="2026-05-26T12:38:31.61" personId="{00000000-0000-0000-0000-000000000000}" id="{7E043626-BEBC-4ADC-B180-DAF2A48ED8DB}">
    <text>20h cabel</text>
  </threadedComment>
  <threadedComment ref="AW5" dT="2026-04-01T11:08:51.37" personId="{00000000-0000-0000-0000-000000000000}" id="{B77F3F57-113F-428B-94EB-557CF32C50E7}">
    <text>3 e 6 ferie</text>
  </threadedComment>
  <threadedComment ref="AZ5" dT="2026-07-08T15:33:56.48" personId="{00000000-0000-0000-0000-000000000000}" id="{4981CA67-0F81-462F-8A94-EBFEA205EBB4}">
    <text>Coperte da cabel</text>
  </threadedComment>
  <threadedComment ref="AO6" dT="2026-03-18T07:39:41.03" personId="{00000000-0000-0000-0000-000000000000}" id="{72E46887-1035-4198-A7D3-DB66650722BC}">
    <text>8h permesso</text>
  </threadedComment>
  <threadedComment ref="AW6" dT="2026-07-08T06:40:46.04" personId="{00000000-0000-0000-0000-000000000000}" id="{FA6FBF0E-B56C-46F1-BA22-FDCE63FF057A}">
    <text>4 permesso</text>
  </threadedComment>
  <threadedComment ref="K7" dT="2024-12-10T08:32:56.34" personId="{00000000-0000-0000-0000-000000000000}" id="{041E56A0-0465-4266-93F1-733B590B62D8}">
    <text>7h straordinari</text>
  </threadedComment>
  <threadedComment ref="AQ7" dT="2026-04-09T14:16:57.59" personId="{00000000-0000-0000-0000-000000000000}" id="{BC02C3BD-F90A-4826-9F93-ED59E4DB846F}">
    <text>48h ferie</text>
  </threadedComment>
  <threadedComment ref="AS7" dT="2026-04-10T15:03:50.97" personId="{00000000-0000-0000-0000-000000000000}" id="{50A2729F-7D3D-4B23-8FC9-64E4D275EEB3}">
    <text>40h ferie</text>
  </threadedComment>
  <threadedComment ref="BA7" dT="2026-05-26T08:49:33.31" personId="{00000000-0000-0000-0000-000000000000}" id="{A5D8B7CE-7AA9-4C17-BA86-B347DCA3EB0E}">
    <text>32h ferie</text>
  </threadedComment>
  <threadedComment ref="O9" dT="2025-01-27T08:24:28.30" personId="{00000000-0000-0000-0000-000000000000}" id="{3510B293-7A25-4C2E-9922-7B3C1479414B}">
    <text>15 gg di congedo parentale</text>
  </threadedComment>
  <threadedComment ref="AA9" dT="2025-07-21T12:27:42.35" personId="{00000000-0000-0000-0000-000000000000}" id="{500CA02D-FEA3-4260-A14E-22164E15F707}">
    <text>Recupero ore di mooney luglio</text>
  </threadedComment>
  <threadedComment ref="AO9" dT="2026-03-18T07:40:30.98" personId="{00000000-0000-0000-0000-000000000000}" id="{F62B5A03-B4BF-4A9C-B880-6722613E777A}">
    <text>40h ferie</text>
  </threadedComment>
  <threadedComment ref="AS10" dT="2026-04-03T15:05:33.12" personId="{00000000-0000-0000-0000-000000000000}" id="{ACB12B2C-F677-45FE-8B57-0B62FCF48B70}">
    <text>40h di training</text>
  </threadedComment>
  <threadedComment ref="AW10" dT="2026-07-08T06:33:18.79" personId="{00000000-0000-0000-0000-000000000000}" id="{C92135FF-B2DD-4413-AC7B-94293F5F14B8}">
    <text>2 visita medica</text>
  </threadedComment>
  <threadedComment ref="BA10" dT="2026-07-28T09:01:12.34" personId="{00000000-0000-0000-0000-000000000000}" id="{EE8E3874-C04F-4110-8898-EFD168AFD061}">
    <text>16 h CDP 1q</text>
  </threadedComment>
  <threadedComment ref="AQ11" dT="2026-03-17T15:08:40.52" personId="{00000000-0000-0000-0000-000000000000}" id="{F15FC8DD-0D60-4D44-99FB-D105ED113F99}">
    <text>26,5 rol+visita medica</text>
  </threadedComment>
  <threadedComment ref="AS11" dT="2026-03-17T15:08:47.25" personId="{00000000-0000-0000-0000-000000000000}" id="{ACD35657-CE18-440C-9604-6B3AEA023C63}">
    <text>Ferie 4 maggio</text>
  </threadedComment>
  <threadedComment ref="AW11" dT="2026-07-08T06:33:25.74" personId="{00000000-0000-0000-0000-000000000000}" id="{413FC41E-D7F0-4AC5-8C5B-6D69D099F2E1}">
    <text>6 visita</text>
  </threadedComment>
  <threadedComment ref="AQ12" dT="2026-03-17T15:09:28.75" personId="{00000000-0000-0000-0000-000000000000}" id="{32CCCE1B-BA6C-4ACA-9A7B-C0B1D38BDFBE}">
    <text>Ferie 8 aprile+permesso 3h mattina 14</text>
  </threadedComment>
  <threadedComment ref="AW12" dT="2026-07-08T06:33:09.92" personId="{00000000-0000-0000-0000-000000000000}" id="{5D6DCFAF-BFF7-446A-89A5-C94DD79727A2}">
    <text>3+2+2 visita medica</text>
  </threadedComment>
  <threadedComment ref="AO13" dT="2026-03-18T07:38:45.02" personId="{00000000-0000-0000-0000-000000000000}" id="{98B48D33-269D-4A3F-919A-BF31D93D60B0}">
    <text>34h permesso studio+104</text>
  </threadedComment>
  <threadedComment ref="AQ13" dT="2026-04-01T14:12:39.65" personId="{00000000-0000-0000-0000-000000000000}" id="{2B60DC36-5A41-4B67-A17B-654ADE8D62C8}">
    <text>malattia</text>
  </threadedComment>
  <threadedComment ref="AS13" dT="2026-05-04T06:38:06.06" personId="{00000000-0000-0000-0000-000000000000}" id="{D3A665A0-23DA-4260-9C12-D1B7A9A29DD9}">
    <text>40h malattia</text>
  </threadedComment>
  <threadedComment ref="O14" dT="2025-01-10T15:26:34.55" personId="{00000000-0000-0000-0000-000000000000}" id="{1221411B-57FC-4A7D-BE11-8EEDA7D81150}">
    <text>Qui va aggiunto il carico di gennaio, chiedere a Giovanni Buonocore il valore</text>
  </threadedComment>
  <threadedComment ref="AO14" dT="2026-03-18T07:38:53.49" personId="{00000000-0000-0000-0000-000000000000}" id="{D935709B-4D7C-490C-A663-0C282D174E67}">
    <text>8h ferie</text>
  </threadedComment>
  <threadedComment ref="AW14" dT="2026-05-26T08:47:48.80" personId="{00000000-0000-0000-0000-000000000000}" id="{AC5021A8-C897-437B-9E1E-5E2E49BAE154}">
    <text>16h ferie</text>
  </threadedComment>
  <threadedComment ref="AY14" dT="2026-07-30T07:26:16.81" personId="{00000000-0000-0000-0000-000000000000}" id="{EE962C21-78A5-4BF3-BBE9-F07DA53D4D5B}">
    <text>Non può caricare ore chg durante la chisura aggiunte 4,4h chg</text>
  </threadedComment>
  <threadedComment ref="AM15" dT="2026-02-06T13:08:56.71" personId="{00000000-0000-0000-0000-000000000000}" id="{D4B55714-6FBD-4F26-9CD6-2D0EA2344AE9}">
    <text>1 settimana di malattia</text>
  </threadedComment>
  <threadedComment ref="AQ15" dT="2026-04-22T08:27:05.70" personId="{00000000-0000-0000-0000-000000000000}" id="{13F4FBE0-9A0C-4625-93F2-F6EE09E4F459}">
    <text>4h visita medica</text>
  </threadedComment>
  <threadedComment ref="AW15" dT="2026-07-08T06:39:51.81" personId="{00000000-0000-0000-0000-000000000000}" id="{1A9F4EAD-B29A-4541-98F0-22D097AF864A}">
    <text>80h ferie</text>
  </threadedComment>
  <threadedComment ref="B16" dT="2025-01-29T16:18:21.80" personId="{00000000-0000-0000-0000-000000000000}" id="{22399501-FEC3-4469-9BF5-E04D56D0E9A5}">
    <text>CON NOI AL 47%</text>
  </threadedComment>
  <threadedComment ref="AO16" dT="2026-03-18T07:42:05.01" personId="{00000000-0000-0000-0000-000000000000}" id="{270473B5-CC13-4754-B349-02A6DEB7F37E}">
    <text>16 ferie</text>
  </threadedComment>
  <threadedComment ref="AW16" dT="2026-07-13T08:54:18.50" personId="{00000000-0000-0000-0000-000000000000}" id="{C0623998-FD67-415B-BB83-B472EE1295A6}">
    <text>5h visite medica</text>
  </threadedComment>
  <threadedComment ref="AU17" dT="2026-06-17T06:43:08.31" personId="{00000000-0000-0000-0000-000000000000}" id="{F4C81805-7BC1-4D49-805D-A88DD706687C}">
    <text>24h ferie</text>
  </threadedComment>
  <threadedComment ref="AW17" dT="2026-07-08T06:32:52.60" personId="{00000000-0000-0000-0000-000000000000}" id="{FFFBF2BC-9BC4-442F-9D05-B4B4D8B1160A}">
    <text>36h rol</text>
  </threadedComment>
  <threadedComment ref="R18" dT="2025-03-18T13:58:18.20" personId="{00000000-0000-0000-0000-000000000000}" id="{21191B64-9FBF-40F4-8D7A-F00F457D6E15}">
    <text>Storno da siteminder per via di MYACRI + storno pappalardo errore febbraio</text>
  </threadedComment>
  <threadedComment ref="AO18" dT="2026-03-18T07:43:47.08" personId="{00000000-0000-0000-0000-000000000000}" id="{870F362A-7E45-4CF4-AEAC-080C8819D3DC}">
    <text>2h visita medica+8 ferie</text>
  </threadedComment>
  <threadedComment ref="AQ18" dT="2026-04-02T14:38:36.63" personId="{00000000-0000-0000-0000-000000000000}" id="{85780F43-27E8-41EB-B32E-A3E08241AEE7}">
    <text>12h permesso</text>
  </threadedComment>
  <threadedComment ref="AS18" dT="2026-05-06T12:26:19.58" personId="{00000000-0000-0000-0000-000000000000}" id="{581917B1-7BEE-4EF0-A552-1B290947D6D0}">
    <text>8h permesso</text>
  </threadedComment>
  <threadedComment ref="AW18" dT="2026-07-08T06:33:01.99" personId="{00000000-0000-0000-0000-000000000000}" id="{DF3A6C15-CCC0-4570-9AF7-19241D78AA1C}">
    <text>8 malattia 3 visita</text>
  </threadedComment>
  <threadedComment ref="BA18" dT="2026-05-26T08:45:31.86" personId="{00000000-0000-0000-0000-000000000000}" id="{C80D2CFB-5B08-4C34-ADBD-4BDD46AD89EF}">
    <text>64h ferie</text>
  </threadedComment>
  <threadedComment ref="B19" dT="2025-04-09T12:40:15.72" personId="{00000000-0000-0000-0000-000000000000}" id="{50538EE3-4B8E-4F8E-A9BD-E884E691065D}">
    <text xml:space="preserve">45%+5 di bd al mese
</text>
  </threadedComment>
  <threadedComment ref="AW19" dT="2026-07-08T06:40:27.76" personId="{00000000-0000-0000-0000-000000000000}" id="{CD108A5C-3FA4-4E9E-9F73-3C3F87669B14}">
    <text>24 malattia 4 permesso</text>
  </threadedComment>
  <threadedComment ref="B20" dT="2025-04-09T12:40:29.80" personId="{00000000-0000-0000-0000-000000000000}" id="{C78AB2F5-4ED2-4968-B332-001664F77BE6}">
    <text>95% con noi</text>
  </threadedComment>
  <threadedComment ref="AQ20" dT="2026-04-27T09:27:14.74" personId="{00000000-0000-0000-0000-000000000000}" id="{9B0B74A1-F9E0-4604-BBDD-96F748573295}">
    <text>2h visita medica</text>
  </threadedComment>
  <threadedComment ref="AW20" dT="2026-07-08T06:40:33.95" personId="{00000000-0000-0000-0000-000000000000}" id="{4233F093-6B44-48B4-A390-7AAC8FFDC80B}">
    <text>6,5h permesso</text>
  </threadedComment>
  <threadedComment ref="AO21" dT="2026-02-25T07:45:29.52" personId="{00000000-0000-0000-0000-000000000000}" id="{B17B55BE-63C5-437B-B234-106B3EBC23F0}">
    <text>12 e 13 ferie</text>
  </threadedComment>
  <threadedComment ref="AO21" dT="2026-03-19T10:03:18.26" personId="{00000000-0000-0000-0000-000000000000}" id="{5B1C21D2-A04B-42E2-82BD-3811ED94C441}" parentId="{B17B55BE-63C5-437B-B234-106B3EBC23F0}">
    <text>50 1q, 100% 2q adeguare</text>
  </threadedComment>
  <threadedComment ref="AO21" dT="2026-03-19T10:07:50.67" personId="{00000000-0000-0000-0000-000000000000}" id="{A060619F-68B1-419F-A7EA-FF8D58346761}" parentId="{B17B55BE-63C5-437B-B234-106B3EBC23F0}">
    <text>2 gg di ferie 1q+ 100 dal secondo q</text>
  </threadedComment>
  <threadedComment ref="C31" dT="2026-07-16T09:32:08.79" personId="{00000000-0000-0000-0000-000000000000}" id="{93B17C83-1E23-43C0-A507-AA4CFA1B7089}">
    <text>Devono essere 14k</text>
  </threadedComment>
  <threadedComment ref="B36" dT="2025-05-14T07:21:39.00" personId="{00000000-0000-0000-0000-000000000000}" id="{199264DE-B28A-4809-A119-A34C2ACAB8F9}">
    <text>EACB 390093,25 spalmati da maggio 25 a ottobre 27</text>
  </threadedComment>
  <threadedComment ref="F37" dT="2024-10-10T09:11:38.35" personId="{00000000-0000-0000-0000-000000000000}" id="{74F1AD99-4527-4F70-B044-3170C50F09B8}">
    <text>IT Continuity lug-sett</text>
  </threadedComment>
  <threadedComment ref="H37" dT="2024-10-10T09:11:45.61" personId="{00000000-0000-0000-0000-000000000000}" id="{F275F00C-BFE1-4A86-AE68-3BC3EE7C391B}">
    <text>IT Continuity lug-sett</text>
  </threadedComment>
  <threadedComment ref="J37" dT="2024-10-10T09:11:52.75" personId="{00000000-0000-0000-0000-000000000000}" id="{49BC926D-EDD4-4471-A9D8-440852A04B30}">
    <text>IT Continuity lug-sett</text>
  </threadedComment>
  <threadedComment ref="L37" dT="2024-12-03T14:08:24.72" personId="{00000000-0000-0000-0000-000000000000}" id="{6938FC8F-5444-4DE4-9480-9D045B7FFF26}">
    <text>19071,7 RSB capuani</text>
  </threadedComment>
  <threadedComment ref="P37" dT="2024-12-03T14:07:38.86" personId="{00000000-0000-0000-0000-000000000000}" id="{AE22D27D-6207-4203-8286-14486D4A2BF6}">
    <text>iam</text>
  </threadedComment>
  <threadedComment ref="R37" dT="2024-12-03T14:07:32.42" personId="{00000000-0000-0000-0000-000000000000}" id="{7ECEE375-C8D4-4B30-A351-DF7325B6C350}">
    <text>iam</text>
  </threadedComment>
  <threadedComment ref="BB38" dT="2026-07-16T09:31:01.99" personId="{00000000-0000-0000-0000-000000000000}" id="{B2ACD695-AD2A-4C5A-9917-AB4CD19870D2}">
    <text>Andiamo in continuità?</text>
  </threadedComment>
  <threadedComment ref="BB56" dT="2026-07-02T13:08:33.79" personId="{00000000-0000-0000-0000-000000000000}" id="{8DF17CCE-86C9-4B9F-B0CF-80F734D0036B}">
    <text>Decidere con alberto come spalmare</text>
  </threadedComment>
</ThreadedComments>
</file>

<file path=xl/threadedComments/threadedComment4.xml><?xml version="1.0" encoding="utf-8"?>
<ThreadedComments xmlns="http://schemas.microsoft.com/office/spreadsheetml/2018/threadedcomments" xmlns:x="http://schemas.openxmlformats.org/spreadsheetml/2006/main">
  <threadedComment ref="R24" dT="2024-09-02T13:10:24.86" personId="{00000000-0000-0000-0000-000000000000}" id="{EF74719A-F8B2-4BEA-858A-05A9995DF2C8}">
    <text>3K in più per costi Audit SIAED</text>
  </threadedComment>
</ThreadedComments>
</file>

<file path=xl/threadedComments/threadedComment5.xml><?xml version="1.0" encoding="utf-8"?>
<ThreadedComments xmlns="http://schemas.microsoft.com/office/spreadsheetml/2018/threadedcomments" xmlns:x="http://schemas.openxmlformats.org/spreadsheetml/2006/main">
  <threadedComment ref="O22" dT="2026-04-03T12:32:57.44" personId="{00000000-0000-0000-0000-000000000000}" id="{C16D80E2-7AF3-4609-8B6E-F0E06634D246}">
    <text>33k fusco microseg +9k tommasina antifrode</text>
  </threadedComment>
  <threadedComment ref="P22" dT="2026-05-06T08:54:40.01" personId="{00000000-0000-0000-0000-000000000000}" id="{5B631918-C074-4A71-A54D-4191D6A5E296}">
    <text>9k tommasina</text>
  </threadedComment>
  <threadedComment ref="Q22" dT="2026-06-18T10:31:37.21" personId="{00000000-0000-0000-0000-000000000000}" id="{471ACEA3-92F4-403B-A275-17C3D0E82EF5}">
    <text>10k ugc</text>
  </threadedComment>
  <threadedComment ref="R22" dT="2026-07-14T06:49:37.24" personId="{00000000-0000-0000-0000-000000000000}" id="{E6698601-C979-4248-9B7F-02ECC6742693}">
    <text>Unicredit + antifrode + formazione</text>
  </threadedComment>
  <threadedComment ref="S22" dT="2026-07-15T06:58:47.47" personId="{00000000-0000-0000-0000-000000000000}" id="{B3CBE66F-133F-4AAD-BF8D-94C0558C9A39}">
    <text>Antifrode + formazione + 2k carlomagno</text>
  </threadedComment>
</ThreadedComments>
</file>

<file path=xl/threadedComments/threadedComment6.xml><?xml version="1.0" encoding="utf-8"?>
<ThreadedComments xmlns="http://schemas.microsoft.com/office/spreadsheetml/2018/threadedcomments" xmlns:x="http://schemas.openxmlformats.org/spreadsheetml/2006/main">
  <threadedComment ref="H22" dT="2025-09-08T10:16:44.80" personId="{00000000-0000-0000-0000-000000000000}" id="{30CF06C0-7F37-46DB-A3DB-3EBE8D984351}">
    <text>Buonocore+recupero unicredit</text>
  </threadedComment>
  <threadedComment ref="Q22" dT="2026-06-05T13:03:02.36" personId="{00000000-0000-0000-0000-000000000000}" id="{54A8FCBA-45F3-4BA3-9A5D-5976E1C2F43E}">
    <text>28k fusco</text>
  </threadedComment>
  <threadedComment ref="R22" dT="2026-07-02T06:59:04.46" personId="{00000000-0000-0000-0000-000000000000}" id="{F6CE2A40-1110-4B0C-A159-B56198DB58EF}">
    <text>Fusco</text>
  </threadedComment>
</ThreadedComments>
</file>

<file path=xl/threadedComments/threadedComment7.xml><?xml version="1.0" encoding="utf-8"?>
<ThreadedComments xmlns="http://schemas.microsoft.com/office/spreadsheetml/2018/threadedcomments" xmlns:x="http://schemas.openxmlformats.org/spreadsheetml/2006/main">
  <threadedComment ref="AN13" dT="2026-06-23T14:26:18.88" personId="{00000000-0000-0000-0000-000000000000}" id="{3265A483-CB61-4A81-B117-A64586B0BCD9}">
    <text>125,83 capital charge</text>
  </threadedComment>
  <threadedComment ref="AO13" dT="2026-06-23T14:26:24.93" personId="{00000000-0000-0000-0000-000000000000}" id="{B524D5A6-F848-48B4-AD6F-992E1BF385E8}">
    <text>0,22  capital charge</text>
  </threadedComment>
  <threadedComment ref="AN20" dT="2026-06-23T14:26:49.39" personId="{00000000-0000-0000-0000-000000000000}" id="{EF6762A6-1D2D-400B-93B9-A44A0AC8F649}">
    <text>2302,31 capital charge</text>
  </threadedComment>
  <threadedComment ref="AO20" dT="2026-06-23T14:27:08.52" personId="{00000000-0000-0000-0000-000000000000}" id="{7DDC571B-7FAC-41BF-9ABF-FA38E5D6BFE1}">
    <text>1256,17  capital charge</text>
  </threadedComment>
  <threadedComment ref="R24" dT="2024-09-02T13:10:24.86" personId="{00000000-0000-0000-0000-000000000000}" id="{4B242089-CA91-4ADF-A8BB-B73D0445AF51}">
    <text>3K in più per costi Audit SIAED</text>
  </threadedComment>
</ThreadedComments>
</file>

<file path=xl/threadedComments/threadedComment8.xml><?xml version="1.0" encoding="utf-8"?>
<ThreadedComments xmlns="http://schemas.microsoft.com/office/spreadsheetml/2018/threadedcomments" xmlns:x="http://schemas.openxmlformats.org/spreadsheetml/2006/main">
  <threadedComment ref="AM13" dT="2026-06-23T14:26:07.41" personId="{00000000-0000-0000-0000-000000000000}" id="{60557B8B-6C70-4036-B378-602AE0FF559C}">
    <text>2170,97 capital charge</text>
  </threadedComment>
  <threadedComment ref="AN13" dT="2026-06-23T14:26:18.88" personId="{00000000-0000-0000-0000-000000000000}" id="{06634281-2D19-401D-A045-114ED548E57F}">
    <text>125,83 capital charge</text>
  </threadedComment>
  <threadedComment ref="AO13" dT="2026-06-23T14:26:24.93" personId="{00000000-0000-0000-0000-000000000000}" id="{21AFC0D2-BBE8-4B55-B30C-76A2722AAEA0}">
    <text>0,22  capital charge</text>
  </threadedComment>
  <threadedComment ref="AM20" dT="2026-06-23T14:26:39.25" personId="{00000000-0000-0000-0000-000000000000}" id="{FE7DEDF7-04D9-4F50-9C7A-00E308AFDCCD}">
    <text xml:space="preserve"> capital charge 4165,55</text>
  </threadedComment>
  <threadedComment ref="AN20" dT="2026-06-23T14:26:49.39" personId="{00000000-0000-0000-0000-000000000000}" id="{A96B8935-58B4-4A7D-A0DE-DFEBBCF1DA25}">
    <text>2302,31 capital charge</text>
  </threadedComment>
  <threadedComment ref="AO20" dT="2026-06-23T14:27:08.52" personId="{00000000-0000-0000-0000-000000000000}" id="{DEC3E804-7EBE-4DC5-B573-F8598A1EE92E}">
    <text>1256,17  capital charge</text>
  </threadedComment>
  <threadedComment ref="R24" dT="2024-09-02T13:10:24.86" personId="{00000000-0000-0000-0000-000000000000}" id="{F2345EE5-23BE-47FC-9360-CE7C2A90CF9E}">
    <text>3K in più per costi Audit SIAED</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7" Type="http://schemas.microsoft.com/office/2017/10/relationships/threadedComment" Target="../threadedComments/threadedComment2.xml"/><Relationship Id="rId2" Type="http://schemas.openxmlformats.org/officeDocument/2006/relationships/hyperlink" Target="https://support-close.accenture.com/sys_attachment.do?sys_id=4296485d934132109b98bdc47aba1079" TargetMode="External"/><Relationship Id="rId1" Type="http://schemas.openxmlformats.org/officeDocument/2006/relationships/pivotTable" Target="../pivotTables/pivotTable1.xml"/><Relationship Id="rId6" Type="http://schemas.openxmlformats.org/officeDocument/2006/relationships/comments" Target="../comments2.xml"/><Relationship Id="rId5" Type="http://schemas.openxmlformats.org/officeDocument/2006/relationships/table" Target="../tables/table1.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printerSettings" Target="../printerSettings/printerSettings4.bin"/><Relationship Id="rId1" Type="http://schemas.openxmlformats.org/officeDocument/2006/relationships/hyperlink" Target="https://support-close.accenture.com/sys_attachment.do?sys_id=364e4b25c36007d42bf11e5ce0013157"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7.bin"/><Relationship Id="rId4" Type="http://schemas.microsoft.com/office/2017/10/relationships/threadedComment" Target="../threadedComments/threadedComment3.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8.bin"/><Relationship Id="rId4" Type="http://schemas.microsoft.com/office/2017/10/relationships/threadedComment" Target="../threadedComments/threadedComment4.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1.bin"/><Relationship Id="rId4" Type="http://schemas.microsoft.com/office/2017/10/relationships/threadedComment" Target="../threadedComments/threadedComment5.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12.bin"/><Relationship Id="rId4" Type="http://schemas.microsoft.com/office/2017/10/relationships/threadedComment" Target="../threadedComments/threadedComment6.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4.bin"/><Relationship Id="rId4" Type="http://schemas.microsoft.com/office/2017/10/relationships/threadedComment" Target="../threadedComments/threadedComment7.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5.bin"/><Relationship Id="rId4" Type="http://schemas.microsoft.com/office/2017/10/relationships/threadedComment" Target="../threadedComments/threadedComment8.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7AA96-752E-4FAF-958F-7FB00DA04066}">
  <sheetPr codeName="Sheet7"/>
  <dimension ref="B2:AB26"/>
  <sheetViews>
    <sheetView zoomScale="71" zoomScaleNormal="71" workbookViewId="0">
      <selection activeCell="W4" activeCellId="1" sqref="U4 W4"/>
    </sheetView>
  </sheetViews>
  <sheetFormatPr defaultRowHeight="14.5"/>
  <cols>
    <col min="2" max="2" width="17.26953125" bestFit="1" customWidth="1"/>
    <col min="3" max="3" width="13.54296875" bestFit="1" customWidth="1"/>
    <col min="6" max="6" width="19.26953125" customWidth="1"/>
    <col min="7" max="7" width="19.1796875" customWidth="1"/>
    <col min="8" max="8" width="12.81640625" bestFit="1" customWidth="1"/>
    <col min="9" max="9" width="24.26953125" bestFit="1" customWidth="1"/>
    <col min="10" max="10" width="11.81640625" bestFit="1" customWidth="1"/>
    <col min="11" max="11" width="12.81640625" bestFit="1" customWidth="1"/>
    <col min="12" max="13" width="15.1796875" bestFit="1" customWidth="1"/>
    <col min="14" max="14" width="11.81640625" bestFit="1" customWidth="1"/>
    <col min="16" max="16" width="11.81640625" bestFit="1" customWidth="1"/>
    <col min="18" max="18" width="11.81640625" bestFit="1" customWidth="1"/>
    <col min="20" max="20" width="11.81640625" bestFit="1" customWidth="1"/>
    <col min="22" max="22" width="11.81640625" bestFit="1" customWidth="1"/>
    <col min="24" max="24" width="12.81640625" bestFit="1" customWidth="1"/>
    <col min="26" max="26" width="12.81640625" bestFit="1" customWidth="1"/>
    <col min="28" max="28" width="11.81640625" bestFit="1" customWidth="1"/>
    <col min="32" max="32" width="9.1796875" customWidth="1"/>
    <col min="34" max="34" width="9.1796875" customWidth="1"/>
  </cols>
  <sheetData>
    <row r="2" spans="2:28">
      <c r="E2" s="534" t="s">
        <v>187</v>
      </c>
      <c r="F2" s="534"/>
      <c r="G2" s="534" t="s">
        <v>188</v>
      </c>
      <c r="H2" s="534"/>
      <c r="I2" s="534" t="s">
        <v>189</v>
      </c>
      <c r="J2" s="534"/>
      <c r="K2" s="534" t="s">
        <v>190</v>
      </c>
      <c r="L2" s="534"/>
      <c r="M2" s="534" t="s">
        <v>191</v>
      </c>
      <c r="N2" s="534"/>
      <c r="O2" s="534" t="s">
        <v>181</v>
      </c>
      <c r="P2" s="534"/>
      <c r="Q2" s="534" t="s">
        <v>192</v>
      </c>
      <c r="R2" s="534"/>
      <c r="S2" s="534" t="s">
        <v>182</v>
      </c>
      <c r="T2" s="534"/>
      <c r="U2" s="534" t="s">
        <v>193</v>
      </c>
      <c r="V2" s="534"/>
      <c r="W2" s="534" t="s">
        <v>194</v>
      </c>
      <c r="X2" s="534"/>
      <c r="Y2" s="534" t="s">
        <v>185</v>
      </c>
      <c r="Z2" s="534"/>
      <c r="AA2" s="534" t="s">
        <v>186</v>
      </c>
      <c r="AB2" s="534"/>
    </row>
    <row r="3" spans="2:28">
      <c r="E3">
        <v>18</v>
      </c>
      <c r="G3">
        <v>20</v>
      </c>
      <c r="I3" s="95">
        <v>22</v>
      </c>
      <c r="K3">
        <v>22</v>
      </c>
      <c r="M3">
        <v>21</v>
      </c>
      <c r="O3">
        <v>22</v>
      </c>
      <c r="Q3">
        <v>23</v>
      </c>
      <c r="S3">
        <v>10</v>
      </c>
      <c r="U3">
        <v>22</v>
      </c>
      <c r="W3">
        <v>22</v>
      </c>
      <c r="Y3">
        <v>21</v>
      </c>
      <c r="AA3">
        <v>16</v>
      </c>
    </row>
    <row r="4" spans="2:28">
      <c r="E4" s="83">
        <f>E3*8</f>
        <v>144</v>
      </c>
      <c r="F4" s="84" t="s">
        <v>196</v>
      </c>
      <c r="G4" s="83">
        <f t="shared" ref="G4" si="0">G3*8</f>
        <v>160</v>
      </c>
      <c r="H4" s="84" t="s">
        <v>196</v>
      </c>
      <c r="I4" s="83">
        <f t="shared" ref="I4" si="1">I3*8</f>
        <v>176</v>
      </c>
      <c r="J4" s="84" t="s">
        <v>196</v>
      </c>
      <c r="K4" s="83">
        <f t="shared" ref="K4" si="2">K3*8</f>
        <v>176</v>
      </c>
      <c r="L4" s="84" t="s">
        <v>196</v>
      </c>
      <c r="M4" s="83">
        <f t="shared" ref="M4" si="3">M3*8</f>
        <v>168</v>
      </c>
      <c r="N4" s="84" t="s">
        <v>196</v>
      </c>
      <c r="O4" s="83">
        <f t="shared" ref="O4" si="4">O3*8</f>
        <v>176</v>
      </c>
      <c r="P4" s="84" t="s">
        <v>196</v>
      </c>
      <c r="Q4" s="83">
        <f t="shared" ref="Q4" si="5">Q3*8</f>
        <v>184</v>
      </c>
      <c r="R4" s="84" t="s">
        <v>196</v>
      </c>
      <c r="S4" s="83">
        <f t="shared" ref="S4" si="6">S3*8</f>
        <v>80</v>
      </c>
      <c r="T4" s="84" t="s">
        <v>196</v>
      </c>
      <c r="U4" s="83">
        <v>176</v>
      </c>
      <c r="V4" s="84" t="s">
        <v>196</v>
      </c>
      <c r="W4" s="83">
        <v>176</v>
      </c>
      <c r="X4" s="84" t="s">
        <v>196</v>
      </c>
      <c r="Y4" s="83">
        <v>168</v>
      </c>
      <c r="Z4" s="84" t="s">
        <v>196</v>
      </c>
      <c r="AA4" s="83">
        <v>128</v>
      </c>
      <c r="AB4" s="84" t="s">
        <v>196</v>
      </c>
    </row>
    <row r="5" spans="2:28">
      <c r="B5" s="264" t="s">
        <v>69</v>
      </c>
      <c r="C5" s="3">
        <v>34.61</v>
      </c>
      <c r="D5" s="85">
        <v>0.9</v>
      </c>
      <c r="E5" s="86">
        <v>105.46</v>
      </c>
      <c r="F5" s="87">
        <v>4453.39</v>
      </c>
      <c r="G5" s="79">
        <v>144</v>
      </c>
      <c r="H5" s="91">
        <f>G5*C5</f>
        <v>4983.36</v>
      </c>
      <c r="I5" s="86">
        <v>128.89</v>
      </c>
      <c r="J5" s="87">
        <f>I5*C5</f>
        <v>5481.70</v>
      </c>
      <c r="K5" s="86">
        <v>128.89</v>
      </c>
      <c r="L5" s="87">
        <f>K5*C5</f>
        <v>5481.70</v>
      </c>
      <c r="M5" s="79">
        <v>123.03</v>
      </c>
      <c r="N5" s="87">
        <f>M5*C5</f>
        <v>5232.53</v>
      </c>
      <c r="O5" s="86">
        <v>128.89</v>
      </c>
      <c r="P5" s="87">
        <f>O5*C5</f>
        <v>5481.70</v>
      </c>
      <c r="Q5" s="86">
        <v>134.75</v>
      </c>
      <c r="R5" s="87">
        <f>Q5*C5</f>
        <v>5730.86</v>
      </c>
      <c r="S5" s="79">
        <v>72</v>
      </c>
      <c r="T5" s="87">
        <f>S5*C5</f>
        <v>2491.68</v>
      </c>
      <c r="U5">
        <f>$U$4*D5</f>
        <v>128.89</v>
      </c>
      <c r="V5">
        <f>U5*C5</f>
        <v>5481.70</v>
      </c>
      <c r="W5">
        <f>$W$4*D5</f>
        <v>128.89</v>
      </c>
      <c r="X5">
        <f>W5*C5</f>
        <v>5481.70</v>
      </c>
      <c r="Y5">
        <f>$Y$4*D5</f>
        <v>123.03</v>
      </c>
      <c r="Z5">
        <f>Y5*C5</f>
        <v>5232.53</v>
      </c>
      <c r="AA5">
        <f>$AA$4*D5</f>
        <v>93.74</v>
      </c>
      <c r="AB5">
        <f>AA5*C5</f>
        <v>3986.69</v>
      </c>
    </row>
    <row r="6" spans="2:28" ht="14.15" customHeight="1">
      <c r="B6" s="264" t="s">
        <v>70</v>
      </c>
      <c r="C6" s="3">
        <v>26.48</v>
      </c>
      <c r="D6" s="85">
        <v>0.89</v>
      </c>
      <c r="E6" s="86">
        <v>104.28</v>
      </c>
      <c r="F6" s="87">
        <v>3252.61</v>
      </c>
      <c r="G6" s="79">
        <v>115.87</v>
      </c>
      <c r="H6" s="91">
        <f t="shared" ref="H6:H12" si="7">G6*C6</f>
        <v>3770.44</v>
      </c>
      <c r="I6" s="86">
        <v>127.46</v>
      </c>
      <c r="J6" s="87">
        <f t="shared" ref="J6:J12" si="8">I6*C6</f>
        <v>4147.48</v>
      </c>
      <c r="K6" s="86">
        <v>127.46</v>
      </c>
      <c r="L6" s="87">
        <f t="shared" ref="L6:L12" si="9">K6*C6</f>
        <v>4147.48</v>
      </c>
      <c r="M6" s="79">
        <v>121.66</v>
      </c>
      <c r="N6" s="87">
        <f t="shared" ref="N6:N12" si="10">M6*C6</f>
        <v>3958.96</v>
      </c>
      <c r="O6" s="86">
        <v>127.46</v>
      </c>
      <c r="P6" s="87">
        <f t="shared" ref="P6:P12" si="11">O6*C6</f>
        <v>4147.48</v>
      </c>
      <c r="Q6" s="86">
        <v>133.25</v>
      </c>
      <c r="R6" s="87">
        <f t="shared" ref="R6:R12" si="12">Q6*C6</f>
        <v>4336.00</v>
      </c>
      <c r="S6" s="79">
        <v>57.94</v>
      </c>
      <c r="T6" s="87">
        <f t="shared" ref="T6:T12" si="13">S6*C6</f>
        <v>1885.22</v>
      </c>
      <c r="U6">
        <f t="shared" ref="U6:U11" si="14">$U$4*D6</f>
        <v>127.46</v>
      </c>
      <c r="V6">
        <f t="shared" ref="V6:V11" si="15">U6*C6</f>
        <v>4147.48</v>
      </c>
      <c r="W6">
        <f t="shared" ref="W6:W11" si="16">$W$4*D6</f>
        <v>127.46</v>
      </c>
      <c r="X6">
        <f t="shared" ref="X6:X12" si="17">W6*C6</f>
        <v>4147.48</v>
      </c>
      <c r="Y6">
        <f t="shared" ref="Y6:Y11" si="18">$Y$4*D6</f>
        <v>121.66</v>
      </c>
      <c r="Z6">
        <f t="shared" ref="Z6:Z12" si="19">Y6*C6</f>
        <v>3958.96</v>
      </c>
      <c r="AA6">
        <f t="shared" ref="AA6:AA11" si="20">$AA$4*D6</f>
        <v>92.70</v>
      </c>
      <c r="AB6">
        <f t="shared" ref="AB6:AB12" si="21">AA6*C6</f>
        <v>3016.35</v>
      </c>
    </row>
    <row r="7" spans="2:28">
      <c r="B7" s="264" t="s">
        <v>265</v>
      </c>
      <c r="C7" s="3">
        <v>26.48</v>
      </c>
      <c r="D7" s="85">
        <v>0.89</v>
      </c>
      <c r="E7" s="86">
        <v>105.13</v>
      </c>
      <c r="F7" s="87">
        <v>3279.01</v>
      </c>
      <c r="G7" s="79">
        <v>115.87</v>
      </c>
      <c r="H7" s="91">
        <f t="shared" si="7"/>
        <v>3770.44</v>
      </c>
      <c r="I7" s="86">
        <v>127.46</v>
      </c>
      <c r="J7" s="87">
        <f t="shared" si="8"/>
        <v>4147.48</v>
      </c>
      <c r="K7" s="86">
        <v>127.46</v>
      </c>
      <c r="L7" s="87">
        <f t="shared" si="9"/>
        <v>4147.48</v>
      </c>
      <c r="M7" s="79">
        <v>121.66</v>
      </c>
      <c r="N7" s="87">
        <f t="shared" si="10"/>
        <v>3958.96</v>
      </c>
      <c r="O7" s="86">
        <v>127.46</v>
      </c>
      <c r="P7" s="87">
        <f t="shared" si="11"/>
        <v>4147.48</v>
      </c>
      <c r="Q7" s="86">
        <v>133.25</v>
      </c>
      <c r="R7" s="87">
        <f t="shared" si="12"/>
        <v>4336.00</v>
      </c>
      <c r="S7" s="79">
        <v>57.94</v>
      </c>
      <c r="T7" s="87">
        <f t="shared" si="13"/>
        <v>1885.22</v>
      </c>
      <c r="U7">
        <f t="shared" si="14"/>
        <v>127.46</v>
      </c>
      <c r="V7">
        <f t="shared" si="15"/>
        <v>4147.48</v>
      </c>
      <c r="W7">
        <f t="shared" si="16"/>
        <v>127.46</v>
      </c>
      <c r="X7">
        <f t="shared" si="17"/>
        <v>4147.48</v>
      </c>
      <c r="Y7">
        <f t="shared" si="18"/>
        <v>121.66</v>
      </c>
      <c r="Z7">
        <f t="shared" si="19"/>
        <v>3958.96</v>
      </c>
      <c r="AA7">
        <f t="shared" si="20"/>
        <v>92.70</v>
      </c>
      <c r="AB7">
        <f t="shared" si="21"/>
        <v>3016.35</v>
      </c>
    </row>
    <row r="8" spans="2:28">
      <c r="B8" s="264" t="s">
        <v>266</v>
      </c>
      <c r="C8" s="3">
        <v>79.64</v>
      </c>
      <c r="D8" s="85">
        <v>0.47</v>
      </c>
      <c r="E8" s="86">
        <v>55.07</v>
      </c>
      <c r="F8" s="87">
        <v>4455.26</v>
      </c>
      <c r="G8" s="79">
        <v>61.19</v>
      </c>
      <c r="H8" s="91">
        <f t="shared" si="7"/>
        <v>5988.69</v>
      </c>
      <c r="I8" s="86">
        <v>67.31</v>
      </c>
      <c r="J8" s="87">
        <f t="shared" si="8"/>
        <v>6587.56</v>
      </c>
      <c r="K8" s="86">
        <v>67.31</v>
      </c>
      <c r="L8" s="87">
        <f t="shared" si="9"/>
        <v>6587.56</v>
      </c>
      <c r="M8" s="79">
        <v>64.25</v>
      </c>
      <c r="N8" s="87">
        <f t="shared" si="10"/>
        <v>6288.12</v>
      </c>
      <c r="O8" s="86">
        <v>67.31</v>
      </c>
      <c r="P8" s="87">
        <f t="shared" si="11"/>
        <v>6587.56</v>
      </c>
      <c r="Q8" s="86">
        <v>70.37</v>
      </c>
      <c r="R8" s="87">
        <f t="shared" si="12"/>
        <v>6886.99</v>
      </c>
      <c r="S8" s="79">
        <v>30.60</v>
      </c>
      <c r="T8" s="87">
        <f t="shared" si="13"/>
        <v>2994.34</v>
      </c>
      <c r="U8">
        <f t="shared" si="14"/>
        <v>67.31</v>
      </c>
      <c r="V8">
        <f t="shared" si="15"/>
        <v>6587.56</v>
      </c>
      <c r="W8">
        <f t="shared" si="16"/>
        <v>67.31</v>
      </c>
      <c r="X8">
        <f t="shared" si="17"/>
        <v>6587.56</v>
      </c>
      <c r="Y8">
        <f t="shared" si="18"/>
        <v>64.25</v>
      </c>
      <c r="Z8">
        <f t="shared" si="19"/>
        <v>6288.12</v>
      </c>
      <c r="AA8">
        <f t="shared" si="20"/>
        <v>48.95</v>
      </c>
      <c r="AB8">
        <f t="shared" si="21"/>
        <v>4790.95</v>
      </c>
    </row>
    <row r="9" spans="2:28">
      <c r="B9" s="264" t="s">
        <v>285</v>
      </c>
      <c r="C9" s="3">
        <v>29.14</v>
      </c>
      <c r="D9" s="85">
        <v>0.89</v>
      </c>
      <c r="E9" s="234">
        <v>52.14</v>
      </c>
      <c r="F9" s="87">
        <v>1822.88</v>
      </c>
      <c r="G9" s="79">
        <v>57.94</v>
      </c>
      <c r="H9" s="91">
        <f t="shared" si="7"/>
        <v>2074.67</v>
      </c>
      <c r="I9" s="86">
        <v>63.73</v>
      </c>
      <c r="J9" s="87">
        <f t="shared" si="8"/>
        <v>2282.13</v>
      </c>
      <c r="K9" s="86">
        <v>63.73</v>
      </c>
      <c r="L9" s="87">
        <f t="shared" si="9"/>
        <v>2282.13</v>
      </c>
      <c r="M9" s="79">
        <v>60.83</v>
      </c>
      <c r="N9" s="87">
        <f t="shared" si="10"/>
        <v>2178.40</v>
      </c>
      <c r="O9" s="86">
        <v>63.73</v>
      </c>
      <c r="P9" s="87">
        <f t="shared" si="11"/>
        <v>2282.13</v>
      </c>
      <c r="Q9" s="86">
        <v>66.63</v>
      </c>
      <c r="R9" s="87">
        <f t="shared" si="12"/>
        <v>2385.87</v>
      </c>
      <c r="S9" s="79">
        <v>28.97</v>
      </c>
      <c r="T9" s="87">
        <f t="shared" si="13"/>
        <v>1037.33</v>
      </c>
      <c r="U9">
        <f>($U$4*D9)*0.5</f>
        <v>63.73</v>
      </c>
      <c r="V9">
        <f t="shared" si="15"/>
        <v>2282.13</v>
      </c>
      <c r="W9">
        <f>($W$4*D9)*0.5</f>
        <v>63.73</v>
      </c>
      <c r="X9">
        <f t="shared" si="17"/>
        <v>2282.13</v>
      </c>
      <c r="Y9">
        <f>($Y$4*D9)*0.5</f>
        <v>60.83</v>
      </c>
      <c r="Z9">
        <f t="shared" si="19"/>
        <v>2178.40</v>
      </c>
      <c r="AA9">
        <f>($AA$4*D9)*0.5</f>
        <v>46.35</v>
      </c>
      <c r="AB9">
        <f t="shared" si="21"/>
        <v>1659.73</v>
      </c>
    </row>
    <row r="10" spans="2:28">
      <c r="B10" s="264" t="s">
        <v>291</v>
      </c>
      <c r="C10" s="3">
        <v>79.64</v>
      </c>
      <c r="D10" s="85">
        <v>0.5</v>
      </c>
      <c r="E10" s="86">
        <v>63.27</v>
      </c>
      <c r="F10" s="87">
        <v>6429.83</v>
      </c>
      <c r="G10" s="79">
        <v>70.30</v>
      </c>
      <c r="H10" s="91">
        <f t="shared" si="7"/>
        <v>6880.62</v>
      </c>
      <c r="I10" s="86">
        <v>77.33</v>
      </c>
      <c r="J10" s="87">
        <f t="shared" si="8"/>
        <v>7568.68</v>
      </c>
      <c r="K10" s="86">
        <v>77.33</v>
      </c>
      <c r="L10" s="87">
        <f t="shared" si="9"/>
        <v>7568.68</v>
      </c>
      <c r="M10" s="79">
        <v>73.82</v>
      </c>
      <c r="N10" s="87">
        <f t="shared" si="10"/>
        <v>7224.65</v>
      </c>
      <c r="O10" s="86">
        <v>77.33</v>
      </c>
      <c r="P10" s="87">
        <f t="shared" si="11"/>
        <v>7568.68</v>
      </c>
      <c r="Q10" s="86">
        <v>80.85</v>
      </c>
      <c r="R10" s="87">
        <f t="shared" si="12"/>
        <v>7912.71</v>
      </c>
      <c r="S10" s="79">
        <v>35.15</v>
      </c>
      <c r="T10" s="87">
        <f t="shared" si="13"/>
        <v>3440.31</v>
      </c>
      <c r="U10">
        <f t="shared" si="14"/>
        <v>88</v>
      </c>
      <c r="V10">
        <f t="shared" si="15"/>
        <v>7008.04</v>
      </c>
      <c r="W10">
        <f t="shared" si="16"/>
        <v>88</v>
      </c>
      <c r="X10">
        <f t="shared" si="17"/>
        <v>7008.04</v>
      </c>
      <c r="Y10">
        <f t="shared" si="18"/>
        <v>84</v>
      </c>
      <c r="Z10">
        <f t="shared" si="19"/>
        <v>6689.49</v>
      </c>
      <c r="AA10">
        <f t="shared" si="20"/>
        <v>64</v>
      </c>
      <c r="AB10">
        <f t="shared" si="21"/>
        <v>5096.76</v>
      </c>
    </row>
    <row r="11" spans="2:28">
      <c r="B11" s="264" t="s">
        <v>292</v>
      </c>
      <c r="C11" s="3">
        <v>25.55</v>
      </c>
      <c r="D11" s="85">
        <v>0.95</v>
      </c>
      <c r="E11" s="86">
        <v>111.31</v>
      </c>
      <c r="F11" s="87">
        <v>3391.74</v>
      </c>
      <c r="G11" s="79">
        <v>152</v>
      </c>
      <c r="H11" s="91">
        <f t="shared" si="7"/>
        <v>3883.63</v>
      </c>
      <c r="I11" s="86">
        <v>136.05</v>
      </c>
      <c r="J11" s="87">
        <f t="shared" si="8"/>
        <v>4271.99</v>
      </c>
      <c r="K11" s="86">
        <v>136.05</v>
      </c>
      <c r="L11" s="87">
        <f t="shared" si="9"/>
        <v>4271.99</v>
      </c>
      <c r="M11" s="79">
        <v>129.87</v>
      </c>
      <c r="N11" s="87">
        <f t="shared" si="10"/>
        <v>4077.81</v>
      </c>
      <c r="O11" s="86">
        <v>136.05</v>
      </c>
      <c r="P11" s="87">
        <f t="shared" si="11"/>
        <v>4271.99</v>
      </c>
      <c r="Q11" s="86">
        <v>142.23</v>
      </c>
      <c r="R11" s="87">
        <f t="shared" si="12"/>
        <v>4466.17</v>
      </c>
      <c r="S11" s="79">
        <v>76</v>
      </c>
      <c r="T11" s="87">
        <f t="shared" si="13"/>
        <v>1941.81</v>
      </c>
      <c r="U11">
        <f t="shared" si="14"/>
        <v>136.05</v>
      </c>
      <c r="V11">
        <f t="shared" si="15"/>
        <v>4271.99</v>
      </c>
      <c r="W11">
        <f t="shared" si="16"/>
        <v>136.05</v>
      </c>
      <c r="X11">
        <f t="shared" si="17"/>
        <v>4271.99</v>
      </c>
      <c r="Y11">
        <f t="shared" si="18"/>
        <v>129.87</v>
      </c>
      <c r="Z11">
        <f t="shared" si="19"/>
        <v>4077.81</v>
      </c>
      <c r="AA11">
        <f t="shared" si="20"/>
        <v>98.95</v>
      </c>
      <c r="AB11">
        <f t="shared" si="21"/>
        <v>3106.90</v>
      </c>
    </row>
    <row r="12" spans="2:28">
      <c r="B12" s="264" t="s">
        <v>394</v>
      </c>
      <c r="C12" s="3">
        <v>29.14</v>
      </c>
      <c r="D12" s="85">
        <v>0.89</v>
      </c>
      <c r="E12" s="234">
        <v>57.94</v>
      </c>
      <c r="F12" s="87">
        <v>2025.42</v>
      </c>
      <c r="G12" s="79">
        <v>57.94</v>
      </c>
      <c r="H12" s="91">
        <f t="shared" si="7"/>
        <v>2074.67</v>
      </c>
      <c r="I12" s="86">
        <v>63.73</v>
      </c>
      <c r="J12" s="87">
        <f t="shared" si="8"/>
        <v>2282.13</v>
      </c>
      <c r="K12" s="86">
        <v>63.73</v>
      </c>
      <c r="L12" s="87">
        <f t="shared" si="9"/>
        <v>2282.13</v>
      </c>
      <c r="M12" s="79">
        <v>60.83</v>
      </c>
      <c r="N12" s="87">
        <f t="shared" si="10"/>
        <v>2178.40</v>
      </c>
      <c r="O12" s="86">
        <v>63.73</v>
      </c>
      <c r="P12" s="87">
        <f t="shared" si="11"/>
        <v>2282.13</v>
      </c>
      <c r="Q12" s="86">
        <v>66.63</v>
      </c>
      <c r="R12" s="87">
        <f t="shared" si="12"/>
        <v>2385.87</v>
      </c>
      <c r="S12" s="79">
        <v>28.97</v>
      </c>
      <c r="T12" s="87">
        <f t="shared" si="13"/>
        <v>1037.33</v>
      </c>
      <c r="U12">
        <f>($U$4*D12)*0.5</f>
        <v>63.73</v>
      </c>
      <c r="V12">
        <f>U12*C12</f>
        <v>2282.13</v>
      </c>
      <c r="W12">
        <f>($W$4*D12)*0.5</f>
        <v>63.73</v>
      </c>
      <c r="X12">
        <f t="shared" si="17"/>
        <v>2282.13</v>
      </c>
      <c r="Y12">
        <f>($Y$4*D12)*0.5</f>
        <v>60.83</v>
      </c>
      <c r="Z12">
        <f t="shared" si="19"/>
        <v>2178.40</v>
      </c>
      <c r="AA12">
        <f>($AA$4*D12)*0.5</f>
        <v>46.35</v>
      </c>
      <c r="AB12">
        <f t="shared" si="21"/>
        <v>1659.73</v>
      </c>
    </row>
    <row r="13" spans="2:28" s="151" customFormat="1">
      <c r="B13" s="151" t="s">
        <v>461</v>
      </c>
      <c r="C13" s="151">
        <f>SUM(F13:AB13)</f>
        <v>396408.89</v>
      </c>
      <c r="F13" s="151">
        <f>SUM(F5:F12)</f>
        <v>29110.15</v>
      </c>
      <c r="H13" s="151">
        <f>SUM(H5:H12)</f>
        <v>33426.51</v>
      </c>
      <c r="J13" s="151">
        <f t="shared" ref="J13:Z13" si="22">SUM(J5:J12)</f>
        <v>36769.16</v>
      </c>
      <c r="L13" s="151">
        <f t="shared" si="22"/>
        <v>36769.16</v>
      </c>
      <c r="N13" s="151">
        <f t="shared" si="22"/>
        <v>35097.84</v>
      </c>
      <c r="P13" s="151">
        <f t="shared" si="22"/>
        <v>36769.16</v>
      </c>
      <c r="R13" s="151">
        <f t="shared" si="22"/>
        <v>38440.49</v>
      </c>
      <c r="T13" s="151">
        <f t="shared" si="22"/>
        <v>16713.25</v>
      </c>
      <c r="V13" s="151">
        <f t="shared" si="22"/>
        <v>36208.52</v>
      </c>
      <c r="X13" s="151">
        <f>SUM(X5:X12)</f>
        <v>36208.52</v>
      </c>
      <c r="Z13" s="151">
        <f t="shared" si="22"/>
        <v>34562.68</v>
      </c>
      <c r="AB13" s="151">
        <f>SUM(AB5:AB12)</f>
        <v>26333.47</v>
      </c>
    </row>
    <row r="15" spans="2:28">
      <c r="C15" s="23">
        <f>C13/(1-36%)</f>
        <v>619388.89</v>
      </c>
      <c r="F15" s="168">
        <v>36624.94</v>
      </c>
    </row>
    <row r="16" spans="2:28">
      <c r="F16" s="168">
        <f>F15-F12-F11-F10-F9-F8-F7-F6</f>
        <v>6322.9136000000035</v>
      </c>
    </row>
    <row r="17" spans="2:22">
      <c r="B17" t="s">
        <v>462</v>
      </c>
      <c r="C17" s="134">
        <f>700000</f>
        <v>569590</v>
      </c>
      <c r="F17" s="168">
        <f>F16-H5</f>
        <v>198.59360000000379</v>
      </c>
    </row>
    <row r="18" spans="2:22">
      <c r="V18">
        <v>44998</v>
      </c>
    </row>
    <row r="19" spans="2:22">
      <c r="C19" s="135"/>
      <c r="V19">
        <f>V18/(1-36%)</f>
        <v>70308.77</v>
      </c>
    </row>
    <row r="20" spans="2:22">
      <c r="F20" s="102" t="s">
        <v>481</v>
      </c>
      <c r="G20" s="282" t="s">
        <v>482</v>
      </c>
      <c r="H20" s="102" t="s">
        <v>483</v>
      </c>
      <c r="I20" s="102" t="s">
        <v>484</v>
      </c>
      <c r="J20" s="102" t="s">
        <v>485</v>
      </c>
      <c r="K20" s="102" t="s">
        <v>486</v>
      </c>
      <c r="L20" s="102" t="s">
        <v>477</v>
      </c>
      <c r="M20" s="102" t="s">
        <v>478</v>
      </c>
      <c r="N20" s="102" t="s">
        <v>11</v>
      </c>
      <c r="V20">
        <f>V19*0.9</f>
        <v>63277.89</v>
      </c>
    </row>
    <row r="21" spans="2:22">
      <c r="F21" s="283" t="s">
        <v>473</v>
      </c>
      <c r="G21" s="102"/>
      <c r="H21" s="284" t="s">
        <v>471</v>
      </c>
      <c r="I21" s="285">
        <v>86950</v>
      </c>
      <c r="J21" s="284">
        <v>1649</v>
      </c>
      <c r="K21" s="284" t="s">
        <v>474</v>
      </c>
      <c r="L21" s="142">
        <f>I21*(1-36%)</f>
        <v>55648.23</v>
      </c>
      <c r="M21" s="100">
        <f>H5+J5+L5+N5+P5+R5+T5+V5+X5+Z5+AB5</f>
        <v>55066.12</v>
      </c>
      <c r="N21" s="142">
        <f>M21-L21</f>
        <v>-582.11</v>
      </c>
      <c r="V21">
        <f>V20*3</f>
        <v>189833.67</v>
      </c>
    </row>
    <row r="22" spans="2:22" ht="130.5">
      <c r="F22" s="283" t="s">
        <v>472</v>
      </c>
      <c r="G22" s="102"/>
      <c r="H22" s="286" t="s">
        <v>475</v>
      </c>
      <c r="I22" s="285">
        <v>258757</v>
      </c>
      <c r="J22" s="284">
        <v>1649</v>
      </c>
      <c r="K22" s="284" t="s">
        <v>474</v>
      </c>
      <c r="L22" s="142">
        <f>I22*(1-36%)</f>
        <v>165604</v>
      </c>
      <c r="M22" s="100">
        <f>F6+H6+J6+L6+N6+P6+R6+T6+V6+X6+Z6+AB6+F7+H7+J7+L7+N7+P7+R7+T7+V7+X7+Z7+AB7+F8+H8+J8+L8+N8+P8+R8+T8+V8+X8+Z8+AB8+F9+H9+J9+L9+N9+P9+R9+T9+V9+X9+Z9+AB9</f>
        <v>185236.54</v>
      </c>
      <c r="N22" s="142">
        <f>M22-L22</f>
        <v>19632.32</v>
      </c>
    </row>
    <row r="23" spans="2:22" ht="58">
      <c r="F23" s="287" t="s">
        <v>487</v>
      </c>
      <c r="G23" s="102"/>
      <c r="H23" s="278" t="s">
        <v>476</v>
      </c>
      <c r="I23" s="279">
        <v>187151</v>
      </c>
      <c r="J23" s="280">
        <v>1649</v>
      </c>
      <c r="K23" s="280" t="s">
        <v>474</v>
      </c>
      <c r="L23" s="142">
        <f>I23*(1-36%)</f>
        <v>119777</v>
      </c>
      <c r="M23" s="100">
        <f>F10+H10+J10+L10+N10+P10+R10+T10+V10+X10+Z10+AB10+F11+H11+J11+L11+N11+P11+R11+T11+V11+X11+Z11+AB11</f>
        <v>126702.34</v>
      </c>
      <c r="N23" s="142">
        <f>M23-L23</f>
        <v>6925.70</v>
      </c>
    </row>
    <row r="24" spans="2:22" ht="72.5">
      <c r="F24" s="287" t="s">
        <v>488</v>
      </c>
      <c r="G24" s="102"/>
      <c r="H24" s="278" t="s">
        <v>479</v>
      </c>
      <c r="I24" s="279">
        <v>231904</v>
      </c>
      <c r="J24" s="280">
        <v>1649</v>
      </c>
      <c r="K24" s="280" t="s">
        <v>474</v>
      </c>
      <c r="L24" s="142">
        <f>I24*(1-36%)</f>
        <v>148419</v>
      </c>
      <c r="M24" s="100">
        <f>M23+F12+H12+J12+L12+N12+P12+R12+T12+V12+X12+Z12+AB12</f>
        <v>151652.84</v>
      </c>
      <c r="N24" s="142">
        <f>M24-L24</f>
        <v>3233.96</v>
      </c>
    </row>
    <row r="25" spans="2:22" ht="72.5">
      <c r="F25" s="287" t="s">
        <v>489</v>
      </c>
      <c r="G25" s="102"/>
      <c r="H25" s="278" t="s">
        <v>480</v>
      </c>
      <c r="I25" s="281">
        <v>258757</v>
      </c>
      <c r="J25" s="280">
        <v>1649</v>
      </c>
      <c r="K25" s="280" t="s">
        <v>474</v>
      </c>
      <c r="L25" s="142">
        <f>I25*(1-36%)</f>
        <v>165604</v>
      </c>
      <c r="M25" s="142">
        <f>M24+F12+H12+J12+L12+N12+P12+R12+T12+V12+X12+Z12+AB12</f>
        <v>176603.35</v>
      </c>
      <c r="N25" s="142">
        <f>M25-L25</f>
        <v>10999.12</v>
      </c>
    </row>
    <row r="26" spans="2:22">
      <c r="I26" s="23"/>
    </row>
  </sheetData>
  <mergeCells count="12">
    <mergeCell ref="O2:P2"/>
    <mergeCell ref="E2:F2"/>
    <mergeCell ref="G2:H2"/>
    <mergeCell ref="I2:J2"/>
    <mergeCell ref="K2:L2"/>
    <mergeCell ref="M2:N2"/>
    <mergeCell ref="U2:V2"/>
    <mergeCell ref="W2:X2"/>
    <mergeCell ref="Y2:Z2"/>
    <mergeCell ref="AA2:AB2"/>
    <mergeCell ref="Q2:R2"/>
    <mergeCell ref="S2:T2"/>
  </mergeCells>
  <phoneticPr fontId="51" type="noConversion"/>
  <conditionalFormatting sqref="B5:B6">
    <cfRule type="duplicateValues" dxfId="65" priority="2"/>
  </conditionalFormatting>
  <conditionalFormatting sqref="B7:B12">
    <cfRule type="duplicateValues" dxfId="64" priority="1"/>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B5520-29F2-4BEF-ACDD-3359A4EABEAC}">
  <sheetPr codeName="Sheet3"/>
  <dimension ref="B2:Z57"/>
  <sheetViews>
    <sheetView zoomScale="53" zoomScaleNormal="53" zoomScaleSheetLayoutView="70" workbookViewId="0">
      <selection activeCell="G38" sqref="G38"/>
    </sheetView>
  </sheetViews>
  <sheetFormatPr defaultColWidth="8.81640625" defaultRowHeight="14.5"/>
  <cols>
    <col min="1" max="1" width="4.54296875" style="9" customWidth="1"/>
    <col min="2" max="2" width="11.81640625" style="9" bestFit="1" customWidth="1"/>
    <col min="3" max="3" width="13.54296875" style="9" customWidth="1"/>
    <col min="4" max="4" width="19.54296875" style="9" customWidth="1"/>
    <col min="5" max="5" width="8.1796875" style="9" customWidth="1"/>
    <col min="6" max="6" width="15.81640625" style="9" customWidth="1"/>
    <col min="7" max="7" width="20.81640625" style="9" bestFit="1" customWidth="1"/>
    <col min="8" max="8" width="26.1796875" style="9" customWidth="1"/>
    <col min="9" max="9" width="14.54296875" style="9" bestFit="1" customWidth="1"/>
    <col min="10" max="10" width="49.81640625" style="9" customWidth="1"/>
    <col min="11" max="11" width="31.1796875" style="9" customWidth="1"/>
    <col min="12" max="12" width="45.1796875" style="9" customWidth="1"/>
    <col min="13" max="15" width="19.81640625" style="9" customWidth="1"/>
    <col min="16" max="16" width="8.81640625" style="9"/>
    <col min="17" max="17" width="23.1796875" style="9" customWidth="1"/>
    <col min="18" max="18" width="15.453125" style="9" bestFit="1" customWidth="1"/>
    <col min="19" max="21" width="8.81640625" style="9"/>
    <col min="22" max="22" width="13.1796875" style="9" bestFit="1" customWidth="1"/>
    <col min="23" max="23" width="35.453125" style="9" bestFit="1" customWidth="1"/>
    <col min="24" max="24" width="14.1796875" style="9" bestFit="1" customWidth="1"/>
    <col min="25" max="25" width="11.7265625" style="9" bestFit="1" customWidth="1"/>
    <col min="26" max="26" width="11.54296875" style="9" bestFit="1" customWidth="1"/>
    <col min="27" max="16384" width="8.81640625" style="9"/>
  </cols>
  <sheetData>
    <row r="2" spans="2:18">
      <c r="B2" s="9" t="s">
        <v>22</v>
      </c>
      <c r="C2" s="9" t="s">
        <v>231</v>
      </c>
      <c r="D2" s="9" t="s">
        <v>233</v>
      </c>
      <c r="E2" s="9" t="s">
        <v>300</v>
      </c>
      <c r="F2" s="9" t="s">
        <v>80</v>
      </c>
      <c r="G2" s="9" t="s">
        <v>232</v>
      </c>
      <c r="H2" s="9" t="s">
        <v>78</v>
      </c>
      <c r="I2" s="9" t="s">
        <v>9</v>
      </c>
      <c r="J2" s="9" t="s">
        <v>24</v>
      </c>
      <c r="K2" s="9" t="s">
        <v>178</v>
      </c>
      <c r="L2" s="9" t="s">
        <v>179</v>
      </c>
      <c r="M2" s="9" t="s">
        <v>6</v>
      </c>
      <c r="N2" s="9" t="s">
        <v>76</v>
      </c>
      <c r="O2" s="9" t="s">
        <v>77</v>
      </c>
      <c r="P2" s="9" t="s">
        <v>268</v>
      </c>
      <c r="Q2" s="124" t="s">
        <v>293</v>
      </c>
      <c r="R2" s="9" t="s">
        <v>75</v>
      </c>
    </row>
    <row r="3" spans="2:18" hidden="1">
      <c r="B3" s="125" t="s">
        <v>26</v>
      </c>
      <c r="C3" s="125" t="s">
        <v>236</v>
      </c>
      <c r="D3" s="125" t="s">
        <v>237</v>
      </c>
      <c r="E3" s="125" t="s">
        <v>301</v>
      </c>
      <c r="F3" s="125"/>
      <c r="G3" s="125"/>
      <c r="H3" s="125"/>
      <c r="I3" s="9" t="s">
        <v>23</v>
      </c>
      <c r="J3" s="9" t="s">
        <v>28</v>
      </c>
      <c r="L3" s="131"/>
      <c r="M3" s="126">
        <v>82805.46</v>
      </c>
      <c r="N3" s="126">
        <v>82805.46</v>
      </c>
      <c r="O3" s="126">
        <f>Table1[[#This Row],[Revenues]]-Table1[[#This Row],[Billed]]</f>
        <v>0</v>
      </c>
      <c r="P3" s="157" t="s">
        <v>269</v>
      </c>
      <c r="Q3" s="127" t="s">
        <v>23</v>
      </c>
      <c r="R3" s="128">
        <v>323179.78</v>
      </c>
    </row>
    <row r="4" spans="2:18" ht="130.5" hidden="1">
      <c r="B4" s="125" t="s">
        <v>26</v>
      </c>
      <c r="C4" s="125" t="s">
        <v>236</v>
      </c>
      <c r="D4" s="125" t="s">
        <v>237</v>
      </c>
      <c r="E4" s="125" t="s">
        <v>301</v>
      </c>
      <c r="F4" s="125" t="s">
        <v>81</v>
      </c>
      <c r="G4" s="125"/>
      <c r="H4" s="129" t="s">
        <v>88</v>
      </c>
      <c r="I4" s="9" t="s">
        <v>23</v>
      </c>
      <c r="J4" s="9" t="s">
        <v>65</v>
      </c>
      <c r="K4" s="9" t="s">
        <v>214</v>
      </c>
      <c r="L4" s="131"/>
      <c r="M4" s="126">
        <v>24520.01</v>
      </c>
      <c r="N4" s="126">
        <v>24520.01</v>
      </c>
      <c r="O4" s="126">
        <f>Table1[[#This Row],[Revenues]]-Table1[[#This Row],[Billed]]</f>
        <v>0</v>
      </c>
      <c r="P4" s="157" t="s">
        <v>269</v>
      </c>
      <c r="Q4" s="127" t="s">
        <v>38</v>
      </c>
      <c r="R4" s="128">
        <v>530730.53</v>
      </c>
    </row>
    <row r="5" spans="2:18" ht="159.5" hidden="1">
      <c r="B5" s="125" t="s">
        <v>26</v>
      </c>
      <c r="C5" s="125" t="s">
        <v>236</v>
      </c>
      <c r="D5" s="125" t="s">
        <v>237</v>
      </c>
      <c r="E5" s="125" t="s">
        <v>301</v>
      </c>
      <c r="F5" s="125" t="s">
        <v>55</v>
      </c>
      <c r="G5" s="125"/>
      <c r="H5" s="129" t="s">
        <v>87</v>
      </c>
      <c r="I5" s="9" t="s">
        <v>23</v>
      </c>
      <c r="J5" s="9" t="s">
        <v>54</v>
      </c>
      <c r="K5" s="9" t="s">
        <v>214</v>
      </c>
      <c r="L5" s="131"/>
      <c r="M5" s="126">
        <v>49561.70</v>
      </c>
      <c r="N5" s="126">
        <v>49561.70</v>
      </c>
      <c r="O5" s="126">
        <f>Table1[[#This Row],[Revenues]]-Table1[[#This Row],[Billed]]</f>
        <v>0</v>
      </c>
      <c r="P5" s="157" t="s">
        <v>269</v>
      </c>
      <c r="Q5" s="127" t="s">
        <v>74</v>
      </c>
      <c r="R5" s="128">
        <v>853910.30</v>
      </c>
    </row>
    <row r="6" spans="2:18" hidden="1">
      <c r="B6" s="125" t="s">
        <v>66</v>
      </c>
      <c r="C6" s="125" t="s">
        <v>236</v>
      </c>
      <c r="D6" s="125" t="s">
        <v>237</v>
      </c>
      <c r="E6" s="125" t="s">
        <v>301</v>
      </c>
      <c r="F6" s="125"/>
      <c r="G6" s="125"/>
      <c r="H6" s="125"/>
      <c r="I6" s="9" t="s">
        <v>38</v>
      </c>
      <c r="J6" s="9" t="s">
        <v>28</v>
      </c>
      <c r="L6" s="131"/>
      <c r="M6" s="126">
        <v>277570.82</v>
      </c>
      <c r="N6" s="126">
        <v>277570.82</v>
      </c>
      <c r="O6" s="126">
        <f>Table1[[#This Row],[Revenues]]-Table1[[#This Row],[Billed]]</f>
        <v>0</v>
      </c>
      <c r="P6" s="157" t="s">
        <v>269</v>
      </c>
    </row>
    <row r="7" spans="2:18">
      <c r="B7" s="125" t="s">
        <v>66</v>
      </c>
      <c r="C7" s="125" t="s">
        <v>236</v>
      </c>
      <c r="D7" s="125" t="s">
        <v>237</v>
      </c>
      <c r="E7" s="125" t="s">
        <v>301</v>
      </c>
      <c r="F7" s="125" t="s">
        <v>52</v>
      </c>
      <c r="G7" s="125" t="s">
        <v>86</v>
      </c>
      <c r="H7" s="125" t="s">
        <v>85</v>
      </c>
      <c r="I7" s="9" t="s">
        <v>38</v>
      </c>
      <c r="J7" s="9" t="s">
        <v>82</v>
      </c>
      <c r="K7" s="9" t="s">
        <v>208</v>
      </c>
      <c r="L7" s="131"/>
      <c r="M7" s="126">
        <v>71038.40</v>
      </c>
      <c r="N7" s="126">
        <v>71038.40</v>
      </c>
      <c r="O7" s="126">
        <f>Table1[[#This Row],[Revenues]]-Table1[[#This Row],[Billed]]</f>
        <v>0</v>
      </c>
      <c r="P7" s="157" t="s">
        <v>269</v>
      </c>
    </row>
    <row r="8" spans="2:18">
      <c r="B8" s="125" t="s">
        <v>66</v>
      </c>
      <c r="C8" s="125" t="s">
        <v>236</v>
      </c>
      <c r="D8" s="125" t="s">
        <v>237</v>
      </c>
      <c r="E8" s="125" t="s">
        <v>301</v>
      </c>
      <c r="F8" s="125" t="s">
        <v>52</v>
      </c>
      <c r="G8" s="125" t="s">
        <v>84</v>
      </c>
      <c r="H8" s="127">
        <v>7874793163</v>
      </c>
      <c r="I8" s="9" t="s">
        <v>38</v>
      </c>
      <c r="J8" s="9" t="s">
        <v>83</v>
      </c>
      <c r="K8" s="9" t="s">
        <v>208</v>
      </c>
      <c r="L8" s="131"/>
      <c r="M8" s="126">
        <v>16945.90</v>
      </c>
      <c r="N8" s="126">
        <v>16945.90</v>
      </c>
      <c r="O8" s="126">
        <f>Table1[[#This Row],[Revenues]]-Table1[[#This Row],[Billed]]</f>
        <v>0</v>
      </c>
      <c r="P8" s="157" t="s">
        <v>269</v>
      </c>
    </row>
    <row r="9" spans="2:18">
      <c r="B9" s="125">
        <v>8874098591</v>
      </c>
      <c r="C9" s="125" t="s">
        <v>236</v>
      </c>
      <c r="D9" s="125" t="s">
        <v>237</v>
      </c>
      <c r="E9" s="125" t="s">
        <v>301</v>
      </c>
      <c r="F9" s="125" t="s">
        <v>51</v>
      </c>
      <c r="G9" s="9" t="s">
        <v>90</v>
      </c>
      <c r="H9" s="125" t="s">
        <v>89</v>
      </c>
      <c r="I9" s="9" t="s">
        <v>38</v>
      </c>
      <c r="J9" s="9" t="s">
        <v>67</v>
      </c>
      <c r="K9" s="9" t="s">
        <v>220</v>
      </c>
      <c r="L9" s="131"/>
      <c r="M9" s="126">
        <v>19360.03</v>
      </c>
      <c r="N9" s="126">
        <v>19360.03</v>
      </c>
      <c r="O9" s="126">
        <f>Table1[[#This Row],[Revenues]]-Table1[[#This Row],[Billed]]</f>
        <v>0</v>
      </c>
      <c r="P9" s="157" t="s">
        <v>269</v>
      </c>
    </row>
    <row r="10" spans="2:18">
      <c r="B10" s="125">
        <v>8874098591</v>
      </c>
      <c r="C10" s="125" t="s">
        <v>236</v>
      </c>
      <c r="D10" s="125" t="s">
        <v>237</v>
      </c>
      <c r="E10" s="125" t="s">
        <v>301</v>
      </c>
      <c r="F10" s="125" t="s">
        <v>95</v>
      </c>
      <c r="G10" s="9" t="s">
        <v>97</v>
      </c>
      <c r="H10" s="125" t="s">
        <v>96</v>
      </c>
      <c r="I10" s="9" t="s">
        <v>38</v>
      </c>
      <c r="J10" s="9" t="s">
        <v>91</v>
      </c>
      <c r="K10" s="9" t="s">
        <v>208</v>
      </c>
      <c r="L10" s="131"/>
      <c r="M10" s="126">
        <v>14014.15</v>
      </c>
      <c r="N10" s="126">
        <v>14014.15</v>
      </c>
      <c r="O10" s="126">
        <f>Table1[[#This Row],[Revenues]]-Table1[[#This Row],[Billed]]</f>
        <v>0</v>
      </c>
      <c r="P10" s="157" t="s">
        <v>269</v>
      </c>
    </row>
    <row r="11" spans="2:18">
      <c r="B11" s="125">
        <v>8874098591</v>
      </c>
      <c r="C11" s="125" t="s">
        <v>236</v>
      </c>
      <c r="D11" s="125" t="s">
        <v>237</v>
      </c>
      <c r="E11" s="125" t="s">
        <v>301</v>
      </c>
      <c r="F11" s="125" t="s">
        <v>93</v>
      </c>
      <c r="G11" s="9" t="s">
        <v>94</v>
      </c>
      <c r="H11" s="125">
        <v>6746488184</v>
      </c>
      <c r="I11" s="9" t="s">
        <v>38</v>
      </c>
      <c r="J11" s="9" t="s">
        <v>92</v>
      </c>
      <c r="K11" s="9" t="s">
        <v>208</v>
      </c>
      <c r="L11" s="131"/>
      <c r="M11" s="126">
        <v>14776.17</v>
      </c>
      <c r="N11" s="126">
        <v>14776.17</v>
      </c>
      <c r="O11" s="126">
        <f>Table1[[#This Row],[Revenues]]-Table1[[#This Row],[Billed]]</f>
        <v>0</v>
      </c>
      <c r="P11" s="157" t="s">
        <v>269</v>
      </c>
    </row>
    <row r="12" spans="2:18">
      <c r="B12" s="125">
        <v>8874098591</v>
      </c>
      <c r="C12" s="125" t="s">
        <v>236</v>
      </c>
      <c r="D12" s="125" t="s">
        <v>237</v>
      </c>
      <c r="E12" s="125" t="s">
        <v>301</v>
      </c>
      <c r="F12" s="125" t="s">
        <v>167</v>
      </c>
      <c r="G12" s="125" t="s">
        <v>166</v>
      </c>
      <c r="H12" s="125" t="s">
        <v>165</v>
      </c>
      <c r="I12" s="9" t="s">
        <v>38</v>
      </c>
      <c r="J12" s="9" t="s">
        <v>164</v>
      </c>
      <c r="K12" s="9" t="s">
        <v>208</v>
      </c>
      <c r="L12" s="131"/>
      <c r="M12" s="126">
        <v>28957</v>
      </c>
      <c r="N12" s="126">
        <v>28957</v>
      </c>
      <c r="O12" s="126">
        <f>Table1[[#This Row],[Revenues]]-Table1[[#This Row],[Billed]]</f>
        <v>0</v>
      </c>
      <c r="P12" s="157" t="s">
        <v>269</v>
      </c>
    </row>
    <row r="13" spans="2:18" hidden="1">
      <c r="B13" s="125" t="s">
        <v>26</v>
      </c>
      <c r="C13" s="125" t="s">
        <v>236</v>
      </c>
      <c r="D13" s="125" t="s">
        <v>237</v>
      </c>
      <c r="E13" s="125" t="s">
        <v>301</v>
      </c>
      <c r="F13" s="125" t="s">
        <v>60</v>
      </c>
      <c r="G13" s="125"/>
      <c r="H13" s="125" t="s">
        <v>137</v>
      </c>
      <c r="I13" s="9" t="s">
        <v>23</v>
      </c>
      <c r="J13" s="9" t="s">
        <v>59</v>
      </c>
      <c r="K13" s="9" t="s">
        <v>214</v>
      </c>
      <c r="L13" s="131"/>
      <c r="M13" s="126">
        <v>39997</v>
      </c>
      <c r="N13" s="126">
        <v>39997</v>
      </c>
      <c r="O13" s="126">
        <f>Table1[[#This Row],[Revenues]]-Table1[[#This Row],[Billed]]</f>
        <v>0</v>
      </c>
      <c r="P13" s="157" t="s">
        <v>269</v>
      </c>
    </row>
    <row r="14" spans="2:18" hidden="1">
      <c r="B14" s="125" t="s">
        <v>26</v>
      </c>
      <c r="C14" s="125" t="s">
        <v>236</v>
      </c>
      <c r="D14" s="125" t="s">
        <v>237</v>
      </c>
      <c r="E14" s="125" t="s">
        <v>301</v>
      </c>
      <c r="F14" s="125" t="s">
        <v>107</v>
      </c>
      <c r="G14" s="125"/>
      <c r="H14" s="125" t="s">
        <v>137</v>
      </c>
      <c r="I14" s="9" t="s">
        <v>23</v>
      </c>
      <c r="J14" s="9" t="s">
        <v>106</v>
      </c>
      <c r="K14" s="9" t="s">
        <v>214</v>
      </c>
      <c r="L14" s="131"/>
      <c r="M14" s="126">
        <v>23911.35</v>
      </c>
      <c r="N14" s="126">
        <v>23911.35</v>
      </c>
      <c r="O14" s="126">
        <f>Table1[[#This Row],[Revenues]]-Table1[[#This Row],[Billed]]</f>
        <v>0</v>
      </c>
      <c r="P14" s="157" t="s">
        <v>269</v>
      </c>
    </row>
    <row r="15" spans="2:18" hidden="1">
      <c r="B15" s="125" t="s">
        <v>26</v>
      </c>
      <c r="C15" s="125" t="s">
        <v>236</v>
      </c>
      <c r="D15" s="125" t="s">
        <v>237</v>
      </c>
      <c r="E15" s="125" t="s">
        <v>301</v>
      </c>
      <c r="F15" s="125" t="s">
        <v>136</v>
      </c>
      <c r="G15" s="125"/>
      <c r="H15" s="125" t="s">
        <v>137</v>
      </c>
      <c r="I15" s="9" t="s">
        <v>23</v>
      </c>
      <c r="J15" s="9" t="s">
        <v>135</v>
      </c>
      <c r="K15" s="9" t="s">
        <v>214</v>
      </c>
      <c r="L15" s="131"/>
      <c r="M15" s="126">
        <v>34780.14</v>
      </c>
      <c r="N15" s="126">
        <v>34780.14</v>
      </c>
      <c r="O15" s="126">
        <f>Table1[[#This Row],[Revenues]]-Table1[[#This Row],[Billed]]</f>
        <v>0</v>
      </c>
      <c r="P15" s="157" t="s">
        <v>269</v>
      </c>
      <c r="Q15" s="128">
        <f>M18-29902.24</f>
        <v>18</v>
      </c>
    </row>
    <row r="16" spans="2:18" hidden="1">
      <c r="B16" s="125" t="s">
        <v>26</v>
      </c>
      <c r="C16" s="125" t="s">
        <v>236</v>
      </c>
      <c r="D16" s="125" t="s">
        <v>237</v>
      </c>
      <c r="E16" s="125" t="s">
        <v>301</v>
      </c>
      <c r="F16" s="125" t="s">
        <v>132</v>
      </c>
      <c r="G16" s="125"/>
      <c r="H16" s="125" t="s">
        <v>137</v>
      </c>
      <c r="I16" s="9" t="s">
        <v>23</v>
      </c>
      <c r="J16" s="9" t="s">
        <v>154</v>
      </c>
      <c r="K16" s="9" t="s">
        <v>214</v>
      </c>
      <c r="L16" s="131"/>
      <c r="M16" s="126">
        <v>25215.59</v>
      </c>
      <c r="N16" s="126">
        <v>25215.59</v>
      </c>
      <c r="O16" s="126">
        <f>Table1[[#This Row],[Revenues]]-Table1[[#This Row],[Billed]]</f>
        <v>0</v>
      </c>
      <c r="P16" s="157" t="s">
        <v>269</v>
      </c>
    </row>
    <row r="17" spans="2:22" ht="28" hidden="1" customHeight="1">
      <c r="B17" s="125" t="s">
        <v>26</v>
      </c>
      <c r="C17" s="125" t="s">
        <v>236</v>
      </c>
      <c r="D17" s="125" t="s">
        <v>237</v>
      </c>
      <c r="E17" s="125" t="s">
        <v>301</v>
      </c>
      <c r="F17" s="125" t="s">
        <v>156</v>
      </c>
      <c r="G17" s="125"/>
      <c r="H17" s="125" t="s">
        <v>137</v>
      </c>
      <c r="I17" s="9" t="s">
        <v>23</v>
      </c>
      <c r="J17" s="9" t="s">
        <v>155</v>
      </c>
      <c r="K17" s="9" t="s">
        <v>214</v>
      </c>
      <c r="L17" s="131"/>
      <c r="M17" s="126">
        <v>18042.20</v>
      </c>
      <c r="N17" s="126">
        <v>18042.20</v>
      </c>
      <c r="O17" s="126">
        <f>Table1[[#This Row],[Revenues]]-Table1[[#This Row],[Billed]]</f>
        <v>0</v>
      </c>
      <c r="P17" s="157" t="s">
        <v>269</v>
      </c>
      <c r="Q17" s="9">
        <v>8213928156</v>
      </c>
    </row>
    <row r="18" spans="2:22" hidden="1">
      <c r="B18" s="125" t="s">
        <v>26</v>
      </c>
      <c r="C18" s="125" t="s">
        <v>236</v>
      </c>
      <c r="D18" s="125" t="s">
        <v>237</v>
      </c>
      <c r="E18" s="125" t="s">
        <v>301</v>
      </c>
      <c r="F18" s="125" t="s">
        <v>158</v>
      </c>
      <c r="G18" s="125"/>
      <c r="H18" s="125" t="s">
        <v>168</v>
      </c>
      <c r="I18" s="9" t="s">
        <v>23</v>
      </c>
      <c r="J18" s="9" t="s">
        <v>157</v>
      </c>
      <c r="K18" s="9" t="s">
        <v>214</v>
      </c>
      <c r="L18" s="131"/>
      <c r="M18" s="126">
        <v>24346.10</v>
      </c>
      <c r="N18" s="126">
        <v>24346.10</v>
      </c>
      <c r="O18" s="128">
        <f>Table1[[#This Row],[Revenues]]-Table1[[#This Row],[Billed]]</f>
        <v>0</v>
      </c>
      <c r="P18" s="157" t="s">
        <v>269</v>
      </c>
      <c r="Q18" s="9">
        <v>0004382557</v>
      </c>
    </row>
    <row r="19" spans="2:22">
      <c r="B19" s="125">
        <v>8874098591</v>
      </c>
      <c r="C19" s="125" t="s">
        <v>236</v>
      </c>
      <c r="D19" s="125" t="s">
        <v>237</v>
      </c>
      <c r="E19" s="125" t="s">
        <v>301</v>
      </c>
      <c r="F19" s="125" t="s">
        <v>159</v>
      </c>
      <c r="G19" s="125" t="s">
        <v>161</v>
      </c>
      <c r="H19" s="125" t="s">
        <v>160</v>
      </c>
      <c r="I19" s="9" t="s">
        <v>38</v>
      </c>
      <c r="J19" s="130" t="s">
        <v>153</v>
      </c>
      <c r="K19" s="130" t="s">
        <v>213</v>
      </c>
      <c r="L19" s="132"/>
      <c r="M19" s="126">
        <v>46601</v>
      </c>
      <c r="N19" s="126">
        <v>46601</v>
      </c>
      <c r="O19" s="128">
        <f>Table1[[#This Row],[Revenues]]-Table1[[#This Row],[Billed]]</f>
        <v>0</v>
      </c>
      <c r="P19" s="157" t="s">
        <v>269</v>
      </c>
    </row>
    <row r="20" spans="2:22">
      <c r="B20" s="125" t="s">
        <v>66</v>
      </c>
      <c r="C20" s="125" t="s">
        <v>236</v>
      </c>
      <c r="D20" s="125" t="s">
        <v>237</v>
      </c>
      <c r="E20" s="125" t="s">
        <v>301</v>
      </c>
      <c r="F20" s="125" t="s">
        <v>149</v>
      </c>
      <c r="G20" s="125" t="s">
        <v>162</v>
      </c>
      <c r="H20" s="125" t="s">
        <v>163</v>
      </c>
      <c r="I20" s="9" t="s">
        <v>38</v>
      </c>
      <c r="J20" s="9" t="s">
        <v>147</v>
      </c>
      <c r="K20" s="9" t="s">
        <v>210</v>
      </c>
      <c r="L20" s="131"/>
      <c r="M20" s="126">
        <v>41466.50</v>
      </c>
      <c r="N20" s="126">
        <v>41466.50</v>
      </c>
      <c r="O20" s="128">
        <f>Table1[[#This Row],[Revenues]]-Table1[[#This Row],[Billed]]</f>
        <v>0</v>
      </c>
      <c r="P20" s="157" t="s">
        <v>269</v>
      </c>
    </row>
    <row r="21" spans="2:22" ht="29" hidden="1">
      <c r="B21" s="127">
        <v>8847590668</v>
      </c>
      <c r="C21" s="125" t="s">
        <v>236</v>
      </c>
      <c r="D21" s="125" t="s">
        <v>237</v>
      </c>
      <c r="E21" s="125" t="s">
        <v>301</v>
      </c>
      <c r="F21" s="125"/>
      <c r="G21" s="125" t="s">
        <v>173</v>
      </c>
      <c r="H21" s="125"/>
      <c r="I21" s="9" t="s">
        <v>171</v>
      </c>
      <c r="J21" s="9" t="s">
        <v>172</v>
      </c>
      <c r="K21" s="9" t="s">
        <v>208</v>
      </c>
      <c r="L21" s="131" t="s">
        <v>221</v>
      </c>
      <c r="M21" s="126">
        <v>88924.04</v>
      </c>
      <c r="N21" s="126">
        <v>88924.04</v>
      </c>
      <c r="O21" s="128">
        <f>Table1[[#This Row],[Revenues]]-Table1[[#This Row],[Billed]]</f>
        <v>0</v>
      </c>
      <c r="P21" s="157" t="s">
        <v>269</v>
      </c>
      <c r="Q21" s="128"/>
    </row>
    <row r="22" spans="2:22" ht="58.5" hidden="1" customHeight="1">
      <c r="B22" s="125" t="s">
        <v>26</v>
      </c>
      <c r="C22" s="125" t="s">
        <v>236</v>
      </c>
      <c r="D22" s="125" t="s">
        <v>237</v>
      </c>
      <c r="E22" s="125" t="s">
        <v>301</v>
      </c>
      <c r="F22" s="125" t="s">
        <v>156</v>
      </c>
      <c r="G22" s="125"/>
      <c r="H22" s="125" t="s">
        <v>137</v>
      </c>
      <c r="I22" s="9" t="s">
        <v>23</v>
      </c>
      <c r="J22" s="9" t="s">
        <v>174</v>
      </c>
      <c r="K22" s="9" t="s">
        <v>214</v>
      </c>
      <c r="L22" s="131"/>
      <c r="M22" s="126">
        <v>20651</v>
      </c>
      <c r="N22" s="126">
        <v>20651</v>
      </c>
      <c r="O22" s="128">
        <f>Table1[[#This Row],[Revenues]]-Table1[[#This Row],[Billed]]</f>
        <v>0</v>
      </c>
      <c r="P22" s="157" t="s">
        <v>269</v>
      </c>
      <c r="Q22" s="9">
        <v>8579626518</v>
      </c>
    </row>
    <row r="23" spans="2:22" ht="29">
      <c r="B23" s="125" t="s">
        <v>66</v>
      </c>
      <c r="C23" s="125" t="s">
        <v>236</v>
      </c>
      <c r="D23" s="125" t="s">
        <v>237</v>
      </c>
      <c r="E23" s="125" t="s">
        <v>301</v>
      </c>
      <c r="F23" s="125" t="s">
        <v>234</v>
      </c>
      <c r="G23" s="125" t="s">
        <v>223</v>
      </c>
      <c r="H23" s="125" t="s">
        <v>224</v>
      </c>
      <c r="I23" s="9" t="s">
        <v>38</v>
      </c>
      <c r="J23" s="125" t="s">
        <v>222</v>
      </c>
      <c r="K23" s="9" t="s">
        <v>208</v>
      </c>
      <c r="L23" s="131" t="s">
        <v>245</v>
      </c>
      <c r="M23" s="126">
        <v>47026.26</v>
      </c>
      <c r="N23" s="126">
        <v>47026.26</v>
      </c>
      <c r="O23" s="128">
        <f>Table1[[#This Row],[Revenues]]-Table1[[#This Row],[Billed]]</f>
        <v>0</v>
      </c>
      <c r="P23" s="157" t="s">
        <v>269</v>
      </c>
      <c r="Q23" s="9">
        <v>6590475195</v>
      </c>
    </row>
    <row r="24" spans="2:22" ht="29">
      <c r="B24" s="125">
        <v>8874098591</v>
      </c>
      <c r="C24" s="125" t="s">
        <v>236</v>
      </c>
      <c r="D24" s="125" t="s">
        <v>237</v>
      </c>
      <c r="E24" s="125" t="s">
        <v>301</v>
      </c>
      <c r="F24" s="125" t="s">
        <v>225</v>
      </c>
      <c r="G24" s="125" t="s">
        <v>227</v>
      </c>
      <c r="H24" s="125" t="s">
        <v>226</v>
      </c>
      <c r="I24" s="9" t="s">
        <v>38</v>
      </c>
      <c r="J24" s="9" t="s">
        <v>215</v>
      </c>
      <c r="K24" s="9" t="s">
        <v>208</v>
      </c>
      <c r="L24" s="131" t="s">
        <v>245</v>
      </c>
      <c r="M24" s="126">
        <v>72971.78</v>
      </c>
      <c r="N24" s="126">
        <v>72971.78</v>
      </c>
      <c r="O24" s="128">
        <f>Table1[[#This Row],[Revenues]]-Table1[[#This Row],[Billed]]</f>
        <v>0</v>
      </c>
      <c r="P24" s="157" t="s">
        <v>269</v>
      </c>
      <c r="Q24" s="9">
        <v>0782518148</v>
      </c>
    </row>
    <row r="25" spans="2:22" ht="29">
      <c r="B25" s="125" t="s">
        <v>66</v>
      </c>
      <c r="C25" s="125" t="s">
        <v>236</v>
      </c>
      <c r="D25" s="125" t="s">
        <v>237</v>
      </c>
      <c r="E25" s="125" t="s">
        <v>301</v>
      </c>
      <c r="F25" s="125" t="s">
        <v>228</v>
      </c>
      <c r="G25" s="125" t="s">
        <v>246</v>
      </c>
      <c r="H25" s="125" t="s">
        <v>230</v>
      </c>
      <c r="I25" s="9" t="s">
        <v>38</v>
      </c>
      <c r="J25" s="9" t="s">
        <v>229</v>
      </c>
      <c r="K25" s="9" t="s">
        <v>213</v>
      </c>
      <c r="L25" s="131" t="s">
        <v>245</v>
      </c>
      <c r="M25" s="126">
        <v>32762.06</v>
      </c>
      <c r="N25" s="126">
        <v>32762.06</v>
      </c>
      <c r="O25" s="128">
        <f>Table1[[#This Row],[Revenues]]-Table1[[#This Row],[Billed]]</f>
        <v>0</v>
      </c>
      <c r="P25" s="157" t="s">
        <v>269</v>
      </c>
    </row>
    <row r="26" spans="2:22" ht="130" customHeight="1">
      <c r="B26" s="125" t="s">
        <v>66</v>
      </c>
      <c r="C26" s="125" t="s">
        <v>236</v>
      </c>
      <c r="D26" s="125" t="s">
        <v>287</v>
      </c>
      <c r="E26" s="125" t="s">
        <v>301</v>
      </c>
      <c r="F26" s="125" t="s">
        <v>141</v>
      </c>
      <c r="G26" s="125" t="s">
        <v>383</v>
      </c>
      <c r="H26" s="125" t="s">
        <v>307</v>
      </c>
      <c r="I26" s="9" t="s">
        <v>38</v>
      </c>
      <c r="J26" s="9" t="s">
        <v>267</v>
      </c>
      <c r="K26" s="9" t="s">
        <v>272</v>
      </c>
      <c r="L26" s="131" t="s">
        <v>657</v>
      </c>
      <c r="M26" s="126">
        <v>317419.04</v>
      </c>
      <c r="N26" s="126">
        <f>65015.58+32507.79+32507.78+32507.79+32507.79</f>
        <v>158709.52</v>
      </c>
      <c r="O26" s="128">
        <f>Table1[[#This Row],[Revenues]]-Table1[[#This Row],[Billed]]</f>
        <v>158709.52</v>
      </c>
      <c r="Q26" s="216" t="s">
        <v>662</v>
      </c>
      <c r="R26" s="128"/>
      <c r="V26" s="128"/>
    </row>
    <row r="27" spans="2:22">
      <c r="B27" s="125" t="s">
        <v>66</v>
      </c>
      <c r="C27" s="125" t="s">
        <v>236</v>
      </c>
      <c r="D27" s="125" t="s">
        <v>237</v>
      </c>
      <c r="E27" s="125" t="s">
        <v>301</v>
      </c>
      <c r="F27" s="125" t="s">
        <v>288</v>
      </c>
      <c r="G27" s="125" t="s">
        <v>355</v>
      </c>
      <c r="H27" s="125" t="s">
        <v>395</v>
      </c>
      <c r="I27" s="9" t="s">
        <v>38</v>
      </c>
      <c r="J27" s="9" t="s">
        <v>279</v>
      </c>
      <c r="K27" s="9" t="s">
        <v>208</v>
      </c>
      <c r="L27" s="131" t="s">
        <v>396</v>
      </c>
      <c r="M27" s="208">
        <v>32170.55</v>
      </c>
      <c r="N27" s="128">
        <f ca="1">Table1[[#This Row],[Revenues]]-Table1[[#This Row],[Billed]]</f>
        <v>26177.18</v>
      </c>
      <c r="O27" s="128">
        <f ca="1">Table1[[#This Row],[Revenues]]-Table1[[#This Row],[Billed]]</f>
        <v>0</v>
      </c>
      <c r="P27" s="157" t="s">
        <v>269</v>
      </c>
      <c r="Q27" s="220">
        <v>5739621652</v>
      </c>
      <c r="R27" s="128"/>
    </row>
    <row r="28" spans="2:22" ht="14.5" hidden="1" customHeight="1">
      <c r="B28" s="125" t="s">
        <v>26</v>
      </c>
      <c r="C28" s="125" t="s">
        <v>236</v>
      </c>
      <c r="D28" s="125" t="s">
        <v>237</v>
      </c>
      <c r="E28" s="125"/>
      <c r="F28" s="125" t="s">
        <v>260</v>
      </c>
      <c r="G28" s="129"/>
      <c r="H28" s="125" t="s">
        <v>137</v>
      </c>
      <c r="I28" s="9" t="s">
        <v>23</v>
      </c>
      <c r="J28" s="9" t="s">
        <v>258</v>
      </c>
      <c r="K28" s="9" t="s">
        <v>214</v>
      </c>
      <c r="L28" s="131" t="s">
        <v>259</v>
      </c>
      <c r="M28" s="126">
        <v>35867.01</v>
      </c>
      <c r="N28" s="126">
        <v>35867.01</v>
      </c>
      <c r="O28" s="128">
        <f>Table1[[#This Row],[Revenues]]-Table1[[#This Row],[Billed]]</f>
        <v>0</v>
      </c>
      <c r="P28" s="157" t="s">
        <v>269</v>
      </c>
      <c r="V28" s="128"/>
    </row>
    <row r="29" spans="2:22" ht="29" hidden="1">
      <c r="B29" s="125" t="s">
        <v>251</v>
      </c>
      <c r="C29" s="125" t="s">
        <v>236</v>
      </c>
      <c r="D29" s="125" t="s">
        <v>237</v>
      </c>
      <c r="E29" s="125"/>
      <c r="F29" s="125"/>
      <c r="G29" s="125" t="s">
        <v>242</v>
      </c>
      <c r="H29" s="125" t="s">
        <v>241</v>
      </c>
      <c r="I29" s="9" t="s">
        <v>238</v>
      </c>
      <c r="J29" s="9" t="s">
        <v>239</v>
      </c>
      <c r="K29" s="9" t="s">
        <v>208</v>
      </c>
      <c r="L29" s="131" t="s">
        <v>252</v>
      </c>
      <c r="M29" s="126">
        <v>100012.37</v>
      </c>
      <c r="N29" s="126">
        <v>100012.37</v>
      </c>
      <c r="O29" s="128">
        <f>Table1[[#This Row],[Revenues]]-Table1[[#This Row],[Billed]]</f>
        <v>0</v>
      </c>
      <c r="P29" s="157" t="s">
        <v>269</v>
      </c>
    </row>
    <row r="30" spans="2:22" ht="78" hidden="1" customHeight="1">
      <c r="B30" s="125" t="s">
        <v>251</v>
      </c>
      <c r="C30" s="125" t="s">
        <v>236</v>
      </c>
      <c r="D30" s="125" t="s">
        <v>237</v>
      </c>
      <c r="E30" s="125"/>
      <c r="F30" s="125"/>
      <c r="G30" s="125" t="s">
        <v>247</v>
      </c>
      <c r="H30" s="125" t="s">
        <v>235</v>
      </c>
      <c r="I30" s="9" t="s">
        <v>238</v>
      </c>
      <c r="J30" s="9" t="s">
        <v>205</v>
      </c>
      <c r="K30" s="9" t="s">
        <v>209</v>
      </c>
      <c r="L30" s="131" t="s">
        <v>275</v>
      </c>
      <c r="M30" s="126">
        <v>22229.68</v>
      </c>
      <c r="N30" s="126">
        <v>22229.68</v>
      </c>
      <c r="O30" s="128">
        <f>Table1[[#This Row],[Revenues]]-Table1[[#This Row],[Billed]]</f>
        <v>0</v>
      </c>
      <c r="P30" s="157" t="s">
        <v>269</v>
      </c>
    </row>
    <row r="31" spans="2:22" ht="29" hidden="1">
      <c r="B31" s="125" t="s">
        <v>251</v>
      </c>
      <c r="C31" s="125" t="s">
        <v>236</v>
      </c>
      <c r="D31" s="125" t="s">
        <v>237</v>
      </c>
      <c r="E31" s="125"/>
      <c r="F31" s="125"/>
      <c r="G31" s="129" t="s">
        <v>244</v>
      </c>
      <c r="H31" s="129" t="s">
        <v>243</v>
      </c>
      <c r="I31" s="9" t="s">
        <v>238</v>
      </c>
      <c r="J31" s="9" t="s">
        <v>211</v>
      </c>
      <c r="K31" s="9" t="s">
        <v>240</v>
      </c>
      <c r="L31" s="131" t="s">
        <v>273</v>
      </c>
      <c r="N31" s="126"/>
      <c r="O31" s="128">
        <f>Table1[[#This Row],[Revenues]]-Table1[[#This Row],[Billed]]</f>
        <v>0</v>
      </c>
      <c r="P31" s="157" t="s">
        <v>269</v>
      </c>
      <c r="Q31" s="206"/>
    </row>
    <row r="32" spans="2:22" ht="72.5" hidden="1">
      <c r="B32" s="125">
        <v>8871789615</v>
      </c>
      <c r="C32" s="131" t="s">
        <v>236</v>
      </c>
      <c r="D32" s="131" t="s">
        <v>237</v>
      </c>
      <c r="E32" s="131" t="s">
        <v>301</v>
      </c>
      <c r="F32" s="125" t="s">
        <v>290</v>
      </c>
      <c r="G32" s="131"/>
      <c r="H32" s="131" t="s">
        <v>137</v>
      </c>
      <c r="I32" s="131" t="s">
        <v>23</v>
      </c>
      <c r="J32" s="131" t="s">
        <v>270</v>
      </c>
      <c r="K32" s="131" t="s">
        <v>214</v>
      </c>
      <c r="L32" s="131" t="s">
        <v>259</v>
      </c>
      <c r="M32" s="126">
        <v>35432.28</v>
      </c>
      <c r="N32" s="126">
        <v>35432.28</v>
      </c>
      <c r="O32" s="128">
        <f>Table1[[#This Row],[Revenues]]-Table1[[#This Row],[Billed]]</f>
        <v>0</v>
      </c>
      <c r="P32" s="218" t="s">
        <v>269</v>
      </c>
      <c r="R32" s="128"/>
    </row>
    <row r="33" spans="2:26" ht="58" hidden="1">
      <c r="B33" s="125">
        <v>8871789615</v>
      </c>
      <c r="C33" s="125" t="s">
        <v>236</v>
      </c>
      <c r="D33" s="125" t="s">
        <v>237</v>
      </c>
      <c r="E33" s="125" t="s">
        <v>301</v>
      </c>
      <c r="F33" s="125" t="s">
        <v>322</v>
      </c>
      <c r="G33" s="125"/>
      <c r="H33" s="125" t="s">
        <v>348</v>
      </c>
      <c r="I33" s="9" t="s">
        <v>23</v>
      </c>
      <c r="J33" s="9" t="s">
        <v>323</v>
      </c>
      <c r="K33" s="9" t="s">
        <v>214</v>
      </c>
      <c r="L33" s="131" t="s">
        <v>413</v>
      </c>
      <c r="M33" s="169">
        <v>19430.12</v>
      </c>
      <c r="N33" s="169">
        <v>19430.12</v>
      </c>
      <c r="O33" s="128">
        <f>Table1[[#This Row],[Revenues]]-Table1[[#This Row],[Billed]]</f>
        <v>0</v>
      </c>
      <c r="P33" s="218" t="s">
        <v>269</v>
      </c>
      <c r="Q33" s="131" t="s">
        <v>416</v>
      </c>
      <c r="R33" s="128"/>
    </row>
    <row r="34" spans="2:26" ht="43.5" hidden="1">
      <c r="B34" s="125" t="s">
        <v>26</v>
      </c>
      <c r="C34" s="125" t="s">
        <v>236</v>
      </c>
      <c r="D34" s="125" t="s">
        <v>237</v>
      </c>
      <c r="E34" s="125" t="s">
        <v>301</v>
      </c>
      <c r="F34" s="125" t="s">
        <v>261</v>
      </c>
      <c r="G34" s="129"/>
      <c r="H34" s="125" t="s">
        <v>284</v>
      </c>
      <c r="I34" s="9" t="s">
        <v>23</v>
      </c>
      <c r="J34" s="9" t="s">
        <v>299</v>
      </c>
      <c r="K34" s="9" t="s">
        <v>214</v>
      </c>
      <c r="L34" s="131" t="s">
        <v>303</v>
      </c>
      <c r="M34" s="126">
        <v>126273.17</v>
      </c>
      <c r="N34" s="126">
        <v>126273.17</v>
      </c>
      <c r="O34" s="128">
        <f>Table1[[#This Row],[Revenues]]-Table1[[#This Row],[Billed]]</f>
        <v>0</v>
      </c>
      <c r="P34" s="218" t="s">
        <v>269</v>
      </c>
      <c r="Q34" s="131" t="s">
        <v>353</v>
      </c>
    </row>
    <row r="35" spans="2:26" hidden="1">
      <c r="B35" s="125" t="s">
        <v>26</v>
      </c>
      <c r="C35" s="125" t="s">
        <v>236</v>
      </c>
      <c r="D35" s="125" t="s">
        <v>237</v>
      </c>
      <c r="E35" s="125" t="s">
        <v>301</v>
      </c>
      <c r="F35" s="125" t="s">
        <v>321</v>
      </c>
      <c r="G35" s="129"/>
      <c r="H35" t="s">
        <v>332</v>
      </c>
      <c r="I35" s="9" t="s">
        <v>23</v>
      </c>
      <c r="J35" s="9" t="s">
        <v>310</v>
      </c>
      <c r="K35" s="9" t="s">
        <v>214</v>
      </c>
      <c r="L35" s="131" t="s">
        <v>380</v>
      </c>
      <c r="M35" s="126">
        <v>119215.06</v>
      </c>
      <c r="N35" s="126">
        <v>119215.06</v>
      </c>
      <c r="O35" s="128">
        <f>Table1[[#This Row],[Revenues]]-Table1[[#This Row],[Billed]]</f>
        <v>0</v>
      </c>
      <c r="P35" s="218" t="s">
        <v>269</v>
      </c>
      <c r="Q35" s="127">
        <v>0678377341</v>
      </c>
    </row>
    <row r="36" spans="2:26">
      <c r="B36" s="125" t="s">
        <v>66</v>
      </c>
      <c r="C36" s="125" t="s">
        <v>236</v>
      </c>
      <c r="D36" s="125" t="s">
        <v>237</v>
      </c>
      <c r="E36" s="125" t="s">
        <v>301</v>
      </c>
      <c r="F36" s="125" t="s">
        <v>329</v>
      </c>
      <c r="G36" s="125" t="s">
        <v>319</v>
      </c>
      <c r="H36" s="125" t="s">
        <v>336</v>
      </c>
      <c r="I36" s="9" t="s">
        <v>38</v>
      </c>
      <c r="J36" t="s">
        <v>337</v>
      </c>
      <c r="K36" s="9" t="s">
        <v>208</v>
      </c>
      <c r="L36" s="131" t="s">
        <v>398</v>
      </c>
      <c r="M36" s="193">
        <v>65479.88</v>
      </c>
      <c r="N36" s="193">
        <v>65479.88</v>
      </c>
      <c r="O36" s="128">
        <f>Table1[[#This Row],[Revenues]]-Table1[[#This Row],[Billed]]</f>
        <v>0</v>
      </c>
      <c r="P36" s="218" t="s">
        <v>269</v>
      </c>
      <c r="Q36" s="246">
        <v>9503235424</v>
      </c>
    </row>
    <row r="37" spans="2:26" hidden="1">
      <c r="B37" s="125" t="s">
        <v>26</v>
      </c>
      <c r="C37" s="125" t="s">
        <v>236</v>
      </c>
      <c r="D37" s="125" t="s">
        <v>237</v>
      </c>
      <c r="E37" s="125" t="s">
        <v>301</v>
      </c>
      <c r="F37" s="125" t="s">
        <v>305</v>
      </c>
      <c r="G37" s="125"/>
      <c r="H37" s="125" t="s">
        <v>309</v>
      </c>
      <c r="I37" s="9" t="s">
        <v>23</v>
      </c>
      <c r="J37" s="9" t="s">
        <v>306</v>
      </c>
      <c r="K37" s="9" t="s">
        <v>214</v>
      </c>
      <c r="L37" s="131" t="s">
        <v>275</v>
      </c>
      <c r="M37" s="126">
        <v>3575.80</v>
      </c>
      <c r="N37" s="126">
        <v>3575.80</v>
      </c>
      <c r="O37" s="128">
        <f>Table1[[#This Row],[Revenues]]-Table1[[#This Row],[Billed]]</f>
        <v>0</v>
      </c>
      <c r="P37" s="218" t="s">
        <v>269</v>
      </c>
      <c r="Q37" s="127">
        <v>1170502302</v>
      </c>
    </row>
    <row r="38" spans="2:26">
      <c r="B38" s="125" t="s">
        <v>66</v>
      </c>
      <c r="C38" s="125" t="s">
        <v>236</v>
      </c>
      <c r="D38" s="224" t="s">
        <v>237</v>
      </c>
      <c r="E38" s="225" t="s">
        <v>301</v>
      </c>
      <c r="F38" s="125" t="s">
        <v>308</v>
      </c>
      <c r="G38" s="125" t="s">
        <v>420</v>
      </c>
      <c r="H38" s="125" t="s">
        <v>419</v>
      </c>
      <c r="I38" s="9" t="s">
        <v>38</v>
      </c>
      <c r="J38" s="125" t="s">
        <v>418</v>
      </c>
      <c r="K38" s="9" t="s">
        <v>421</v>
      </c>
      <c r="L38" s="131" t="s">
        <v>423</v>
      </c>
      <c r="M38" s="126">
        <v>2672.65</v>
      </c>
      <c r="N38" s="126">
        <v>2672.65</v>
      </c>
      <c r="O38" s="126">
        <f>Table1[[#This Row],[Revenues]]-Table1[[#This Row],[Billed]]</f>
        <v>0</v>
      </c>
      <c r="P38" s="218" t="s">
        <v>269</v>
      </c>
      <c r="Q38" s="127">
        <v>2043479082</v>
      </c>
      <c r="T38" s="131"/>
    </row>
    <row r="39" spans="2:26" ht="16">
      <c r="C39" s="127"/>
      <c r="D39" s="147"/>
      <c r="E39" s="147"/>
      <c r="G39" s="164"/>
      <c r="H39" s="152"/>
    </row>
    <row r="40" spans="2:26" ht="16">
      <c r="B40" s="158"/>
      <c r="C40" s="158"/>
      <c r="D40" s="535"/>
      <c r="E40" s="535"/>
      <c r="F40" s="535"/>
      <c r="G40" s="164"/>
      <c r="H40" s="155"/>
      <c r="I40" s="155"/>
      <c r="L40" s="196"/>
      <c r="M40" s="128"/>
      <c r="Q40" s="292"/>
      <c r="W40" s="40"/>
      <c r="X40" s="40"/>
      <c r="Y40" s="40"/>
      <c r="Z40" s="40"/>
    </row>
    <row r="41" spans="2:26" ht="16">
      <c r="B41" s="159"/>
      <c r="C41" s="159"/>
      <c r="D41" s="153"/>
      <c r="E41" s="153"/>
      <c r="F41" s="153"/>
      <c r="G41" s="164"/>
      <c r="H41" s="153"/>
      <c r="I41" s="153"/>
      <c r="L41" s="128"/>
      <c r="M41" s="128"/>
      <c r="Z41" s="153"/>
    </row>
    <row r="42" spans="2:26" ht="16">
      <c r="B42" s="536"/>
      <c r="C42" s="536"/>
      <c r="D42" s="153"/>
      <c r="E42" s="153"/>
      <c r="F42" s="153"/>
      <c r="G42" s="164"/>
      <c r="H42" s="154"/>
      <c r="I42" s="153"/>
      <c r="Z42" s="153"/>
    </row>
    <row r="43" spans="2:26" ht="16">
      <c r="B43" s="536"/>
      <c r="C43" s="536"/>
      <c r="D43" s="153"/>
      <c r="E43" s="153"/>
      <c r="F43" s="153"/>
      <c r="G43" s="164"/>
      <c r="H43" s="153"/>
      <c r="I43" s="153"/>
      <c r="M43" s="126"/>
    </row>
    <row r="44" spans="2:26" ht="16">
      <c r="G44" s="164"/>
      <c r="K44" s="196"/>
      <c r="M44" s="126"/>
    </row>
    <row r="45" spans="2:26">
      <c r="J45" s="482">
        <v>0.33900000000000002</v>
      </c>
      <c r="K45" s="482">
        <v>0.56899999999999995</v>
      </c>
    </row>
    <row r="46" spans="2:26">
      <c r="I46" s="196"/>
    </row>
    <row r="47" spans="2:26">
      <c r="I47" s="128"/>
    </row>
    <row r="48" spans="2:26">
      <c r="I48" s="153"/>
    </row>
    <row r="49" spans="9:18">
      <c r="I49" s="154"/>
    </row>
    <row r="50" spans="9:18">
      <c r="I50" s="153"/>
    </row>
    <row r="51" spans="9:18">
      <c r="R51" s="153"/>
    </row>
    <row r="52" spans="9:18">
      <c r="R52" s="153"/>
    </row>
    <row r="53" spans="9:18">
      <c r="R53" s="153"/>
    </row>
    <row r="54" spans="9:18">
      <c r="R54" s="153"/>
    </row>
    <row r="55" spans="9:18">
      <c r="Q55" s="125"/>
      <c r="R55" s="153"/>
    </row>
    <row r="56" spans="9:18">
      <c r="R56" s="153"/>
    </row>
    <row r="57" spans="9:18">
      <c r="R57" s="208"/>
    </row>
  </sheetData>
  <mergeCells count="3">
    <mergeCell ref="D40:F40"/>
    <mergeCell ref="B42:B43"/>
    <mergeCell ref="C42:C43"/>
  </mergeCells>
  <phoneticPr fontId="51" type="noConversion"/>
  <conditionalFormatting sqref="D1:D1048576">
    <cfRule type="containsText" dxfId="63" priority="1" operator="containsText" text="Da Fatturare">
      <formula>NOT(ISERROR(SEARCH("Da Fatturare",D1)))</formula>
    </cfRule>
  </conditionalFormatting>
  <dataValidations disablePrompts="1" count="3">
    <dataValidation type="list" allowBlank="1" showInputMessage="1" showErrorMessage="1" sqref="C3:C38" xr:uid="{957F4E14-45AF-45D5-BA1E-BCA78B5F14E8}">
      <formula1>"Da Inviare,Inviata,Approvata CVS"</formula1>
    </dataValidation>
    <dataValidation type="list" allowBlank="1" showInputMessage="1" showErrorMessage="1" sqref="D2:D38" xr:uid="{2232FBBF-3D6D-447A-A221-F92590EE592F}">
      <formula1>"Da Processare,MMS,MMR,MME,Done,Da Fatturare"</formula1>
    </dataValidation>
    <dataValidation type="list" allowBlank="1" showInputMessage="1" showErrorMessage="1" sqref="E3:E38" xr:uid="{F7A65CC9-9F5E-4A7C-BA54-CC7E0BB58F7B}">
      <formula1>"1,2,3,3B,CloseWon"</formula1>
    </dataValidation>
  </dataValidations>
  <hyperlinks>
    <hyperlink ref="Q38" r:id="rId2" tooltip="Attached on 2025-11-04 23:45:10" display="https://support-close.accenture.com/sys_attachment.do?sys_id=4296485d934132109b98bdc47aba1079" xr:uid="{313C6A71-22E9-4F0D-92B0-55E240B97271}"/>
  </hyperlinks>
  <pageMargins left="0.7" right="0.7" top="0.75" bottom="0.75" header="0.3" footer="0.3"/>
  <pageSetup paperSize="9" orientation="portrait" r:id="rId3"/>
  <legacyDrawing r:id="rId4"/>
  <tableParts count="1">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D8F4B-26A7-4826-8CC5-022F433DCD99}">
  <sheetPr codeName="Sheet11"/>
  <dimension ref="A2:E8"/>
  <sheetViews>
    <sheetView workbookViewId="0">
      <selection activeCell="B8" sqref="B8"/>
    </sheetView>
  </sheetViews>
  <sheetFormatPr defaultRowHeight="14.5"/>
  <cols>
    <col min="2" max="2" width="11.36328125" bestFit="1" customWidth="1"/>
    <col min="3" max="3" width="9.81640625" bestFit="1" customWidth="1"/>
    <col min="4" max="4" width="11.36328125" bestFit="1" customWidth="1"/>
    <col min="5" max="5" width="10.1796875" customWidth="1"/>
  </cols>
  <sheetData>
    <row r="2" spans="1:5">
      <c r="A2" t="s">
        <v>745</v>
      </c>
      <c r="B2" s="121">
        <v>979315.84</v>
      </c>
      <c r="C2" s="121">
        <v>30216.35</v>
      </c>
    </row>
    <row r="3" spans="1:5">
      <c r="A3" t="s">
        <v>746</v>
      </c>
      <c r="B3" s="121">
        <v>910578.15</v>
      </c>
      <c r="C3" s="121">
        <v>91929.12</v>
      </c>
      <c r="D3" s="121">
        <f>B3+C3</f>
        <v>1002507.26</v>
      </c>
      <c r="E3">
        <v>1148071</v>
      </c>
    </row>
    <row r="4" spans="1:5">
      <c r="A4" t="s">
        <v>747</v>
      </c>
      <c r="B4" s="121">
        <v>601682.40</v>
      </c>
      <c r="C4" s="121">
        <v>37197.58</v>
      </c>
      <c r="D4" s="121">
        <f t="shared" ref="D4:D5" si="0">B4+C4</f>
        <v>638879.98</v>
      </c>
      <c r="E4">
        <v>731335.30</v>
      </c>
    </row>
    <row r="5" spans="1:5">
      <c r="A5" t="s">
        <v>748</v>
      </c>
      <c r="B5" s="121">
        <v>308895.74</v>
      </c>
      <c r="C5" s="121">
        <v>54731.54</v>
      </c>
      <c r="D5" s="121">
        <f t="shared" si="0"/>
        <v>363627.28</v>
      </c>
      <c r="E5">
        <f>E3-E4</f>
        <v>416736.00</v>
      </c>
    </row>
    <row r="6" spans="1:5">
      <c r="A6" t="s">
        <v>749</v>
      </c>
      <c r="B6" s="483">
        <v>0.33900000000000002</v>
      </c>
      <c r="C6" s="483">
        <v>0.59499999999999997</v>
      </c>
    </row>
    <row r="8" spans="1:5">
      <c r="B8" s="92">
        <f>1-(B4/B3)</f>
        <v>0.33923035143461633</v>
      </c>
      <c r="C8" s="92">
        <f>1-(C4/C3)</f>
        <v>0.59536672482911734</v>
      </c>
      <c r="D8" s="92">
        <f>1-(D4/D3)</f>
        <v>0.36271785259559131</v>
      </c>
      <c r="E8" s="92">
        <f>1-(E4/E3)</f>
        <v>0.36298790794987967</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9313E-B8C6-498A-94BD-6A883E10CA89}">
  <sheetPr codeName="Sheet22"/>
  <dimension ref="A2:V47"/>
  <sheetViews>
    <sheetView topLeftCell="L22" zoomScale="58" zoomScaleNormal="58" zoomScaleSheetLayoutView="70" workbookViewId="0">
      <selection activeCell="A2" sqref="A2"/>
    </sheetView>
  </sheetViews>
  <sheetFormatPr defaultColWidth="8.81640625" defaultRowHeight="14.5"/>
  <cols>
    <col min="1" max="1" width="4.54296875" style="9" customWidth="1"/>
    <col min="2" max="2" width="11.81640625" style="9" bestFit="1" customWidth="1"/>
    <col min="3" max="3" width="13.54296875" style="9" customWidth="1"/>
    <col min="4" max="4" width="19.54296875" style="9" customWidth="1"/>
    <col min="5" max="5" width="14.7265625" style="9" bestFit="1" customWidth="1"/>
    <col min="6" max="6" width="13.54296875" style="9" bestFit="1" customWidth="1"/>
    <col min="7" max="7" width="10.1796875" style="9" customWidth="1"/>
    <col min="8" max="8" width="15.81640625" style="9" customWidth="1"/>
    <col min="9" max="9" width="11.453125" style="9" customWidth="1"/>
    <col min="10" max="10" width="17.7265625" style="9" customWidth="1"/>
    <col min="11" max="11" width="14.54296875" style="9" bestFit="1" customWidth="1"/>
    <col min="12" max="12" width="54.81640625" style="9" customWidth="1"/>
    <col min="13" max="13" width="37.1796875" style="9" bestFit="1" customWidth="1"/>
    <col min="14" max="14" width="37" style="9" customWidth="1"/>
    <col min="15" max="15" width="30" style="9" bestFit="1" customWidth="1"/>
    <col min="16" max="17" width="19.81640625" style="9" customWidth="1"/>
    <col min="18" max="18" width="22.54296875" style="127" customWidth="1"/>
    <col min="19" max="19" width="22.54296875" style="9" customWidth="1"/>
    <col min="20" max="20" width="21.6328125" style="131" customWidth="1"/>
    <col min="21" max="21" width="14.81640625" style="9" bestFit="1" customWidth="1"/>
    <col min="22" max="22" width="10.453125" style="9" bestFit="1" customWidth="1"/>
    <col min="23" max="16384" width="8.81640625" style="9"/>
  </cols>
  <sheetData>
    <row r="2" spans="1:22">
      <c r="A2" s="9" t="s">
        <v>793</v>
      </c>
      <c r="B2" s="9" t="s">
        <v>22</v>
      </c>
      <c r="C2" s="9" t="s">
        <v>231</v>
      </c>
      <c r="D2" s="9" t="s">
        <v>233</v>
      </c>
      <c r="E2" s="9" t="s">
        <v>300</v>
      </c>
      <c r="F2" s="9" t="s">
        <v>385</v>
      </c>
      <c r="G2" s="9" t="s">
        <v>388</v>
      </c>
      <c r="H2" s="9" t="s">
        <v>80</v>
      </c>
      <c r="I2" s="9" t="s">
        <v>232</v>
      </c>
      <c r="J2" s="9" t="s">
        <v>78</v>
      </c>
      <c r="K2" s="9" t="s">
        <v>9</v>
      </c>
      <c r="L2" s="9" t="s">
        <v>24</v>
      </c>
      <c r="M2" s="9" t="s">
        <v>178</v>
      </c>
      <c r="N2" s="9" t="s">
        <v>179</v>
      </c>
      <c r="O2" s="9" t="s">
        <v>6</v>
      </c>
      <c r="P2" s="9" t="s">
        <v>76</v>
      </c>
      <c r="Q2" s="9" t="s">
        <v>77</v>
      </c>
      <c r="R2" s="127" t="s">
        <v>397</v>
      </c>
      <c r="S2" s="9" t="s">
        <v>490</v>
      </c>
      <c r="T2" s="131" t="s">
        <v>10</v>
      </c>
    </row>
    <row r="3" spans="1:22">
      <c r="B3" s="125" t="s">
        <v>66</v>
      </c>
      <c r="C3" s="125" t="s">
        <v>542</v>
      </c>
      <c r="D3" s="125" t="s">
        <v>237</v>
      </c>
      <c r="E3" s="125" t="s">
        <v>301</v>
      </c>
      <c r="F3" s="125" t="s">
        <v>391</v>
      </c>
      <c r="G3" s="125" t="s">
        <v>0</v>
      </c>
      <c r="H3" s="125" t="s">
        <v>324</v>
      </c>
      <c r="I3" s="125" t="s">
        <v>377</v>
      </c>
      <c r="J3" s="125" t="s">
        <v>374</v>
      </c>
      <c r="K3" s="9" t="s">
        <v>38</v>
      </c>
      <c r="L3" s="9" t="s">
        <v>277</v>
      </c>
      <c r="M3" s="9" t="s">
        <v>240</v>
      </c>
      <c r="N3" s="131" t="s">
        <v>422</v>
      </c>
      <c r="O3" s="126">
        <v>25015.72</v>
      </c>
      <c r="P3" s="126">
        <v>25015.72</v>
      </c>
      <c r="Q3" s="128">
        <f>Table13[[#This Row],[Revenues]]-Table13[[#This Row],[Billed]]</f>
        <v>0</v>
      </c>
      <c r="R3" s="127">
        <v>2436057056</v>
      </c>
    </row>
    <row r="4" spans="1:22" ht="72.5">
      <c r="B4" s="125" t="s">
        <v>66</v>
      </c>
      <c r="C4" s="125" t="s">
        <v>542</v>
      </c>
      <c r="D4" s="125" t="s">
        <v>237</v>
      </c>
      <c r="E4" s="125" t="s">
        <v>301</v>
      </c>
      <c r="F4" s="125" t="s">
        <v>391</v>
      </c>
      <c r="G4" s="125" t="s">
        <v>0</v>
      </c>
      <c r="H4" s="125" t="s">
        <v>325</v>
      </c>
      <c r="I4" s="125" t="s">
        <v>375</v>
      </c>
      <c r="J4" s="125" t="s">
        <v>376</v>
      </c>
      <c r="K4" s="9" t="s">
        <v>38</v>
      </c>
      <c r="L4" s="9" t="s">
        <v>278</v>
      </c>
      <c r="M4" s="9" t="s">
        <v>240</v>
      </c>
      <c r="N4" s="131" t="s">
        <v>538</v>
      </c>
      <c r="O4" s="161">
        <v>179379.38</v>
      </c>
      <c r="P4" s="126">
        <f>44844.85+98658.66+14348.29+21527.58</f>
        <v>145961.00</v>
      </c>
      <c r="Q4" s="128">
        <f>Table13[[#This Row],[Revenues]]-Table13[[#This Row],[Billed]]</f>
        <v>0</v>
      </c>
      <c r="R4" s="246" t="s">
        <v>551</v>
      </c>
      <c r="S4" s="131"/>
      <c r="U4" s="303"/>
      <c r="V4" s="303"/>
    </row>
    <row r="5" spans="1:22" ht="29">
      <c r="B5" s="125" t="s">
        <v>66</v>
      </c>
      <c r="C5" s="125" t="s">
        <v>542</v>
      </c>
      <c r="D5" s="125" t="s">
        <v>237</v>
      </c>
      <c r="E5" s="125" t="s">
        <v>301</v>
      </c>
      <c r="F5" s="125" t="s">
        <v>386</v>
      </c>
      <c r="G5" s="125" t="s">
        <v>0</v>
      </c>
      <c r="H5" s="129" t="s">
        <v>342</v>
      </c>
      <c r="I5" s="125" t="s">
        <v>399</v>
      </c>
      <c r="J5" s="125" t="s">
        <v>433</v>
      </c>
      <c r="K5" s="9" t="s">
        <v>38</v>
      </c>
      <c r="L5" s="9" t="s">
        <v>280</v>
      </c>
      <c r="M5" s="9" t="s">
        <v>208</v>
      </c>
      <c r="N5" s="131" t="s">
        <v>507</v>
      </c>
      <c r="O5" s="126">
        <v>33344.53</v>
      </c>
      <c r="P5" s="126">
        <v>33344.53</v>
      </c>
      <c r="Q5" s="128">
        <f>Table13[[#This Row],[Revenues]]-Table13[[#This Row],[Billed]]</f>
        <v>0</v>
      </c>
      <c r="R5" s="246" t="s">
        <v>539</v>
      </c>
      <c r="V5" s="303"/>
    </row>
    <row r="6" spans="1:22">
      <c r="B6" s="125" t="s">
        <v>66</v>
      </c>
      <c r="C6" s="125" t="s">
        <v>542</v>
      </c>
      <c r="D6" s="125" t="s">
        <v>237</v>
      </c>
      <c r="E6" s="125" t="s">
        <v>301</v>
      </c>
      <c r="F6" s="125" t="s">
        <v>531</v>
      </c>
      <c r="G6" s="125" t="s">
        <v>1</v>
      </c>
      <c r="H6" s="129" t="s">
        <v>446</v>
      </c>
      <c r="I6" s="125" t="s">
        <v>444</v>
      </c>
      <c r="J6" s="125" t="s">
        <v>457</v>
      </c>
      <c r="K6" s="9" t="s">
        <v>38</v>
      </c>
      <c r="L6" s="9" t="s">
        <v>334</v>
      </c>
      <c r="M6" s="9" t="s">
        <v>298</v>
      </c>
      <c r="N6" s="131" t="s">
        <v>535</v>
      </c>
      <c r="O6" s="126">
        <v>2083.23</v>
      </c>
      <c r="P6" s="128">
        <f ca="1">Table13[[#This Row],[Revenues]]-Table13[[#This Row],[Billed]]</f>
        <v>2083.23</v>
      </c>
      <c r="Q6" s="128">
        <f ca="1">Table13[[#This Row],[Revenues]]-Table13[[#This Row],[Billed]]</f>
        <v>0</v>
      </c>
      <c r="R6" s="127">
        <v>3869316149</v>
      </c>
      <c r="S6" s="9" t="s">
        <v>532</v>
      </c>
    </row>
    <row r="7" spans="1:22" ht="145">
      <c r="B7" s="125">
        <v>8871789615</v>
      </c>
      <c r="C7" s="125" t="s">
        <v>542</v>
      </c>
      <c r="D7" s="125" t="s">
        <v>237</v>
      </c>
      <c r="E7" s="125" t="s">
        <v>301</v>
      </c>
      <c r="F7" s="125" t="s">
        <v>387</v>
      </c>
      <c r="G7" s="125" t="s">
        <v>0</v>
      </c>
      <c r="H7" s="125" t="s">
        <v>360</v>
      </c>
      <c r="I7" s="125"/>
      <c r="J7" s="125" t="s">
        <v>406</v>
      </c>
      <c r="K7" s="9" t="s">
        <v>23</v>
      </c>
      <c r="L7" s="9" t="s">
        <v>359</v>
      </c>
      <c r="M7" s="9" t="s">
        <v>214</v>
      </c>
      <c r="N7" s="131" t="s">
        <v>429</v>
      </c>
      <c r="O7" s="126">
        <v>50080.26</v>
      </c>
      <c r="P7" s="126">
        <v>50080.26</v>
      </c>
      <c r="Q7" s="128">
        <f>Table13[[#This Row],[Revenues]]-Table13[[#This Row],[Billed]]</f>
        <v>0</v>
      </c>
      <c r="R7" s="246" t="s">
        <v>434</v>
      </c>
      <c r="S7" s="131"/>
    </row>
    <row r="8" spans="1:22" ht="29">
      <c r="B8" s="125" t="s">
        <v>26</v>
      </c>
      <c r="C8" s="125" t="s">
        <v>542</v>
      </c>
      <c r="D8" s="125" t="s">
        <v>237</v>
      </c>
      <c r="E8" s="125" t="s">
        <v>301</v>
      </c>
      <c r="F8" s="223" t="s">
        <v>445</v>
      </c>
      <c r="G8" s="125" t="s">
        <v>1</v>
      </c>
      <c r="H8" s="125" t="s">
        <v>456</v>
      </c>
      <c r="I8" s="129"/>
      <c r="J8" s="129" t="s">
        <v>459</v>
      </c>
      <c r="K8" s="9" t="s">
        <v>23</v>
      </c>
      <c r="L8" s="9" t="s">
        <v>311</v>
      </c>
      <c r="M8" s="9" t="s">
        <v>214</v>
      </c>
      <c r="N8" s="131" t="s">
        <v>506</v>
      </c>
      <c r="O8" s="126">
        <v>9323.40</v>
      </c>
      <c r="P8" s="126">
        <v>9323.40</v>
      </c>
      <c r="Q8" s="128">
        <f>Table13[[#This Row],[Revenues]]-Table13[[#This Row],[Billed]]</f>
        <v>0</v>
      </c>
      <c r="R8" s="127">
        <v>4540651479</v>
      </c>
      <c r="S8" s="9" t="s">
        <v>492</v>
      </c>
    </row>
    <row r="9" spans="1:22">
      <c r="B9" s="125" t="s">
        <v>26</v>
      </c>
      <c r="C9" s="125" t="s">
        <v>542</v>
      </c>
      <c r="D9" s="125" t="s">
        <v>237</v>
      </c>
      <c r="E9" s="125" t="s">
        <v>301</v>
      </c>
      <c r="F9" s="125" t="s">
        <v>386</v>
      </c>
      <c r="G9" s="125" t="s">
        <v>1</v>
      </c>
      <c r="H9" s="125" t="s">
        <v>351</v>
      </c>
      <c r="I9" s="125"/>
      <c r="J9" t="s">
        <v>465</v>
      </c>
      <c r="K9" s="9" t="s">
        <v>23</v>
      </c>
      <c r="L9" t="s">
        <v>350</v>
      </c>
      <c r="M9" s="9" t="s">
        <v>364</v>
      </c>
      <c r="N9" s="131" t="s">
        <v>534</v>
      </c>
      <c r="O9" s="126">
        <v>43352.87</v>
      </c>
      <c r="P9" s="126">
        <v>43352.87</v>
      </c>
      <c r="Q9" s="128">
        <f>Table13[[#This Row],[Revenues]]-Table13[[#This Row],[Billed]]</f>
        <v>0</v>
      </c>
      <c r="R9" s="127">
        <v>3190902679</v>
      </c>
      <c r="S9" s="9" t="s">
        <v>515</v>
      </c>
    </row>
    <row r="10" spans="1:22" ht="28" customHeight="1">
      <c r="B10" s="125" t="s">
        <v>66</v>
      </c>
      <c r="C10" s="125" t="s">
        <v>542</v>
      </c>
      <c r="D10" s="125" t="s">
        <v>237</v>
      </c>
      <c r="E10" s="125" t="s">
        <v>301</v>
      </c>
      <c r="F10" s="125" t="s">
        <v>386</v>
      </c>
      <c r="G10" s="125" t="s">
        <v>1</v>
      </c>
      <c r="H10" s="125" t="s">
        <v>352</v>
      </c>
      <c r="I10" s="125" t="s">
        <v>430</v>
      </c>
      <c r="J10" s="125" t="s">
        <v>440</v>
      </c>
      <c r="K10" s="9" t="s">
        <v>38</v>
      </c>
      <c r="L10" s="9" t="s">
        <v>366</v>
      </c>
      <c r="M10" s="9" t="s">
        <v>636</v>
      </c>
      <c r="N10" s="131" t="s">
        <v>635</v>
      </c>
      <c r="O10" s="126">
        <v>109481.20</v>
      </c>
      <c r="P10" s="126">
        <v>109481.20</v>
      </c>
      <c r="Q10" s="128">
        <f>Table13[[#This Row],[Revenues]]-Table13[[#This Row],[Billed]]</f>
        <v>0</v>
      </c>
      <c r="R10" s="127">
        <v>3350001333</v>
      </c>
      <c r="S10" s="9" t="s">
        <v>504</v>
      </c>
    </row>
    <row r="11" spans="1:22">
      <c r="B11" s="125" t="s">
        <v>66</v>
      </c>
      <c r="C11" s="125" t="s">
        <v>542</v>
      </c>
      <c r="D11" s="125" t="s">
        <v>237</v>
      </c>
      <c r="E11" s="125" t="s">
        <v>301</v>
      </c>
      <c r="F11" s="125" t="s">
        <v>531</v>
      </c>
      <c r="G11" s="125" t="s">
        <v>1</v>
      </c>
      <c r="H11" s="125" t="s">
        <v>369</v>
      </c>
      <c r="I11" s="125" t="s">
        <v>435</v>
      </c>
      <c r="J11" s="125" t="s">
        <v>441</v>
      </c>
      <c r="K11" s="9" t="s">
        <v>38</v>
      </c>
      <c r="L11" s="9" t="s">
        <v>368</v>
      </c>
      <c r="M11" s="9" t="s">
        <v>636</v>
      </c>
      <c r="N11" s="131" t="s">
        <v>560</v>
      </c>
      <c r="O11" s="126">
        <v>109481.20</v>
      </c>
      <c r="P11" s="126">
        <v>109481.20</v>
      </c>
      <c r="Q11" s="128">
        <f>Table13[[#This Row],[Revenues]]-Table13[[#This Row],[Billed]]</f>
        <v>0</v>
      </c>
      <c r="R11" s="127">
        <v>3795673094</v>
      </c>
      <c r="S11" s="9" t="s">
        <v>533</v>
      </c>
    </row>
    <row r="12" spans="1:22" ht="72.5">
      <c r="B12" s="125" t="s">
        <v>66</v>
      </c>
      <c r="C12" s="125" t="s">
        <v>542</v>
      </c>
      <c r="D12" s="125" t="s">
        <v>237</v>
      </c>
      <c r="E12" s="125" t="s">
        <v>301</v>
      </c>
      <c r="F12" s="125" t="s">
        <v>386</v>
      </c>
      <c r="G12" s="125" t="s">
        <v>0</v>
      </c>
      <c r="H12" s="125" t="s">
        <v>370</v>
      </c>
      <c r="I12" s="125" t="s">
        <v>392</v>
      </c>
      <c r="J12" s="125" t="s">
        <v>393</v>
      </c>
      <c r="K12" s="9" t="s">
        <v>38</v>
      </c>
      <c r="L12" s="9" t="s">
        <v>519</v>
      </c>
      <c r="M12" s="9" t="s">
        <v>208</v>
      </c>
      <c r="N12" s="131" t="s">
        <v>617</v>
      </c>
      <c r="O12" s="126">
        <v>93642.55</v>
      </c>
      <c r="P12" s="126">
        <f>(23016.48*2)+69049.44</f>
        <v>93642.55</v>
      </c>
      <c r="Q12" s="128">
        <f>Table13[[#This Row],[Revenues]]-Table13[[#This Row],[Billed]]</f>
        <v>0</v>
      </c>
      <c r="R12" s="246" t="s">
        <v>619</v>
      </c>
    </row>
    <row r="13" spans="1:22">
      <c r="B13" s="125" t="s">
        <v>66</v>
      </c>
      <c r="C13" s="125" t="s">
        <v>542</v>
      </c>
      <c r="D13" s="125" t="s">
        <v>237</v>
      </c>
      <c r="E13" s="125" t="s">
        <v>301</v>
      </c>
      <c r="F13" s="125" t="s">
        <v>427</v>
      </c>
      <c r="G13" s="125" t="s">
        <v>1</v>
      </c>
      <c r="H13" s="125" t="s">
        <v>424</v>
      </c>
      <c r="I13" s="125" t="s">
        <v>431</v>
      </c>
      <c r="J13" s="125" t="s">
        <v>442</v>
      </c>
      <c r="K13" s="9" t="s">
        <v>38</v>
      </c>
      <c r="L13" s="9" t="s">
        <v>320</v>
      </c>
      <c r="M13" s="9" t="s">
        <v>209</v>
      </c>
      <c r="N13" s="131" t="s">
        <v>508</v>
      </c>
      <c r="O13" s="161">
        <v>99032.33</v>
      </c>
      <c r="P13" s="126">
        <v>80582.61</v>
      </c>
      <c r="Q13" s="128">
        <f>Table13[[#This Row],[Revenues]]-Table13[[#This Row],[Billed]]</f>
        <v>0</v>
      </c>
      <c r="R13" s="127">
        <v>0728142560</v>
      </c>
      <c r="S13" s="9" t="s">
        <v>493</v>
      </c>
    </row>
    <row r="14" spans="1:22">
      <c r="B14" s="125" t="s">
        <v>26</v>
      </c>
      <c r="C14" s="125" t="s">
        <v>542</v>
      </c>
      <c r="D14" s="125" t="s">
        <v>237</v>
      </c>
      <c r="E14" s="125" t="s">
        <v>301</v>
      </c>
      <c r="F14" s="125" t="s">
        <v>391</v>
      </c>
      <c r="G14" s="125" t="s">
        <v>0</v>
      </c>
      <c r="H14" s="125" t="s">
        <v>379</v>
      </c>
      <c r="I14" s="125"/>
      <c r="J14" s="125" t="s">
        <v>137</v>
      </c>
      <c r="K14" s="9" t="s">
        <v>23</v>
      </c>
      <c r="L14" s="9" t="s">
        <v>378</v>
      </c>
      <c r="M14" s="9" t="s">
        <v>214</v>
      </c>
      <c r="N14" s="131" t="s">
        <v>414</v>
      </c>
      <c r="O14" s="126">
        <v>6521.28</v>
      </c>
      <c r="P14" s="128">
        <f ca="1">Table13[[#This Row],[Revenues]]-Table13[[#This Row],[Billed]]</f>
        <v>6521.28</v>
      </c>
      <c r="Q14" s="128">
        <f ca="1">Table13[[#This Row],[Revenues]]-Table13[[#This Row],[Billed]]</f>
        <v>0</v>
      </c>
      <c r="R14" s="127">
        <v>9295085063</v>
      </c>
    </row>
    <row r="15" spans="1:22" ht="16">
      <c r="B15" s="125" t="s">
        <v>26</v>
      </c>
      <c r="C15" s="223" t="s">
        <v>542</v>
      </c>
      <c r="D15" s="224" t="s">
        <v>237</v>
      </c>
      <c r="E15" s="225" t="s">
        <v>301</v>
      </c>
      <c r="F15" s="125" t="s">
        <v>386</v>
      </c>
      <c r="G15" s="125" t="s">
        <v>0</v>
      </c>
      <c r="H15" s="125" t="s">
        <v>405</v>
      </c>
      <c r="I15" s="226"/>
      <c r="J15" s="125" t="s">
        <v>137</v>
      </c>
      <c r="K15" s="9" t="s">
        <v>23</v>
      </c>
      <c r="L15" s="9" t="s">
        <v>404</v>
      </c>
      <c r="M15" s="9" t="s">
        <v>214</v>
      </c>
      <c r="N15" s="131" t="s">
        <v>415</v>
      </c>
      <c r="O15" s="126">
        <v>5869.15</v>
      </c>
      <c r="P15" s="126">
        <v>5869.15</v>
      </c>
      <c r="Q15" s="128">
        <f>Table13[[#This Row],[Revenues]]-Table13[[#This Row],[Billed]]</f>
        <v>0</v>
      </c>
      <c r="R15" s="127">
        <v>2975258109</v>
      </c>
      <c r="S15"/>
      <c r="T15" s="131" t="s">
        <v>428</v>
      </c>
    </row>
    <row r="16" spans="1:22" ht="87">
      <c r="B16" s="125" t="s">
        <v>26</v>
      </c>
      <c r="C16" s="223" t="s">
        <v>542</v>
      </c>
      <c r="D16" s="9" t="s">
        <v>237</v>
      </c>
      <c r="E16" s="125" t="s">
        <v>301</v>
      </c>
      <c r="F16" s="125" t="s">
        <v>386</v>
      </c>
      <c r="G16" s="9" t="s">
        <v>1</v>
      </c>
      <c r="H16" s="125" t="s">
        <v>437</v>
      </c>
      <c r="J16" s="125" t="s">
        <v>406</v>
      </c>
      <c r="K16" s="9" t="s">
        <v>23</v>
      </c>
      <c r="L16" s="9" t="s">
        <v>436</v>
      </c>
      <c r="M16" s="9" t="s">
        <v>214</v>
      </c>
      <c r="N16" s="131" t="s">
        <v>506</v>
      </c>
      <c r="O16" s="153">
        <v>33695.79</v>
      </c>
      <c r="P16" s="126">
        <f>11839.25+1881.16+5782.79+5854.92+10176.23+5876.23</f>
        <v>33695.79</v>
      </c>
      <c r="Q16" s="128">
        <f>Table13[[#This Row],[Revenues]]-Table13[[#This Row],[Billed]]</f>
        <v>0</v>
      </c>
      <c r="R16" s="246" t="s">
        <v>514</v>
      </c>
      <c r="S16" s="9" t="s">
        <v>491</v>
      </c>
    </row>
    <row r="17" spans="2:21">
      <c r="B17" s="125" t="s">
        <v>66</v>
      </c>
      <c r="C17" s="223" t="s">
        <v>542</v>
      </c>
      <c r="D17" s="125" t="s">
        <v>237</v>
      </c>
      <c r="E17" s="125" t="s">
        <v>301</v>
      </c>
      <c r="F17" s="223" t="s">
        <v>445</v>
      </c>
      <c r="G17" s="9" t="s">
        <v>1</v>
      </c>
      <c r="H17" s="125" t="s">
        <v>447</v>
      </c>
      <c r="I17" s="125" t="s">
        <v>454</v>
      </c>
      <c r="J17" s="127">
        <v>7955300132</v>
      </c>
      <c r="K17" s="9" t="s">
        <v>38</v>
      </c>
      <c r="L17" s="127" t="s">
        <v>443</v>
      </c>
      <c r="M17" s="9" t="s">
        <v>564</v>
      </c>
      <c r="N17" s="9" t="s">
        <v>560</v>
      </c>
      <c r="O17" s="153">
        <v>4974.11</v>
      </c>
      <c r="P17" s="153">
        <v>4974.11</v>
      </c>
      <c r="Q17" s="128">
        <f>Table13[[#This Row],[Revenues]]-Table13[[#This Row],[Billed]]</f>
        <v>0</v>
      </c>
      <c r="R17" s="127">
        <v>7548352306</v>
      </c>
      <c r="S17" s="9" t="s">
        <v>518</v>
      </c>
    </row>
    <row r="18" spans="2:21" ht="29">
      <c r="B18" s="125" t="s">
        <v>26</v>
      </c>
      <c r="C18" s="223" t="s">
        <v>542</v>
      </c>
      <c r="D18" s="9" t="s">
        <v>237</v>
      </c>
      <c r="E18" s="125" t="s">
        <v>301</v>
      </c>
      <c r="F18" s="125" t="s">
        <v>386</v>
      </c>
      <c r="G18" s="9" t="s">
        <v>1</v>
      </c>
      <c r="H18" s="224" t="s">
        <v>449</v>
      </c>
      <c r="I18" s="226"/>
      <c r="J18" s="125" t="s">
        <v>406</v>
      </c>
      <c r="K18" s="9" t="s">
        <v>23</v>
      </c>
      <c r="L18" s="9" t="s">
        <v>448</v>
      </c>
      <c r="M18" s="9" t="s">
        <v>214</v>
      </c>
      <c r="N18" s="9" t="s">
        <v>506</v>
      </c>
      <c r="O18" s="153">
        <v>28468.82</v>
      </c>
      <c r="P18" s="126">
        <f>15228.69+19758.19</f>
        <v>28468.82</v>
      </c>
      <c r="Q18" s="128">
        <f>Table13[[#This Row],[Revenues]]-Table13[[#This Row],[Billed]]</f>
        <v>0</v>
      </c>
      <c r="R18" s="246" t="s">
        <v>512</v>
      </c>
      <c r="S18" s="9" t="s">
        <v>498</v>
      </c>
    </row>
    <row r="19" spans="2:21" ht="16">
      <c r="B19" s="125" t="s">
        <v>26</v>
      </c>
      <c r="C19" s="223" t="s">
        <v>542</v>
      </c>
      <c r="D19" s="9" t="s">
        <v>237</v>
      </c>
      <c r="E19" s="125" t="s">
        <v>301</v>
      </c>
      <c r="F19" s="125" t="s">
        <v>531</v>
      </c>
      <c r="G19" s="9" t="s">
        <v>1</v>
      </c>
      <c r="H19" s="224" t="s">
        <v>460</v>
      </c>
      <c r="I19" s="226"/>
      <c r="J19" s="125" t="s">
        <v>458</v>
      </c>
      <c r="K19" s="9" t="s">
        <v>23</v>
      </c>
      <c r="L19" s="9" t="s">
        <v>455</v>
      </c>
      <c r="M19" s="9" t="s">
        <v>214</v>
      </c>
      <c r="N19" s="9" t="s">
        <v>506</v>
      </c>
      <c r="O19" s="153">
        <v>7003.16</v>
      </c>
      <c r="P19" s="126">
        <v>7003.16</v>
      </c>
      <c r="Q19" s="128">
        <f>Table13[[#This Row],[Revenues]]-Table13[[#This Row],[Billed]]</f>
        <v>0</v>
      </c>
      <c r="R19" s="127">
        <v>1106758476</v>
      </c>
      <c r="S19" s="9" t="s">
        <v>499</v>
      </c>
    </row>
    <row r="20" spans="2:21">
      <c r="B20" s="125" t="s">
        <v>26</v>
      </c>
      <c r="C20" s="223" t="s">
        <v>542</v>
      </c>
      <c r="D20" s="125" t="s">
        <v>237</v>
      </c>
      <c r="E20" s="125" t="s">
        <v>301</v>
      </c>
      <c r="F20" s="125" t="s">
        <v>536</v>
      </c>
      <c r="G20" s="9" t="s">
        <v>2</v>
      </c>
      <c r="H20" s="125" t="s">
        <v>468</v>
      </c>
      <c r="I20" s="125"/>
      <c r="J20" s="125" t="s">
        <v>406</v>
      </c>
      <c r="K20" s="9" t="s">
        <v>23</v>
      </c>
      <c r="L20" s="9" t="s">
        <v>467</v>
      </c>
      <c r="M20" s="9" t="s">
        <v>214</v>
      </c>
      <c r="N20" s="131" t="s">
        <v>560</v>
      </c>
      <c r="O20" s="126">
        <v>22923.83</v>
      </c>
      <c r="P20" s="126">
        <v>22923.83</v>
      </c>
      <c r="Q20" s="128">
        <f>Table13[[#This Row],[Revenues]]-Table13[[#This Row],[Billed]]</f>
        <v>0</v>
      </c>
      <c r="R20" s="127">
        <v>4351931819</v>
      </c>
      <c r="S20" s="9" t="s">
        <v>561</v>
      </c>
    </row>
    <row r="21" spans="2:21">
      <c r="B21" s="125" t="s">
        <v>66</v>
      </c>
      <c r="C21" s="125" t="s">
        <v>542</v>
      </c>
      <c r="D21" s="125" t="s">
        <v>287</v>
      </c>
      <c r="E21" s="125" t="s">
        <v>301</v>
      </c>
      <c r="F21" s="125" t="s">
        <v>546</v>
      </c>
      <c r="G21" s="9" t="s">
        <v>2</v>
      </c>
      <c r="H21" s="125" t="s">
        <v>517</v>
      </c>
      <c r="I21" s="125" t="s">
        <v>577</v>
      </c>
      <c r="J21" s="125" t="s">
        <v>586</v>
      </c>
      <c r="K21" s="9" t="s">
        <v>38</v>
      </c>
      <c r="L21" s="9" t="s">
        <v>505</v>
      </c>
      <c r="M21" s="9" t="s">
        <v>208</v>
      </c>
      <c r="N21" s="131" t="s">
        <v>637</v>
      </c>
      <c r="O21" s="153">
        <v>29176.46</v>
      </c>
      <c r="P21" s="126">
        <v>14588.23</v>
      </c>
      <c r="Q21" s="128">
        <f>Table13[[#This Row],[Revenues]]-Table13[[#This Row],[Billed]]</f>
        <v>14588.23</v>
      </c>
      <c r="R21" s="127" t="s">
        <v>638</v>
      </c>
      <c r="S21" s="9" t="s">
        <v>592</v>
      </c>
    </row>
    <row r="22" spans="2:21">
      <c r="B22" s="125" t="s">
        <v>66</v>
      </c>
      <c r="C22" s="125" t="s">
        <v>542</v>
      </c>
      <c r="D22" s="125" t="s">
        <v>287</v>
      </c>
      <c r="E22" s="125" t="s">
        <v>301</v>
      </c>
      <c r="F22" s="125" t="s">
        <v>546</v>
      </c>
      <c r="G22" s="9" t="s">
        <v>3</v>
      </c>
      <c r="H22" s="125" t="s">
        <v>520</v>
      </c>
      <c r="I22" s="125" t="s">
        <v>627</v>
      </c>
      <c r="J22" s="125" t="s">
        <v>674</v>
      </c>
      <c r="K22" s="9" t="s">
        <v>38</v>
      </c>
      <c r="L22" s="9" t="s">
        <v>540</v>
      </c>
      <c r="M22" s="9" t="s">
        <v>628</v>
      </c>
      <c r="N22" s="131" t="s">
        <v>684</v>
      </c>
      <c r="O22" s="153">
        <v>47952.89</v>
      </c>
      <c r="P22" s="126">
        <v>43157.60</v>
      </c>
      <c r="Q22" s="128">
        <f>Table13[[#This Row],[Revenues]]-Table13[[#This Row],[Billed]]</f>
        <v>4795.29</v>
      </c>
      <c r="R22" s="127" t="s">
        <v>702</v>
      </c>
      <c r="S22" s="9" t="s">
        <v>641</v>
      </c>
    </row>
    <row r="23" spans="2:21" ht="72.5">
      <c r="B23" s="125" t="s">
        <v>66</v>
      </c>
      <c r="C23" s="125" t="s">
        <v>236</v>
      </c>
      <c r="D23" s="125" t="s">
        <v>237</v>
      </c>
      <c r="E23" s="125" t="s">
        <v>301</v>
      </c>
      <c r="F23" s="125" t="s">
        <v>546</v>
      </c>
      <c r="G23" s="9" t="s">
        <v>2</v>
      </c>
      <c r="H23" s="125" t="s">
        <v>527</v>
      </c>
      <c r="I23" s="125" t="s">
        <v>598</v>
      </c>
      <c r="J23" s="125" t="s">
        <v>606</v>
      </c>
      <c r="K23" s="9" t="s">
        <v>38</v>
      </c>
      <c r="L23" s="9" t="s">
        <v>543</v>
      </c>
      <c r="M23" s="9" t="s">
        <v>240</v>
      </c>
      <c r="N23" s="131" t="s">
        <v>770</v>
      </c>
      <c r="O23" s="339">
        <v>92517.17</v>
      </c>
      <c r="P23" s="128">
        <f>109151.39+4547.97</f>
        <v>92517.17</v>
      </c>
      <c r="Q23" s="128">
        <f>Table13[[#This Row],[Revenues]]-Table13[[#This Row],[Billed]]</f>
        <v>0</v>
      </c>
      <c r="R23" s="246" t="s">
        <v>772</v>
      </c>
      <c r="S23" s="9" t="s">
        <v>615</v>
      </c>
      <c r="T23" s="128"/>
    </row>
    <row r="24" spans="2:21" ht="29">
      <c r="B24" s="125" t="s">
        <v>66</v>
      </c>
      <c r="C24" s="125" t="s">
        <v>542</v>
      </c>
      <c r="D24" s="125" t="s">
        <v>237</v>
      </c>
      <c r="E24" s="125" t="s">
        <v>301</v>
      </c>
      <c r="F24" s="125" t="s">
        <v>536</v>
      </c>
      <c r="G24" s="9" t="s">
        <v>2</v>
      </c>
      <c r="H24" s="125" t="s">
        <v>545</v>
      </c>
      <c r="I24" s="125"/>
      <c r="J24" s="125" t="s">
        <v>558</v>
      </c>
      <c r="K24" s="9" t="s">
        <v>23</v>
      </c>
      <c r="L24" s="9" t="s">
        <v>544</v>
      </c>
      <c r="M24" s="9" t="s">
        <v>214</v>
      </c>
      <c r="N24" s="131" t="s">
        <v>596</v>
      </c>
      <c r="O24" s="153">
        <v>37788.59</v>
      </c>
      <c r="P24" s="153">
        <v>37788.59</v>
      </c>
      <c r="Q24" s="128">
        <f>Table13[[#This Row],[Revenues]]-Table13[[#This Row],[Billed]]</f>
        <v>0</v>
      </c>
      <c r="R24" s="246" t="s">
        <v>612</v>
      </c>
      <c r="S24" s="9" t="s">
        <v>572</v>
      </c>
    </row>
    <row r="25" spans="2:21" ht="29">
      <c r="B25" s="125" t="s">
        <v>66</v>
      </c>
      <c r="C25" s="125" t="s">
        <v>542</v>
      </c>
      <c r="D25" s="125" t="s">
        <v>287</v>
      </c>
      <c r="E25" s="125" t="s">
        <v>301</v>
      </c>
      <c r="F25" s="125" t="s">
        <v>546</v>
      </c>
      <c r="G25" s="9" t="s">
        <v>2</v>
      </c>
      <c r="H25" s="125" t="s">
        <v>549</v>
      </c>
      <c r="I25" s="125" t="s">
        <v>571</v>
      </c>
      <c r="J25" s="125" t="s">
        <v>594</v>
      </c>
      <c r="K25" s="9" t="s">
        <v>38</v>
      </c>
      <c r="L25" s="9" t="s">
        <v>550</v>
      </c>
      <c r="M25" s="9" t="s">
        <v>570</v>
      </c>
      <c r="N25" s="131" t="s">
        <v>673</v>
      </c>
      <c r="O25" s="154">
        <v>109943.67999999999</v>
      </c>
      <c r="P25" s="153">
        <f>43977.47+5497.2</f>
        <v>40257.54</v>
      </c>
      <c r="Q25" s="128">
        <f>Table13[[#This Row],[Revenues]]-Table13[[#This Row],[Billed]]</f>
        <v>49203.63</v>
      </c>
      <c r="R25" s="246" t="s">
        <v>682</v>
      </c>
      <c r="S25" s="9" t="s">
        <v>595</v>
      </c>
      <c r="T25" s="121"/>
    </row>
    <row r="26" spans="2:21">
      <c r="B26" s="125" t="s">
        <v>66</v>
      </c>
      <c r="C26" s="125" t="s">
        <v>542</v>
      </c>
      <c r="D26" s="125" t="s">
        <v>237</v>
      </c>
      <c r="E26" s="125" t="s">
        <v>301</v>
      </c>
      <c r="F26" s="125" t="s">
        <v>568</v>
      </c>
      <c r="G26" s="9" t="s">
        <v>2</v>
      </c>
      <c r="H26" s="125" t="s">
        <v>569</v>
      </c>
      <c r="I26" s="125" t="s">
        <v>589</v>
      </c>
      <c r="J26" s="125" t="s">
        <v>614</v>
      </c>
      <c r="K26" s="9" t="s">
        <v>38</v>
      </c>
      <c r="L26" s="9" t="s">
        <v>562</v>
      </c>
      <c r="M26" s="9" t="s">
        <v>563</v>
      </c>
      <c r="N26" s="131" t="s">
        <v>792</v>
      </c>
      <c r="O26" s="152">
        <v>13313.06</v>
      </c>
      <c r="P26" s="153">
        <v>10832.84</v>
      </c>
      <c r="Q26" s="128">
        <f>Table13[[#This Row],[Revenues]]-Table13[[#This Row],[Billed]]</f>
        <v>0</v>
      </c>
      <c r="S26" s="9" t="s">
        <v>616</v>
      </c>
    </row>
    <row r="27" spans="2:21">
      <c r="B27" s="125" t="s">
        <v>26</v>
      </c>
      <c r="C27" s="125" t="s">
        <v>542</v>
      </c>
      <c r="D27" s="125" t="s">
        <v>237</v>
      </c>
      <c r="E27" s="125" t="s">
        <v>301</v>
      </c>
      <c r="F27" s="125" t="s">
        <v>568</v>
      </c>
      <c r="G27" s="9" t="s">
        <v>2</v>
      </c>
      <c r="H27" s="125" t="s">
        <v>581</v>
      </c>
      <c r="I27" s="125"/>
      <c r="J27" s="125" t="s">
        <v>580</v>
      </c>
      <c r="K27" s="9" t="s">
        <v>23</v>
      </c>
      <c r="L27" s="9" t="s">
        <v>578</v>
      </c>
      <c r="M27" s="9" t="s">
        <v>364</v>
      </c>
      <c r="N27" s="131" t="s">
        <v>597</v>
      </c>
      <c r="O27" s="126">
        <v>100045</v>
      </c>
      <c r="P27" s="153">
        <v>100045</v>
      </c>
      <c r="Q27" s="128">
        <f>Table13[[#This Row],[Revenues]]-Table13[[#This Row],[Billed]]</f>
        <v>0</v>
      </c>
      <c r="R27" s="127">
        <v>6722735486</v>
      </c>
      <c r="S27" s="9" t="s">
        <v>593</v>
      </c>
    </row>
    <row r="28" spans="2:21" ht="43.5">
      <c r="B28" s="125" t="s">
        <v>26</v>
      </c>
      <c r="C28" s="125" t="s">
        <v>236</v>
      </c>
      <c r="D28" s="125" t="s">
        <v>276</v>
      </c>
      <c r="E28" s="125" t="s">
        <v>301</v>
      </c>
      <c r="F28" s="125" t="s">
        <v>683</v>
      </c>
      <c r="G28" s="125" t="s">
        <v>3</v>
      </c>
      <c r="H28" s="125" t="s">
        <v>582</v>
      </c>
      <c r="I28" s="125"/>
      <c r="J28" s="125" t="s">
        <v>789</v>
      </c>
      <c r="K28" s="9" t="s">
        <v>23</v>
      </c>
      <c r="L28" s="9" t="s">
        <v>658</v>
      </c>
      <c r="M28" s="9" t="s">
        <v>214</v>
      </c>
      <c r="N28" s="131"/>
      <c r="O28" s="126">
        <v>95029.92</v>
      </c>
      <c r="P28" s="153"/>
      <c r="Q28" s="128">
        <f>Table13[[#This Row],[Revenues]]-Table13[[#This Row],[Billed]]</f>
        <v>95029.92</v>
      </c>
      <c r="S28" s="9" t="s">
        <v>790</v>
      </c>
      <c r="T28" s="131" t="s">
        <v>791</v>
      </c>
    </row>
    <row r="29" spans="2:21" ht="101.5">
      <c r="B29" s="125" t="s">
        <v>26</v>
      </c>
      <c r="C29" s="125" t="s">
        <v>542</v>
      </c>
      <c r="D29" s="125" t="s">
        <v>237</v>
      </c>
      <c r="E29" s="125" t="s">
        <v>301</v>
      </c>
      <c r="F29" s="125" t="s">
        <v>568</v>
      </c>
      <c r="G29" s="9" t="s">
        <v>2</v>
      </c>
      <c r="H29" s="125" t="s">
        <v>623</v>
      </c>
      <c r="I29" s="125"/>
      <c r="J29" s="125" t="s">
        <v>558</v>
      </c>
      <c r="K29" s="9" t="s">
        <v>23</v>
      </c>
      <c r="L29" s="9" t="s">
        <v>622</v>
      </c>
      <c r="M29" s="9" t="s">
        <v>214</v>
      </c>
      <c r="N29" s="131"/>
      <c r="O29" s="153">
        <v>21813.14</v>
      </c>
      <c r="P29" s="153">
        <v>21813.14</v>
      </c>
      <c r="Q29" s="128">
        <f>Table13[[#This Row],[Revenues]]-Table13[[#This Row],[Billed]]</f>
        <v>0</v>
      </c>
      <c r="R29" s="246" t="s">
        <v>664</v>
      </c>
      <c r="S29" s="9" t="s">
        <v>624</v>
      </c>
    </row>
    <row r="30" spans="2:21" ht="58">
      <c r="B30" s="125" t="s">
        <v>26</v>
      </c>
      <c r="C30" s="125" t="s">
        <v>542</v>
      </c>
      <c r="D30" s="125" t="s">
        <v>237</v>
      </c>
      <c r="E30" s="125" t="s">
        <v>301</v>
      </c>
      <c r="F30" s="125" t="s">
        <v>629</v>
      </c>
      <c r="G30" s="125" t="s">
        <v>3</v>
      </c>
      <c r="H30" s="125" t="s">
        <v>645</v>
      </c>
      <c r="I30" s="125"/>
      <c r="J30" s="125"/>
      <c r="K30" s="9" t="s">
        <v>23</v>
      </c>
      <c r="L30" s="9" t="s">
        <v>644</v>
      </c>
      <c r="M30" s="9" t="s">
        <v>214</v>
      </c>
      <c r="N30" s="373"/>
      <c r="O30" s="19">
        <v>8377.54</v>
      </c>
      <c r="P30" s="19">
        <v>8377.54</v>
      </c>
      <c r="Q30" s="128">
        <f>Table13[[#This Row],[Revenues]]-Table13[[#This Row],[Billed]]</f>
        <v>0</v>
      </c>
      <c r="R30" s="246" t="s">
        <v>663</v>
      </c>
      <c r="S30" s="9" t="s">
        <v>646</v>
      </c>
    </row>
    <row r="31" spans="2:21" ht="43.5">
      <c r="B31" s="125" t="s">
        <v>26</v>
      </c>
      <c r="C31" s="125" t="s">
        <v>236</v>
      </c>
      <c r="D31" s="125" t="s">
        <v>276</v>
      </c>
      <c r="E31" s="125" t="s">
        <v>773</v>
      </c>
      <c r="F31" s="125" t="s">
        <v>683</v>
      </c>
      <c r="G31" s="125" t="s">
        <v>3</v>
      </c>
      <c r="H31" s="125" t="s">
        <v>652</v>
      </c>
      <c r="I31" s="125"/>
      <c r="J31" s="125"/>
      <c r="K31" s="9" t="s">
        <v>23</v>
      </c>
      <c r="L31" s="385" t="s">
        <v>659</v>
      </c>
      <c r="M31" s="9" t="s">
        <v>214</v>
      </c>
      <c r="N31" s="373"/>
      <c r="O31" s="19">
        <v>117717.30</v>
      </c>
      <c r="P31" s="128"/>
      <c r="Q31" s="128">
        <f>Table13[[#This Row],[Revenues]]-Table13[[#This Row],[Billed]]</f>
        <v>117717.30</v>
      </c>
      <c r="T31" s="131" t="s">
        <v>791</v>
      </c>
    </row>
    <row r="32" spans="2:21">
      <c r="L32" s="131"/>
      <c r="M32" s="415"/>
      <c r="N32" s="152"/>
      <c r="O32" s="128"/>
      <c r="Q32" s="128"/>
      <c r="U32" s="128"/>
    </row>
    <row r="33" spans="8:21">
      <c r="L33" s="131"/>
      <c r="M33" s="415"/>
      <c r="N33" s="196"/>
      <c r="Q33" s="128"/>
    </row>
    <row r="34" spans="8:21">
      <c r="N34" s="152"/>
      <c r="O34" s="152"/>
    </row>
    <row r="35" spans="8:21">
      <c r="H35" s="125"/>
      <c r="N35" s="152"/>
      <c r="O35" s="152"/>
      <c r="R35" s="246"/>
      <c r="S35" s="374"/>
    </row>
    <row r="36" spans="8:21">
      <c r="H36" s="125"/>
      <c r="N36" s="196"/>
      <c r="R36" s="246"/>
      <c r="S36" s="373"/>
    </row>
    <row r="37" spans="8:21">
      <c r="M37" s="130"/>
    </row>
    <row r="38" spans="8:21">
      <c r="M38" s="130"/>
    </row>
    <row r="41" spans="8:21">
      <c r="R41" s="134"/>
      <c r="S41" s="134"/>
      <c r="T41" s="134"/>
      <c r="U41" s="134"/>
    </row>
    <row r="42" spans="8:21">
      <c r="R42" s="495"/>
      <c r="S42" s="495"/>
      <c r="T42" s="496"/>
      <c r="U42" s="496"/>
    </row>
    <row r="43" spans="8:21">
      <c r="R43" s="495"/>
      <c r="S43" s="495"/>
      <c r="T43" s="495"/>
      <c r="U43" s="495"/>
    </row>
    <row r="44" spans="8:21">
      <c r="R44" s="495"/>
      <c r="S44" s="495"/>
      <c r="T44" s="495"/>
      <c r="U44" s="495"/>
    </row>
    <row r="45" spans="8:21">
      <c r="R45" s="495"/>
      <c r="S45" s="495"/>
      <c r="T45" s="495"/>
      <c r="U45" s="495"/>
    </row>
    <row r="46" spans="8:21">
      <c r="R46" s="496"/>
      <c r="S46" s="496"/>
      <c r="T46" s="496"/>
      <c r="U46" s="496"/>
    </row>
    <row r="47" spans="8:21">
      <c r="R47" s="497"/>
      <c r="S47" s="497"/>
      <c r="T47" s="497"/>
      <c r="U47" s="497"/>
    </row>
  </sheetData>
  <phoneticPr fontId="51" type="noConversion"/>
  <conditionalFormatting sqref="D1:D1048576">
    <cfRule type="containsText" dxfId="62" priority="6" operator="containsText" text="Da Fatturare">
      <formula>NOT(ISERROR(SEARCH("Da Fatturare",D1)))</formula>
    </cfRule>
  </conditionalFormatting>
  <conditionalFormatting sqref="R47:U47">
    <cfRule type="dataBar" priority="1">
      <dataBar>
        <cfvo type="num" val="0"/>
        <cfvo type="num" val="1"/>
        <color rgb="FF638EC6"/>
      </dataBar>
      <extLst>
        <ext xmlns:x14="http://schemas.microsoft.com/office/spreadsheetml/2009/9/main" uri="{B025F937-C7B1-47D3-B67F-A62EFF666E3E}">
          <x14:id>{85A78690-5FD3-4C36-AF2B-52A641226F1D}</x14:id>
        </ext>
      </extLst>
    </cfRule>
    <cfRule type="dataBar" priority="2">
      <dataBar>
        <cfvo type="min"/>
        <cfvo type="max"/>
        <color rgb="FF638EC6"/>
      </dataBar>
      <extLst>
        <ext xmlns:x14="http://schemas.microsoft.com/office/spreadsheetml/2009/9/main" uri="{B025F937-C7B1-47D3-B67F-A62EFF666E3E}">
          <x14:id>{2F0AA717-56FF-48FF-B3E8-168B90490D90}</x14:id>
        </ext>
      </extLst>
    </cfRule>
    <cfRule type="dataBar" priority="3">
      <dataBar>
        <cfvo type="min"/>
        <cfvo type="max"/>
        <color rgb="FF638EC6"/>
      </dataBar>
      <extLst>
        <ext xmlns:x14="http://schemas.microsoft.com/office/spreadsheetml/2009/9/main" uri="{B025F937-C7B1-47D3-B67F-A62EFF666E3E}">
          <x14:id>{9EDF1146-2F8F-447D-9131-587178EA4885}</x14:id>
        </ext>
      </extLst>
    </cfRule>
    <cfRule type="dataBar" priority="4">
      <dataBar>
        <cfvo type="min"/>
        <cfvo type="max"/>
        <color rgb="FF638EC6"/>
      </dataBar>
      <extLst>
        <ext xmlns:x14="http://schemas.microsoft.com/office/spreadsheetml/2009/9/main" uri="{B025F937-C7B1-47D3-B67F-A62EFF666E3E}">
          <x14:id>{26D28338-A5B3-4750-87EF-AF80B97D1B81}</x14:id>
        </ext>
      </extLst>
    </cfRule>
  </conditionalFormatting>
  <dataValidations count="3">
    <dataValidation type="list" allowBlank="1" showInputMessage="1" showErrorMessage="1" sqref="C3:C31" xr:uid="{DCA40D44-C70A-4512-8D67-ADEAF5F2CC11}">
      <formula1>"Da Inviare,Inviata,Approvata CVS"</formula1>
    </dataValidation>
    <dataValidation type="list" allowBlank="1" showInputMessage="1" showErrorMessage="1" sqref="E3:E31" xr:uid="{F8534D6C-9EF2-4B6A-9BF6-9190E9C0218E}">
      <formula1>"1,2,3,3B,CloseWon"</formula1>
    </dataValidation>
    <dataValidation type="list" allowBlank="1" showInputMessage="1" showErrorMessage="1" sqref="D2:D31" xr:uid="{320EF487-B01E-4FF6-BC54-E7A5C11227D7}">
      <formula1>"Da Processare,MMS,MMR,MME,Done,Da Fatturare"</formula1>
    </dataValidation>
  </dataValidations>
  <hyperlinks>
    <hyperlink ref="R27" r:id="rId1" tooltip="Attached on 2026-04-29 09:35:54" display="https://support-close.accenture.com/sys_attachment.do?sys_id=364e4b25c36007d42bf11e5ce0013157" xr:uid="{0E7E3C70-4EC5-4F47-AE68-221DCDE89E61}"/>
  </hyperlinks>
  <pageMargins left="0.7" right="0.7" top="0.75" bottom="0.75" header="0.3" footer="0.3"/>
  <pageSetup paperSize="9" orientation="portrait"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5A78690-5FD3-4C36-AF2B-52A641226F1D}">
            <x14:dataBar minLength="0" maxLength="100" gradient="0">
              <x14:cfvo type="num">
                <xm:f>0</xm:f>
              </x14:cfvo>
              <x14:cfvo type="num">
                <xm:f>1</xm:f>
              </x14:cfvo>
              <x14:negativeFillColor rgb="FFFF0000"/>
              <x14:axisColor rgb="FF000000"/>
            </x14:dataBar>
          </x14:cfRule>
          <x14:cfRule type="dataBar" id="{2F0AA717-56FF-48FF-B3E8-168B90490D90}">
            <x14:dataBar minLength="0" maxLength="100" gradient="0" direction="leftToRight" negativeBarColorSameAsPositive="1">
              <x14:cfvo type="autoMin"/>
              <x14:cfvo type="autoMax"/>
              <x14:axisColor rgb="FF000000"/>
            </x14:dataBar>
          </x14:cfRule>
          <x14:cfRule type="dataBar" id="{9EDF1146-2F8F-447D-9131-587178EA4885}">
            <x14:dataBar minLength="0" maxLength="100" gradient="0" direction="leftToRight">
              <x14:cfvo type="autoMin"/>
              <x14:cfvo type="autoMax"/>
              <x14:negativeFillColor rgb="FFFF0000"/>
              <x14:axisColor rgb="FF000000"/>
            </x14:dataBar>
          </x14:cfRule>
          <x14:cfRule type="dataBar" id="{26D28338-A5B3-4750-87EF-AF80B97D1B81}">
            <x14:dataBar minLength="0" maxLength="100" gradient="0">
              <x14:cfvo type="autoMin"/>
              <x14:cfvo type="autoMax"/>
              <x14:negativeFillColor rgb="FFFF0000"/>
              <x14:axisColor rgb="FF000000"/>
            </x14:dataBar>
          </x14:cfRule>
          <xm:sqref>R47:U47</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1C7E5-ADA4-4058-947B-A2B100E1735C}">
  <sheetPr codeName="Sheet23"/>
  <dimension ref="B2:U25"/>
  <sheetViews>
    <sheetView zoomScale="60" zoomScaleNormal="60" zoomScaleSheetLayoutView="70" workbookViewId="0">
      <selection activeCell="H23" activeCellId="1" sqref="L23 H23"/>
    </sheetView>
  </sheetViews>
  <sheetFormatPr defaultColWidth="8.81640625" defaultRowHeight="14.5"/>
  <cols>
    <col min="1" max="1" width="4.54296875" style="9" customWidth="1"/>
    <col min="2" max="2" width="11.81640625" style="9" bestFit="1" customWidth="1"/>
    <col min="3" max="3" width="13.54296875" style="9" customWidth="1"/>
    <col min="4" max="4" width="19.54296875" style="9" customWidth="1"/>
    <col min="5" max="5" width="14.7265625" style="9" bestFit="1" customWidth="1"/>
    <col min="6" max="6" width="13.54296875" style="9" bestFit="1" customWidth="1"/>
    <col min="7" max="7" width="10.36328125" style="9" customWidth="1"/>
    <col min="8" max="8" width="15.81640625" style="9" customWidth="1"/>
    <col min="9" max="9" width="11.453125" style="9" customWidth="1"/>
    <col min="10" max="10" width="17.7265625" style="9" customWidth="1"/>
    <col min="11" max="11" width="14.54296875" style="9" bestFit="1" customWidth="1"/>
    <col min="12" max="12" width="54.81640625" style="9" customWidth="1"/>
    <col min="13" max="13" width="37.1796875" style="9" bestFit="1" customWidth="1"/>
    <col min="14" max="14" width="37" style="9" customWidth="1"/>
    <col min="15" max="17" width="19.81640625" style="9" customWidth="1"/>
    <col min="18" max="18" width="22.54296875" style="127" customWidth="1"/>
    <col min="19" max="19" width="22.54296875" style="9" customWidth="1"/>
    <col min="20" max="20" width="13.26953125" style="131" bestFit="1" customWidth="1"/>
    <col min="21" max="21" width="13.08984375" style="9" bestFit="1" customWidth="1"/>
    <col min="22" max="22" width="10.453125" style="9" bestFit="1" customWidth="1"/>
    <col min="23" max="16384" width="8.81640625" style="9"/>
  </cols>
  <sheetData>
    <row r="2" spans="2:21">
      <c r="B2" s="9" t="s">
        <v>22</v>
      </c>
      <c r="C2" s="9" t="s">
        <v>231</v>
      </c>
      <c r="D2" s="9" t="s">
        <v>233</v>
      </c>
      <c r="E2" s="9" t="s">
        <v>300</v>
      </c>
      <c r="F2" s="9" t="s">
        <v>385</v>
      </c>
      <c r="G2" s="9" t="s">
        <v>388</v>
      </c>
      <c r="H2" s="9" t="s">
        <v>80</v>
      </c>
      <c r="I2" s="9" t="s">
        <v>232</v>
      </c>
      <c r="J2" s="9" t="s">
        <v>78</v>
      </c>
      <c r="K2" s="9" t="s">
        <v>9</v>
      </c>
      <c r="L2" s="9" t="s">
        <v>24</v>
      </c>
      <c r="M2" s="9" t="s">
        <v>178</v>
      </c>
      <c r="N2" s="9" t="s">
        <v>179</v>
      </c>
      <c r="O2" s="9" t="s">
        <v>6</v>
      </c>
      <c r="P2" s="9" t="s">
        <v>76</v>
      </c>
      <c r="Q2" s="9" t="s">
        <v>77</v>
      </c>
      <c r="R2" s="127" t="s">
        <v>397</v>
      </c>
      <c r="S2" s="9" t="s">
        <v>490</v>
      </c>
      <c r="T2" s="131" t="s">
        <v>10</v>
      </c>
    </row>
    <row r="3" spans="2:21">
      <c r="B3" s="125" t="s">
        <v>66</v>
      </c>
      <c r="C3" s="125" t="s">
        <v>236</v>
      </c>
      <c r="D3" s="125" t="s">
        <v>276</v>
      </c>
      <c r="E3" s="125" t="s">
        <v>304</v>
      </c>
      <c r="F3" s="125" t="s">
        <v>788</v>
      </c>
      <c r="G3" s="125" t="s">
        <v>0</v>
      </c>
      <c r="H3" s="125" t="s">
        <v>604</v>
      </c>
      <c r="I3" s="125" t="s">
        <v>621</v>
      </c>
      <c r="J3" s="125"/>
      <c r="K3" s="9" t="s">
        <v>38</v>
      </c>
      <c r="L3" s="365" t="s">
        <v>603</v>
      </c>
      <c r="M3" s="9" t="s">
        <v>563</v>
      </c>
      <c r="N3" s="131"/>
      <c r="O3" s="421">
        <v>32770.559999999998</v>
      </c>
      <c r="Q3" s="152">
        <f>Table134[[#This Row],[Revenues]]-Table134[[#This Row],[Billed]]</f>
        <v>32770.559999999998</v>
      </c>
    </row>
    <row r="4" spans="2:21">
      <c r="B4" s="125" t="s">
        <v>693</v>
      </c>
      <c r="C4" s="125" t="s">
        <v>236</v>
      </c>
      <c r="D4" s="125" t="s">
        <v>276</v>
      </c>
      <c r="E4" s="125" t="s">
        <v>304</v>
      </c>
      <c r="F4" s="125" t="s">
        <v>711</v>
      </c>
      <c r="G4" s="125" t="s">
        <v>0</v>
      </c>
      <c r="H4" s="125" t="s">
        <v>610</v>
      </c>
      <c r="I4" s="125"/>
      <c r="J4" s="125"/>
      <c r="L4" s="9" t="s">
        <v>750</v>
      </c>
      <c r="M4" s="293" t="s">
        <v>611</v>
      </c>
      <c r="N4" s="484" t="s">
        <v>751</v>
      </c>
      <c r="O4" s="421">
        <v>160000</v>
      </c>
      <c r="P4" s="293"/>
      <c r="Q4" s="152">
        <f>Table134[[#This Row],[Revenues]]-Table134[[#This Row],[Billed]]</f>
        <v>160000</v>
      </c>
    </row>
    <row r="5" spans="2:21">
      <c r="B5" s="125" t="s">
        <v>693</v>
      </c>
      <c r="C5" s="125" t="s">
        <v>236</v>
      </c>
      <c r="D5" s="125" t="s">
        <v>276</v>
      </c>
      <c r="E5" s="125" t="s">
        <v>304</v>
      </c>
      <c r="F5" s="125" t="s">
        <v>692</v>
      </c>
      <c r="G5" s="125" t="s">
        <v>1</v>
      </c>
      <c r="H5" s="125" t="s">
        <v>632</v>
      </c>
      <c r="I5" s="125"/>
      <c r="J5" s="125"/>
      <c r="L5" s="9" t="s">
        <v>630</v>
      </c>
      <c r="M5" s="9" t="s">
        <v>626</v>
      </c>
      <c r="N5" s="373"/>
      <c r="O5" s="421">
        <v>70000</v>
      </c>
      <c r="Q5" s="152">
        <f>Table134[[#This Row],[Revenues]]-Table134[[#This Row],[Billed]]</f>
        <v>70000</v>
      </c>
    </row>
    <row r="6" spans="2:21">
      <c r="B6" s="125" t="s">
        <v>693</v>
      </c>
      <c r="C6" s="125" t="s">
        <v>236</v>
      </c>
      <c r="D6" s="125" t="s">
        <v>276</v>
      </c>
      <c r="E6" s="125" t="s">
        <v>304</v>
      </c>
      <c r="F6" s="125" t="s">
        <v>692</v>
      </c>
      <c r="G6" s="125" t="s">
        <v>1</v>
      </c>
      <c r="H6" s="125" t="s">
        <v>634</v>
      </c>
      <c r="I6" s="125"/>
      <c r="J6" s="125"/>
      <c r="L6" s="9" t="s">
        <v>631</v>
      </c>
      <c r="M6" s="9" t="s">
        <v>626</v>
      </c>
      <c r="N6" s="373"/>
      <c r="O6" s="154">
        <v>30000</v>
      </c>
      <c r="Q6" s="152">
        <f>Table134[[#This Row],[Revenues]]-Table134[[#This Row],[Billed]]</f>
        <v>30000</v>
      </c>
    </row>
    <row r="7" spans="2:21">
      <c r="B7" s="125" t="s">
        <v>66</v>
      </c>
      <c r="C7" s="125" t="s">
        <v>698</v>
      </c>
      <c r="D7" s="125" t="s">
        <v>276</v>
      </c>
      <c r="E7" s="125" t="s">
        <v>304</v>
      </c>
      <c r="F7" s="125" t="s">
        <v>718</v>
      </c>
      <c r="G7" s="125" t="s">
        <v>0</v>
      </c>
      <c r="H7" s="125" t="s">
        <v>656</v>
      </c>
      <c r="I7" s="125"/>
      <c r="J7" s="125"/>
      <c r="K7" s="9" t="s">
        <v>38</v>
      </c>
      <c r="L7" s="9" t="s">
        <v>653</v>
      </c>
      <c r="N7" s="373" t="s">
        <v>651</v>
      </c>
      <c r="O7" s="154">
        <v>150000</v>
      </c>
      <c r="P7" s="128"/>
      <c r="Q7" s="152">
        <f>Table134[[#This Row],[Revenues]]-Table134[[#This Row],[Billed]]</f>
        <v>150000</v>
      </c>
    </row>
    <row r="8" spans="2:21">
      <c r="B8" s="125" t="s">
        <v>26</v>
      </c>
      <c r="C8" s="125" t="s">
        <v>698</v>
      </c>
      <c r="D8" s="125" t="s">
        <v>276</v>
      </c>
      <c r="E8" s="125" t="s">
        <v>304</v>
      </c>
      <c r="F8" s="125" t="s">
        <v>718</v>
      </c>
      <c r="G8" s="125" t="s">
        <v>0</v>
      </c>
      <c r="H8" s="125" t="s">
        <v>655</v>
      </c>
      <c r="I8" s="125"/>
      <c r="J8" s="125"/>
      <c r="L8" s="9" t="s">
        <v>654</v>
      </c>
      <c r="N8" s="373" t="s">
        <v>651</v>
      </c>
      <c r="O8" s="154">
        <v>150000</v>
      </c>
      <c r="P8" s="128"/>
      <c r="Q8" s="152">
        <f>Table134[[#This Row],[Revenues]]-Table134[[#This Row],[Billed]]</f>
        <v>150000</v>
      </c>
    </row>
    <row r="9" spans="2:21" ht="29">
      <c r="B9" s="125" t="s">
        <v>66</v>
      </c>
      <c r="C9" s="125" t="s">
        <v>698</v>
      </c>
      <c r="D9" s="125" t="s">
        <v>276</v>
      </c>
      <c r="E9" s="125" t="s">
        <v>304</v>
      </c>
      <c r="F9" s="125" t="s">
        <v>711</v>
      </c>
      <c r="G9" s="125" t="s">
        <v>0</v>
      </c>
      <c r="H9" s="125" t="s">
        <v>672</v>
      </c>
      <c r="I9" s="125"/>
      <c r="J9" s="125"/>
      <c r="K9" s="9" t="s">
        <v>38</v>
      </c>
      <c r="L9" s="9" t="s">
        <v>705</v>
      </c>
      <c r="N9" s="131" t="s">
        <v>670</v>
      </c>
      <c r="O9" s="154">
        <v>400000</v>
      </c>
      <c r="P9" s="128"/>
      <c r="Q9" s="152">
        <f>Table134[[#This Row],[Revenues]]-Table134[[#This Row],[Billed]]</f>
        <v>400000</v>
      </c>
    </row>
    <row r="10" spans="2:21">
      <c r="B10" s="125" t="s">
        <v>26</v>
      </c>
      <c r="C10" s="125" t="s">
        <v>698</v>
      </c>
      <c r="D10" s="125" t="s">
        <v>276</v>
      </c>
      <c r="E10" s="125" t="s">
        <v>304</v>
      </c>
      <c r="F10" s="125" t="s">
        <v>692</v>
      </c>
      <c r="G10" s="125" t="s">
        <v>1</v>
      </c>
      <c r="H10" s="125" t="s">
        <v>691</v>
      </c>
      <c r="I10" s="125"/>
      <c r="J10" s="125"/>
      <c r="K10" s="9" t="s">
        <v>23</v>
      </c>
      <c r="L10" s="9" t="s">
        <v>689</v>
      </c>
      <c r="N10" s="373" t="s">
        <v>690</v>
      </c>
      <c r="O10" s="154">
        <v>40983.61</v>
      </c>
      <c r="Q10" s="152">
        <f>Table134[[#This Row],[Revenues]]-Table134[[#This Row],[Billed]]</f>
        <v>40983.61</v>
      </c>
      <c r="U10" s="128"/>
    </row>
    <row r="11" spans="2:21" ht="29">
      <c r="B11" s="125" t="s">
        <v>26</v>
      </c>
      <c r="C11" s="125" t="s">
        <v>698</v>
      </c>
      <c r="D11" s="125" t="s">
        <v>276</v>
      </c>
      <c r="E11" s="125" t="s">
        <v>304</v>
      </c>
      <c r="F11" s="125" t="s">
        <v>649</v>
      </c>
      <c r="G11" s="125" t="s">
        <v>0</v>
      </c>
      <c r="H11" s="125" t="s">
        <v>700</v>
      </c>
      <c r="I11" s="125"/>
      <c r="J11" s="125"/>
      <c r="K11" s="9" t="s">
        <v>23</v>
      </c>
      <c r="L11" s="9" t="s">
        <v>696</v>
      </c>
      <c r="M11" s="9" t="s">
        <v>364</v>
      </c>
      <c r="N11" s="131" t="s">
        <v>695</v>
      </c>
      <c r="O11" s="421">
        <v>73770</v>
      </c>
      <c r="Q11" s="152">
        <f>Table134[[#This Row],[Revenues]]-Table134[[#This Row],[Billed]]</f>
        <v>73770</v>
      </c>
    </row>
    <row r="12" spans="2:21" ht="58">
      <c r="B12" s="125" t="s">
        <v>66</v>
      </c>
      <c r="C12" s="125" t="s">
        <v>698</v>
      </c>
      <c r="D12" s="125" t="s">
        <v>276</v>
      </c>
      <c r="E12" s="125" t="s">
        <v>304</v>
      </c>
      <c r="F12" s="125" t="s">
        <v>649</v>
      </c>
      <c r="G12" s="125" t="s">
        <v>0</v>
      </c>
      <c r="H12" s="125" t="s">
        <v>703</v>
      </c>
      <c r="I12" s="125"/>
      <c r="J12" s="125"/>
      <c r="L12" s="9" t="s">
        <v>704</v>
      </c>
      <c r="M12" s="9" t="s">
        <v>570</v>
      </c>
      <c r="N12" s="131" t="s">
        <v>706</v>
      </c>
      <c r="O12" s="421">
        <v>150000</v>
      </c>
      <c r="Q12" s="152">
        <f>Table134[[#This Row],[Revenues]]-Table134[[#This Row],[Billed]]</f>
        <v>150000</v>
      </c>
    </row>
    <row r="13" spans="2:21">
      <c r="B13" s="125" t="s">
        <v>693</v>
      </c>
      <c r="C13" s="125" t="s">
        <v>698</v>
      </c>
      <c r="D13" s="125" t="s">
        <v>276</v>
      </c>
      <c r="E13" s="125" t="s">
        <v>304</v>
      </c>
      <c r="F13" s="125" t="s">
        <v>718</v>
      </c>
      <c r="G13" s="125" t="s">
        <v>0</v>
      </c>
      <c r="H13" s="125" t="s">
        <v>710</v>
      </c>
      <c r="I13" s="125"/>
      <c r="J13" s="125"/>
      <c r="L13" s="9" t="s">
        <v>709</v>
      </c>
      <c r="N13" s="131"/>
      <c r="O13" s="421">
        <v>100000</v>
      </c>
      <c r="Q13" s="152">
        <f>Table134[[#This Row],[Revenues]]-Table134[[#This Row],[Billed]]</f>
        <v>100000</v>
      </c>
    </row>
    <row r="14" spans="2:21">
      <c r="B14" s="125" t="s">
        <v>693</v>
      </c>
      <c r="C14" s="125" t="s">
        <v>698</v>
      </c>
      <c r="D14" s="125" t="s">
        <v>276</v>
      </c>
      <c r="E14" s="125" t="s">
        <v>304</v>
      </c>
      <c r="F14" s="125" t="s">
        <v>718</v>
      </c>
      <c r="G14" s="125" t="s">
        <v>0</v>
      </c>
      <c r="H14" s="125" t="s">
        <v>712</v>
      </c>
      <c r="I14" s="125"/>
      <c r="J14" s="125"/>
      <c r="L14" s="9" t="s">
        <v>713</v>
      </c>
      <c r="N14" s="131"/>
      <c r="O14" s="421">
        <v>100000</v>
      </c>
      <c r="Q14" s="152">
        <f>Table134[[#This Row],[Revenues]]-Table134[[#This Row],[Billed]]</f>
        <v>100000</v>
      </c>
    </row>
    <row r="15" spans="2:21">
      <c r="B15" s="125"/>
      <c r="C15" s="125" t="s">
        <v>698</v>
      </c>
      <c r="D15" s="125" t="s">
        <v>276</v>
      </c>
      <c r="E15" s="125" t="s">
        <v>304</v>
      </c>
      <c r="F15" s="125" t="s">
        <v>718</v>
      </c>
      <c r="G15" s="125" t="s">
        <v>0</v>
      </c>
      <c r="H15" s="125" t="s">
        <v>716</v>
      </c>
      <c r="I15" s="125"/>
      <c r="J15" s="125"/>
      <c r="L15" s="9" t="s">
        <v>714</v>
      </c>
      <c r="N15" s="131"/>
      <c r="O15" s="421">
        <v>100000</v>
      </c>
      <c r="Q15" s="152">
        <f>Table134[[#This Row],[Revenues]]-Table134[[#This Row],[Billed]]</f>
        <v>100000</v>
      </c>
    </row>
    <row r="16" spans="2:21">
      <c r="B16" s="125"/>
      <c r="C16" s="125" t="s">
        <v>698</v>
      </c>
      <c r="D16" s="125" t="s">
        <v>276</v>
      </c>
      <c r="E16" s="125" t="s">
        <v>304</v>
      </c>
      <c r="F16" s="125" t="s">
        <v>718</v>
      </c>
      <c r="G16" s="125" t="s">
        <v>0</v>
      </c>
      <c r="H16" s="125" t="s">
        <v>717</v>
      </c>
      <c r="I16" s="125"/>
      <c r="J16" s="125"/>
      <c r="L16" s="9" t="s">
        <v>715</v>
      </c>
      <c r="N16" s="131"/>
      <c r="O16" s="421">
        <v>100000</v>
      </c>
      <c r="Q16" s="152">
        <f>Table134[[#This Row],[Revenues]]-Table134[[#This Row],[Billed]]</f>
        <v>100000</v>
      </c>
    </row>
    <row r="17" spans="2:20">
      <c r="B17" s="125" t="s">
        <v>66</v>
      </c>
      <c r="C17" s="125" t="s">
        <v>698</v>
      </c>
      <c r="D17" s="125" t="s">
        <v>276</v>
      </c>
      <c r="E17" s="125" t="s">
        <v>757</v>
      </c>
      <c r="F17" s="125" t="s">
        <v>718</v>
      </c>
      <c r="G17" s="125" t="s">
        <v>0</v>
      </c>
      <c r="H17" s="125" t="s">
        <v>756</v>
      </c>
      <c r="I17" s="125"/>
      <c r="J17" s="125"/>
      <c r="K17" s="9" t="s">
        <v>38</v>
      </c>
      <c r="L17" s="9" t="s">
        <v>752</v>
      </c>
      <c r="M17" s="9" t="s">
        <v>755</v>
      </c>
      <c r="N17" s="131"/>
      <c r="O17" s="421">
        <v>20000</v>
      </c>
      <c r="Q17" s="152">
        <f>Table134[[#This Row],[Revenues]]-Table134[[#This Row],[Billed]]</f>
        <v>20000</v>
      </c>
    </row>
    <row r="18" spans="2:20">
      <c r="B18" s="125" t="s">
        <v>66</v>
      </c>
      <c r="C18" s="125" t="s">
        <v>698</v>
      </c>
      <c r="D18" s="125" t="s">
        <v>276</v>
      </c>
      <c r="E18" s="125" t="s">
        <v>757</v>
      </c>
      <c r="F18" s="125" t="s">
        <v>692</v>
      </c>
      <c r="G18" s="125" t="s">
        <v>1</v>
      </c>
      <c r="H18" s="125" t="s">
        <v>758</v>
      </c>
      <c r="I18" s="125"/>
      <c r="J18" s="125"/>
      <c r="K18" s="9" t="s">
        <v>38</v>
      </c>
      <c r="L18" s="9" t="s">
        <v>753</v>
      </c>
      <c r="M18" s="9" t="s">
        <v>755</v>
      </c>
      <c r="N18" s="131"/>
      <c r="O18" s="421">
        <v>50000</v>
      </c>
      <c r="Q18" s="152">
        <f>Table134[[#This Row],[Revenues]]-Table134[[#This Row],[Billed]]</f>
        <v>50000</v>
      </c>
    </row>
    <row r="19" spans="2:20">
      <c r="B19" s="125" t="s">
        <v>66</v>
      </c>
      <c r="C19" s="125" t="s">
        <v>698</v>
      </c>
      <c r="D19" s="125" t="s">
        <v>276</v>
      </c>
      <c r="E19" s="125" t="s">
        <v>757</v>
      </c>
      <c r="F19" s="125" t="s">
        <v>718</v>
      </c>
      <c r="G19" s="125" t="s">
        <v>0</v>
      </c>
      <c r="H19" s="125" t="s">
        <v>759</v>
      </c>
      <c r="I19" s="125"/>
      <c r="J19" s="125"/>
      <c r="K19" s="9" t="s">
        <v>38</v>
      </c>
      <c r="L19" s="9" t="s">
        <v>754</v>
      </c>
      <c r="M19" s="9" t="s">
        <v>755</v>
      </c>
      <c r="N19" s="131"/>
      <c r="O19" s="421">
        <v>30000</v>
      </c>
      <c r="Q19" s="152">
        <f>Table134[[#This Row],[Revenues]]-Table134[[#This Row],[Billed]]</f>
        <v>30000</v>
      </c>
    </row>
    <row r="20" spans="2:20">
      <c r="B20" s="125" t="s">
        <v>26</v>
      </c>
      <c r="C20" s="125" t="s">
        <v>698</v>
      </c>
      <c r="D20" s="125" t="s">
        <v>276</v>
      </c>
      <c r="E20" s="125" t="s">
        <v>757</v>
      </c>
      <c r="F20" s="125" t="s">
        <v>718</v>
      </c>
      <c r="G20" s="125" t="s">
        <v>0</v>
      </c>
      <c r="H20" s="125" t="s">
        <v>767</v>
      </c>
      <c r="I20" s="125"/>
      <c r="J20" s="125"/>
      <c r="K20" s="9" t="s">
        <v>23</v>
      </c>
      <c r="L20" s="9" t="s">
        <v>661</v>
      </c>
      <c r="M20" s="9" t="s">
        <v>764</v>
      </c>
      <c r="N20" s="131"/>
      <c r="O20" s="421">
        <v>172500</v>
      </c>
      <c r="Q20" s="152">
        <f>Table134[[#This Row],[Revenues]]-Table134[[#This Row],[Billed]]</f>
        <v>172500</v>
      </c>
    </row>
    <row r="21" spans="2:20">
      <c r="B21" s="125" t="s">
        <v>26</v>
      </c>
      <c r="C21" s="125" t="s">
        <v>698</v>
      </c>
      <c r="D21" s="125" t="s">
        <v>276</v>
      </c>
      <c r="E21" s="125" t="s">
        <v>757</v>
      </c>
      <c r="F21" s="125" t="s">
        <v>769</v>
      </c>
      <c r="G21" s="125" t="s">
        <v>1</v>
      </c>
      <c r="H21" s="125" t="s">
        <v>768</v>
      </c>
      <c r="I21" s="125"/>
      <c r="J21" s="125"/>
      <c r="K21" s="9" t="s">
        <v>23</v>
      </c>
      <c r="L21" s="9" t="s">
        <v>660</v>
      </c>
      <c r="M21" s="9" t="s">
        <v>764</v>
      </c>
      <c r="N21" s="131"/>
      <c r="O21" s="421">
        <v>172500</v>
      </c>
      <c r="Q21" s="152">
        <f>Table134[[#This Row],[Revenues]]-Table134[[#This Row],[Billed]]</f>
        <v>172500</v>
      </c>
    </row>
    <row r="22" spans="2:20">
      <c r="B22" s="125" t="s">
        <v>66</v>
      </c>
      <c r="C22" s="125" t="s">
        <v>698</v>
      </c>
      <c r="D22" s="125" t="s">
        <v>276</v>
      </c>
      <c r="E22" s="125" t="s">
        <v>304</v>
      </c>
      <c r="F22" s="125" t="s">
        <v>692</v>
      </c>
      <c r="G22" s="125" t="s">
        <v>1</v>
      </c>
      <c r="H22" s="125" t="s">
        <v>766</v>
      </c>
      <c r="I22" s="125"/>
      <c r="J22" s="125"/>
      <c r="K22" s="9" t="s">
        <v>38</v>
      </c>
      <c r="L22" s="9" t="s">
        <v>765</v>
      </c>
      <c r="M22" s="152"/>
      <c r="N22" s="131"/>
      <c r="O22" s="421">
        <v>500000</v>
      </c>
      <c r="Q22" s="152">
        <f>Table134[[#This Row],[Revenues]]-Table134[[#This Row],[Billed]]</f>
        <v>500000</v>
      </c>
    </row>
    <row r="23" spans="2:20">
      <c r="B23" s="573" t="s">
        <v>66</v>
      </c>
      <c r="C23" s="125" t="s">
        <v>698</v>
      </c>
      <c r="D23" s="125" t="s">
        <v>276</v>
      </c>
      <c r="E23" s="574" t="s">
        <v>757</v>
      </c>
      <c r="F23" s="125" t="s">
        <v>711</v>
      </c>
      <c r="G23" s="125" t="s">
        <v>0</v>
      </c>
      <c r="H23" s="574">
        <v>10290813</v>
      </c>
      <c r="I23" s="574"/>
      <c r="J23" s="574"/>
      <c r="K23" s="9" t="s">
        <v>38</v>
      </c>
      <c r="L23" s="9" t="s">
        <v>795</v>
      </c>
      <c r="M23" s="575"/>
      <c r="N23" s="576"/>
      <c r="O23" s="154">
        <v>100000</v>
      </c>
      <c r="P23" s="577"/>
      <c r="Q23" s="578">
        <f>Table134[[#This Row],[Revenues]]-Table134[[#This Row],[Billed]]</f>
        <v>100000</v>
      </c>
      <c r="R23" s="560"/>
      <c r="S23" s="579"/>
      <c r="T23" s="580"/>
    </row>
    <row r="25" spans="2:20">
      <c r="O25" s="152">
        <f>O23*(1-36%)</f>
        <v>64000</v>
      </c>
      <c r="P25" s="152"/>
    </row>
  </sheetData>
  <phoneticPr fontId="51" type="noConversion"/>
  <conditionalFormatting sqref="D1:D1048576">
    <cfRule type="containsText" dxfId="61" priority="11" operator="containsText" text="Da Fatturare">
      <formula>NOT(ISERROR(SEARCH("Da Fatturare",D1)))</formula>
    </cfRule>
  </conditionalFormatting>
  <dataValidations count="3">
    <dataValidation type="list" allowBlank="1" showInputMessage="1" showErrorMessage="1" sqref="D2:D23" xr:uid="{31CBB5B7-ADCE-459B-90A1-99D1F2F58933}">
      <formula1>"Da Processare,MMS,MMR,MME,Done,Da Fatturare"</formula1>
    </dataValidation>
    <dataValidation type="list" allowBlank="1" showInputMessage="1" showErrorMessage="1" sqref="C3:C23" xr:uid="{A5E0C7E1-507B-4E61-9F33-7C2B6D79FC83}">
      <formula1>"Da Inviare,Inviata,Approvata CVS"</formula1>
    </dataValidation>
    <dataValidation type="list" allowBlank="1" showInputMessage="1" showErrorMessage="1" sqref="E1:E1048576" xr:uid="{AD6B70FA-9D59-4D39-9857-90B8A11EFFF7}">
      <formula1>"0,1,2,3,3B,CloseWon"</formula1>
    </dataValidation>
  </dataValidations>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332C0-15A9-49AF-A7AE-F155B96C6411}">
  <sheetPr codeName="Sheet1" filterMode="1"/>
  <dimension ref="B2:Q86"/>
  <sheetViews>
    <sheetView tabSelected="1" zoomScale="56" zoomScaleNormal="56" workbookViewId="0">
      <pane xSplit="2" ySplit="3" topLeftCell="C71" activePane="bottomRight" state="frozen"/>
      <selection activeCell="N18" sqref="N18"/>
      <selection pane="topRight" activeCell="N18" sqref="N18"/>
      <selection pane="bottomLeft" activeCell="N18" sqref="N18"/>
      <selection pane="bottomRight" activeCell="M77" sqref="M77"/>
    </sheetView>
  </sheetViews>
  <sheetFormatPr defaultColWidth="8.54296875" defaultRowHeight="14.5"/>
  <cols>
    <col min="1" max="1" width="3.453125" style="9" customWidth="1"/>
    <col min="2" max="2" width="19.81640625" style="9" customWidth="1"/>
    <col min="3" max="3" width="44" style="9" customWidth="1"/>
    <col min="4" max="4" width="14.54296875" style="9" bestFit="1" customWidth="1"/>
    <col min="5" max="5" width="16.1796875" style="9" customWidth="1"/>
    <col min="6" max="6" width="17.81640625" style="9" bestFit="1" customWidth="1"/>
    <col min="7" max="7" width="12.453125" style="9" customWidth="1"/>
    <col min="8" max="8" width="13.81640625" style="9" bestFit="1" customWidth="1"/>
    <col min="9" max="9" width="13.81640625" style="9" customWidth="1"/>
    <col min="10" max="10" width="55.1796875" style="9" customWidth="1"/>
    <col min="11" max="11" width="15" style="9" customWidth="1"/>
    <col min="12" max="12" width="28.26953125" style="9" customWidth="1"/>
    <col min="13" max="13" width="11.453125" style="9" customWidth="1"/>
    <col min="14" max="14" width="12.1796875" style="9" customWidth="1"/>
    <col min="15" max="15" width="21.54296875" style="9" bestFit="1" customWidth="1"/>
    <col min="16" max="16" width="20.1796875" style="9" customWidth="1"/>
    <col min="17" max="16384" width="8.54296875" style="9"/>
  </cols>
  <sheetData>
    <row r="2" spans="2:12">
      <c r="H2" s="126"/>
    </row>
    <row r="3" spans="2:12">
      <c r="B3" s="10" t="s">
        <v>15</v>
      </c>
      <c r="C3" s="10" t="s">
        <v>16</v>
      </c>
      <c r="D3" s="10" t="s">
        <v>17</v>
      </c>
      <c r="E3" s="10" t="s">
        <v>40</v>
      </c>
      <c r="F3" s="10" t="s">
        <v>18</v>
      </c>
      <c r="G3" s="10" t="s">
        <v>19</v>
      </c>
      <c r="H3" s="10" t="s">
        <v>11</v>
      </c>
      <c r="I3" s="10" t="s">
        <v>451</v>
      </c>
      <c r="J3" s="10" t="s">
        <v>10</v>
      </c>
      <c r="L3" s="9" t="s">
        <v>401</v>
      </c>
    </row>
    <row r="4" spans="2:12" hidden="1">
      <c r="B4" s="3" t="s">
        <v>20</v>
      </c>
      <c r="C4" s="5" t="s">
        <v>50</v>
      </c>
      <c r="D4" s="20" t="s">
        <v>51</v>
      </c>
      <c r="E4" s="29" t="s">
        <v>49</v>
      </c>
      <c r="F4" s="7">
        <v>1139</v>
      </c>
      <c r="G4" s="7">
        <v>1139</v>
      </c>
      <c r="H4" s="11">
        <f>F4-G4</f>
        <v>0</v>
      </c>
      <c r="I4" s="11"/>
      <c r="J4" s="5" t="s">
        <v>57</v>
      </c>
      <c r="K4" s="5"/>
    </row>
    <row r="5" spans="2:12" ht="29" hidden="1">
      <c r="B5" s="3" t="s">
        <v>20</v>
      </c>
      <c r="C5" s="5" t="s">
        <v>53</v>
      </c>
      <c r="D5" s="20" t="s">
        <v>52</v>
      </c>
      <c r="E5" s="29" t="s">
        <v>56</v>
      </c>
      <c r="F5" s="7">
        <v>3784</v>
      </c>
      <c r="G5" s="7">
        <v>3784</v>
      </c>
      <c r="H5" s="11">
        <f t="shared" ref="H5:H11" si="0">F5-G5</f>
        <v>0</v>
      </c>
      <c r="I5" s="11"/>
      <c r="J5" s="21" t="s">
        <v>104</v>
      </c>
      <c r="K5" s="5"/>
    </row>
    <row r="6" spans="2:12" hidden="1">
      <c r="B6" s="3" t="s">
        <v>21</v>
      </c>
      <c r="C6" s="5" t="s">
        <v>54</v>
      </c>
      <c r="D6" s="20" t="s">
        <v>55</v>
      </c>
      <c r="E6" s="29" t="s">
        <v>58</v>
      </c>
      <c r="F6" s="7">
        <v>2132</v>
      </c>
      <c r="G6" s="7">
        <v>2132</v>
      </c>
      <c r="H6" s="11">
        <f t="shared" si="0"/>
        <v>0</v>
      </c>
      <c r="I6" s="11"/>
      <c r="J6" s="5"/>
      <c r="K6" s="5"/>
    </row>
    <row r="7" spans="2:12" hidden="1">
      <c r="B7" s="3" t="s">
        <v>21</v>
      </c>
      <c r="C7" s="5" t="s">
        <v>59</v>
      </c>
      <c r="D7" s="20" t="s">
        <v>60</v>
      </c>
      <c r="E7" s="29" t="s">
        <v>61</v>
      </c>
      <c r="F7" s="7">
        <v>1720</v>
      </c>
      <c r="G7" s="7">
        <v>1720</v>
      </c>
      <c r="H7" s="11">
        <f t="shared" si="0"/>
        <v>0</v>
      </c>
      <c r="I7" s="11"/>
      <c r="J7" s="5" t="s">
        <v>103</v>
      </c>
      <c r="K7" s="5"/>
    </row>
    <row r="8" spans="2:12" ht="87" hidden="1">
      <c r="B8" s="3" t="s">
        <v>20</v>
      </c>
      <c r="C8" s="9" t="s">
        <v>63</v>
      </c>
      <c r="D8" s="20" t="s">
        <v>62</v>
      </c>
      <c r="E8" s="29" t="s">
        <v>64</v>
      </c>
      <c r="F8" s="7">
        <v>9048</v>
      </c>
      <c r="G8" s="7">
        <f>929.52+766.1+400+1686.25+735.5+735+495+771.98</f>
        <v>5304.80</v>
      </c>
      <c r="H8" s="11">
        <v>0</v>
      </c>
      <c r="I8" s="11"/>
      <c r="J8" s="32" t="s">
        <v>105</v>
      </c>
      <c r="K8" s="5"/>
    </row>
    <row r="9" spans="2:12" hidden="1">
      <c r="B9" s="3" t="s">
        <v>21</v>
      </c>
      <c r="C9" s="5" t="s">
        <v>106</v>
      </c>
      <c r="D9" s="20" t="s">
        <v>107</v>
      </c>
      <c r="E9" s="29" t="s">
        <v>108</v>
      </c>
      <c r="F9" s="7">
        <v>1058</v>
      </c>
      <c r="G9" s="7">
        <v>1058</v>
      </c>
      <c r="H9" s="11">
        <f t="shared" si="0"/>
        <v>0</v>
      </c>
      <c r="I9" s="11"/>
      <c r="J9" s="32" t="s">
        <v>112</v>
      </c>
      <c r="K9" s="5"/>
    </row>
    <row r="10" spans="2:12" ht="29" hidden="1">
      <c r="B10" s="3" t="s">
        <v>20</v>
      </c>
      <c r="C10" s="5" t="s">
        <v>110</v>
      </c>
      <c r="D10" s="20" t="s">
        <v>111</v>
      </c>
      <c r="E10" s="29" t="s">
        <v>113</v>
      </c>
      <c r="F10" s="7">
        <v>2034</v>
      </c>
      <c r="G10" s="7">
        <v>863</v>
      </c>
      <c r="H10" s="11">
        <f t="shared" si="0"/>
        <v>1172</v>
      </c>
      <c r="I10" s="11"/>
      <c r="J10" s="34" t="s">
        <v>120</v>
      </c>
      <c r="K10" s="5"/>
    </row>
    <row r="11" spans="2:12" hidden="1">
      <c r="B11" s="3" t="s">
        <v>20</v>
      </c>
      <c r="C11" s="5" t="s">
        <v>114</v>
      </c>
      <c r="D11" s="20" t="s">
        <v>115</v>
      </c>
      <c r="E11" s="29" t="s">
        <v>116</v>
      </c>
      <c r="F11" s="7">
        <v>2929</v>
      </c>
      <c r="G11" s="7">
        <v>2929</v>
      </c>
      <c r="H11" s="11">
        <f t="shared" si="0"/>
        <v>0</v>
      </c>
      <c r="I11" s="11"/>
      <c r="J11" s="5"/>
      <c r="K11" s="5"/>
    </row>
    <row r="12" spans="2:12" hidden="1">
      <c r="B12" s="3" t="s">
        <v>20</v>
      </c>
      <c r="C12" s="5" t="s">
        <v>121</v>
      </c>
      <c r="D12" s="20" t="s">
        <v>122</v>
      </c>
      <c r="E12" s="29" t="s">
        <v>124</v>
      </c>
      <c r="F12" s="7">
        <v>911</v>
      </c>
      <c r="G12" s="7">
        <v>230</v>
      </c>
      <c r="H12" s="11">
        <f>F12-G12</f>
        <v>724</v>
      </c>
      <c r="I12" s="11"/>
      <c r="J12" s="5"/>
      <c r="K12" s="5"/>
    </row>
    <row r="13" spans="2:12" ht="188.5" hidden="1">
      <c r="B13" s="3" t="s">
        <v>20</v>
      </c>
      <c r="C13" s="5" t="s">
        <v>117</v>
      </c>
      <c r="D13" s="20" t="s">
        <v>118</v>
      </c>
      <c r="E13" s="29" t="s">
        <v>119</v>
      </c>
      <c r="F13" s="7">
        <v>6998</v>
      </c>
      <c r="G13" s="7">
        <f t="shared" ref="G13:G20" si="1">K13</f>
        <v>6998</v>
      </c>
      <c r="H13" s="11">
        <f>F13-K13</f>
        <v>0</v>
      </c>
      <c r="I13" s="11"/>
      <c r="J13" s="32" t="s">
        <v>138</v>
      </c>
      <c r="K13" s="7">
        <f>500+140.2+140.2+696+1200+179+549.7+2811+1800+160+87+336.9</f>
        <v>6998</v>
      </c>
    </row>
    <row r="14" spans="2:12" ht="203" hidden="1">
      <c r="B14" s="3" t="s">
        <v>20</v>
      </c>
      <c r="C14" s="5" t="s">
        <v>126</v>
      </c>
      <c r="D14" s="20" t="s">
        <v>129</v>
      </c>
      <c r="E14" s="29" t="s">
        <v>125</v>
      </c>
      <c r="F14" s="7">
        <v>33362</v>
      </c>
      <c r="G14" s="7">
        <f t="shared" si="1"/>
        <v>23275.84</v>
      </c>
      <c r="H14" s="11">
        <f t="shared" ref="H14:H20" si="2">F14-K14</f>
        <v>10085.86</v>
      </c>
      <c r="I14" s="11"/>
      <c r="J14" s="32" t="s">
        <v>146</v>
      </c>
      <c r="K14" s="7">
        <f>311.8+1366.94+228+13346+440+1722+1044+976+442+1902+978+1553.6+900+1000+670+135.8+118.8+400+1070</f>
        <v>23275.84</v>
      </c>
      <c r="L14" s="9" t="s">
        <v>139</v>
      </c>
    </row>
    <row r="15" spans="2:12" ht="29" hidden="1">
      <c r="B15" s="3" t="s">
        <v>21</v>
      </c>
      <c r="C15" s="5" t="s">
        <v>131</v>
      </c>
      <c r="D15" s="20" t="s">
        <v>132</v>
      </c>
      <c r="E15" s="29" t="s">
        <v>133</v>
      </c>
      <c r="F15" s="7">
        <v>1058</v>
      </c>
      <c r="G15" s="7">
        <f t="shared" si="1"/>
        <v>1051</v>
      </c>
      <c r="H15" s="11">
        <f t="shared" si="2"/>
        <v>8</v>
      </c>
      <c r="I15" s="11"/>
      <c r="J15" s="32" t="s">
        <v>134</v>
      </c>
      <c r="K15" s="7">
        <f>900+7*56</f>
        <v>1051</v>
      </c>
    </row>
    <row r="16" spans="2:12" hidden="1">
      <c r="B16" s="3" t="s">
        <v>21</v>
      </c>
      <c r="C16" s="5" t="s">
        <v>151</v>
      </c>
      <c r="D16" s="20">
        <v>9904210</v>
      </c>
      <c r="E16" s="29" t="s">
        <v>150</v>
      </c>
      <c r="F16" s="7">
        <v>732</v>
      </c>
      <c r="G16" s="7">
        <f t="shared" si="1"/>
        <v>0</v>
      </c>
      <c r="H16" s="11">
        <f t="shared" si="2"/>
        <v>732</v>
      </c>
      <c r="I16" s="11"/>
      <c r="J16" s="32"/>
      <c r="K16" s="7"/>
    </row>
    <row r="17" spans="2:17" hidden="1">
      <c r="B17" s="3" t="s">
        <v>20</v>
      </c>
      <c r="C17" s="5" t="s">
        <v>153</v>
      </c>
      <c r="D17" s="20" t="s">
        <v>169</v>
      </c>
      <c r="E17" s="29" t="s">
        <v>152</v>
      </c>
      <c r="F17" s="7">
        <v>2004</v>
      </c>
      <c r="G17" s="7">
        <f t="shared" si="1"/>
        <v>0</v>
      </c>
      <c r="H17" s="11">
        <f t="shared" si="2"/>
        <v>2004</v>
      </c>
      <c r="I17" s="11"/>
      <c r="J17" s="32"/>
      <c r="K17" s="7"/>
    </row>
    <row r="18" spans="2:17" ht="29" hidden="1">
      <c r="B18" s="3" t="s">
        <v>20</v>
      </c>
      <c r="C18" s="5" t="s">
        <v>147</v>
      </c>
      <c r="D18" s="20" t="s">
        <v>149</v>
      </c>
      <c r="E18" s="29" t="s">
        <v>148</v>
      </c>
      <c r="F18" s="7">
        <v>1783</v>
      </c>
      <c r="G18" s="7">
        <f t="shared" si="1"/>
        <v>895</v>
      </c>
      <c r="H18" s="11">
        <f t="shared" si="2"/>
        <v>888</v>
      </c>
      <c r="I18" s="11"/>
      <c r="J18" s="32" t="s">
        <v>170</v>
      </c>
      <c r="K18" s="3">
        <f>150+950</f>
        <v>895</v>
      </c>
    </row>
    <row r="19" spans="2:17" ht="304.5" hidden="1">
      <c r="B19" s="3" t="s">
        <v>20</v>
      </c>
      <c r="C19" s="5" t="s">
        <v>127</v>
      </c>
      <c r="D19" s="20" t="s">
        <v>128</v>
      </c>
      <c r="E19" s="29" t="s">
        <v>130</v>
      </c>
      <c r="F19" s="7">
        <v>17413</v>
      </c>
      <c r="G19" s="7">
        <f>K19</f>
        <v>17096.97</v>
      </c>
      <c r="H19" s="11">
        <f t="shared" si="2"/>
        <v>316.21</v>
      </c>
      <c r="I19" s="11"/>
      <c r="J19" s="32" t="s">
        <v>264</v>
      </c>
      <c r="K19" s="3">
        <f>17932+1091.23+1400+400+188.16</f>
        <v>17096.97</v>
      </c>
      <c r="N19"/>
    </row>
    <row r="20" spans="2:17" ht="130.5" hidden="1">
      <c r="B20" s="3" t="s">
        <v>20</v>
      </c>
      <c r="C20" s="5" t="s">
        <v>140</v>
      </c>
      <c r="D20" s="20" t="s">
        <v>141</v>
      </c>
      <c r="E20" s="29" t="s">
        <v>145</v>
      </c>
      <c r="F20" s="7">
        <v>3092</v>
      </c>
      <c r="G20" s="7">
        <f t="shared" si="1"/>
        <v>3078.05</v>
      </c>
      <c r="H20" s="11">
        <f t="shared" si="2"/>
        <v>14.01</v>
      </c>
      <c r="I20" s="11"/>
      <c r="J20" s="32" t="s">
        <v>271</v>
      </c>
      <c r="K20" s="3">
        <f>156+350+756.6+139.83+1380+100+126.39+300+117.8+188.16+168</f>
        <v>3078.05</v>
      </c>
    </row>
    <row r="21" spans="2:17" ht="87" hidden="1">
      <c r="B21" s="3" t="s">
        <v>21</v>
      </c>
      <c r="C21" s="5" t="s">
        <v>176</v>
      </c>
      <c r="D21" s="20" t="s">
        <v>156</v>
      </c>
      <c r="E21" s="29" t="s">
        <v>175</v>
      </c>
      <c r="F21" s="7">
        <v>814</v>
      </c>
      <c r="G21" s="7">
        <f t="shared" ref="G21" si="3">K21</f>
        <v>689.93</v>
      </c>
      <c r="H21" s="11">
        <f t="shared" ref="H21" si="4">F21-K21</f>
        <v>123.77</v>
      </c>
      <c r="I21" s="11"/>
      <c r="J21" s="32" t="s">
        <v>257</v>
      </c>
      <c r="K21" s="3">
        <f>282.4+139.83+20.37+280+43.29+56+26</f>
        <v>689.93</v>
      </c>
    </row>
    <row r="22" spans="2:17" ht="29" hidden="1">
      <c r="B22" s="3" t="s">
        <v>20</v>
      </c>
      <c r="C22" s="5" t="s">
        <v>222</v>
      </c>
      <c r="D22" s="20" t="s">
        <v>249</v>
      </c>
      <c r="E22" s="29" t="s">
        <v>250</v>
      </c>
      <c r="F22" s="7">
        <v>1697</v>
      </c>
      <c r="G22" s="7">
        <f>K22</f>
        <v>299</v>
      </c>
      <c r="H22" s="11">
        <f>F22-K22</f>
        <v>1397</v>
      </c>
      <c r="I22" s="11"/>
      <c r="J22" s="32" t="s">
        <v>254</v>
      </c>
      <c r="K22" s="3">
        <f>174+194</f>
        <v>299</v>
      </c>
    </row>
    <row r="23" spans="2:17" ht="87" hidden="1">
      <c r="B23" s="3" t="s">
        <v>20</v>
      </c>
      <c r="C23" s="5" t="s">
        <v>215</v>
      </c>
      <c r="D23" s="20" t="s">
        <v>218</v>
      </c>
      <c r="E23" s="29" t="s">
        <v>216</v>
      </c>
      <c r="F23" s="7">
        <v>3138</v>
      </c>
      <c r="G23" s="7">
        <f t="shared" ref="G23:G36" si="5">K23</f>
        <v>2455.29</v>
      </c>
      <c r="H23" s="11">
        <f t="shared" ref="H23:H45" si="6">F23-K23</f>
        <v>682.34</v>
      </c>
      <c r="I23" s="11"/>
      <c r="J23" s="32" t="s">
        <v>263</v>
      </c>
      <c r="K23" s="3">
        <f>150+904+657.6+343.84+150+700+56+56</f>
        <v>2455.29</v>
      </c>
    </row>
    <row r="24" spans="2:17" hidden="1">
      <c r="B24" s="3" t="s">
        <v>20</v>
      </c>
      <c r="C24" s="5" t="s">
        <v>212</v>
      </c>
      <c r="D24" s="20" t="s">
        <v>219</v>
      </c>
      <c r="E24" s="29" t="s">
        <v>217</v>
      </c>
      <c r="F24" s="7">
        <v>1408</v>
      </c>
      <c r="G24" s="7">
        <f t="shared" si="5"/>
        <v>0</v>
      </c>
      <c r="H24" s="11">
        <f t="shared" si="6"/>
        <v>1408</v>
      </c>
      <c r="I24" s="11"/>
      <c r="J24" s="32"/>
      <c r="K24" s="3"/>
    </row>
    <row r="25" spans="2:17" ht="179.15" hidden="1" customHeight="1">
      <c r="B25" s="3" t="s">
        <v>253</v>
      </c>
      <c r="C25" s="32" t="s">
        <v>283</v>
      </c>
      <c r="D25" s="20" t="s">
        <v>262</v>
      </c>
      <c r="E25" s="163" t="s">
        <v>296</v>
      </c>
      <c r="F25" s="7">
        <v>22323</v>
      </c>
      <c r="G25" s="7">
        <f t="shared" si="5"/>
        <v>21737.76</v>
      </c>
      <c r="H25" s="11">
        <f t="shared" si="6"/>
        <v>585.29</v>
      </c>
      <c r="I25" s="11"/>
      <c r="J25" s="32" t="s">
        <v>295</v>
      </c>
      <c r="K25" s="3">
        <f>609+348+1561.5+1537.9+607.7+560+300+1081.2+1161.4+143.9+1626+1266.8+204+2695.86+1049.6+500+138+1200+280+540+139.83+400+2632+2618+560+600+651.42+176+1092.6+434</f>
        <v>21737.76</v>
      </c>
    </row>
    <row r="26" spans="2:17" ht="58" hidden="1">
      <c r="B26" s="3" t="s">
        <v>253</v>
      </c>
      <c r="C26" s="32" t="s">
        <v>274</v>
      </c>
      <c r="D26" s="20" t="s">
        <v>290</v>
      </c>
      <c r="E26" s="163" t="s">
        <v>281</v>
      </c>
      <c r="F26" s="7">
        <v>1523</v>
      </c>
      <c r="G26" s="7">
        <f t="shared" si="5"/>
        <v>688.15</v>
      </c>
      <c r="H26" s="11">
        <f t="shared" si="6"/>
        <v>835.10</v>
      </c>
      <c r="I26" s="11"/>
      <c r="J26" s="32" t="s">
        <v>297</v>
      </c>
      <c r="K26" s="3">
        <f>409+205.6+203.1+28</f>
        <v>688.15</v>
      </c>
      <c r="N26" s="40"/>
    </row>
    <row r="27" spans="2:17" ht="87" hidden="1">
      <c r="B27" s="3" t="s">
        <v>20</v>
      </c>
      <c r="C27" s="32" t="s">
        <v>205</v>
      </c>
      <c r="D27" s="20" t="s">
        <v>316</v>
      </c>
      <c r="E27" s="29" t="s">
        <v>315</v>
      </c>
      <c r="F27" s="7">
        <v>2441</v>
      </c>
      <c r="G27" s="7">
        <f t="shared" si="5"/>
        <v>2429.76</v>
      </c>
      <c r="H27" s="11">
        <f t="shared" si="6"/>
        <v>11.34</v>
      </c>
      <c r="I27" s="11"/>
      <c r="J27" s="32" t="s">
        <v>328</v>
      </c>
      <c r="K27" s="3">
        <f>749.3+114.84+279.82+336+97.59+450+24.95+871.04+62.52</f>
        <v>2429.76</v>
      </c>
      <c r="N27" s="40"/>
    </row>
    <row r="28" spans="2:17" hidden="1">
      <c r="B28" s="3" t="s">
        <v>20</v>
      </c>
      <c r="C28" s="32" t="s">
        <v>277</v>
      </c>
      <c r="D28" s="20" t="s">
        <v>324</v>
      </c>
      <c r="E28" s="29" t="s">
        <v>331</v>
      </c>
      <c r="F28" s="7">
        <v>1075</v>
      </c>
      <c r="G28" s="7">
        <f t="shared" si="5"/>
        <v>1046.45</v>
      </c>
      <c r="H28" s="11">
        <f t="shared" si="6"/>
        <v>28.45</v>
      </c>
      <c r="I28" s="11"/>
      <c r="J28" s="32" t="s">
        <v>339</v>
      </c>
      <c r="K28" s="3">
        <f>149.04+600+537</f>
        <v>1046.45</v>
      </c>
    </row>
    <row r="29" spans="2:17" ht="217.5" hidden="1">
      <c r="B29" s="3" t="s">
        <v>20</v>
      </c>
      <c r="C29" s="32" t="s">
        <v>278</v>
      </c>
      <c r="D29" s="20" t="s">
        <v>325</v>
      </c>
      <c r="E29" s="29" t="s">
        <v>326</v>
      </c>
      <c r="F29" s="7">
        <v>4707</v>
      </c>
      <c r="G29" s="7">
        <f t="shared" si="5"/>
        <v>4600.53</v>
      </c>
      <c r="H29" s="11">
        <f t="shared" si="6"/>
        <v>106.72</v>
      </c>
      <c r="I29" s="11"/>
      <c r="J29" s="32" t="s">
        <v>357</v>
      </c>
      <c r="K29" s="3">
        <f>1000+342.01+200+24.05+149.04+330+61.94+510+590.74+300+135.25+199.95+92.91+676.65+455.3+400+56+130</f>
        <v>4600.53</v>
      </c>
      <c r="L29" s="128"/>
      <c r="O29" s="131"/>
      <c r="P29" s="153"/>
      <c r="Q29" s="153"/>
    </row>
    <row r="30" spans="2:17" ht="101.5" hidden="1">
      <c r="B30" s="3" t="s">
        <v>20</v>
      </c>
      <c r="C30" s="32" t="s">
        <v>279</v>
      </c>
      <c r="D30" s="20" t="s">
        <v>288</v>
      </c>
      <c r="E30" s="29" t="s">
        <v>289</v>
      </c>
      <c r="F30" s="7">
        <v>2848</v>
      </c>
      <c r="G30" s="7">
        <f t="shared" si="5"/>
        <v>2839.54</v>
      </c>
      <c r="H30" s="11">
        <f t="shared" si="6"/>
        <v>8.41</v>
      </c>
      <c r="I30" s="11"/>
      <c r="J30" s="32" t="s">
        <v>341</v>
      </c>
      <c r="K30" s="3">
        <f>500+102+114.08+914.43+400+46.45+695.3+200+135.25+280+81.32+20.84</f>
        <v>2839.54</v>
      </c>
      <c r="L30" s="128"/>
      <c r="O30" s="131"/>
    </row>
    <row r="31" spans="2:17" ht="58" hidden="1">
      <c r="B31" s="3" t="s">
        <v>20</v>
      </c>
      <c r="C31" s="32" t="s">
        <v>280</v>
      </c>
      <c r="D31" s="20" t="s">
        <v>342</v>
      </c>
      <c r="E31" s="29" t="s">
        <v>343</v>
      </c>
      <c r="F31" s="7">
        <v>1424</v>
      </c>
      <c r="G31" s="7">
        <f t="shared" si="5"/>
        <v>1424</v>
      </c>
      <c r="H31" s="11">
        <f t="shared" si="6"/>
        <v>0</v>
      </c>
      <c r="I31" s="11"/>
      <c r="J31" s="32" t="s">
        <v>358</v>
      </c>
      <c r="K31" s="3">
        <f>400+130+676+500+44</f>
        <v>1424</v>
      </c>
      <c r="O31" s="131"/>
      <c r="P31" s="153"/>
    </row>
    <row r="32" spans="2:17" ht="101.5" hidden="1">
      <c r="B32" s="3" t="s">
        <v>21</v>
      </c>
      <c r="C32" s="5" t="s">
        <v>333</v>
      </c>
      <c r="D32" s="20" t="s">
        <v>321</v>
      </c>
      <c r="E32" s="29" t="s">
        <v>338</v>
      </c>
      <c r="F32" s="7">
        <v>5126</v>
      </c>
      <c r="G32" s="7">
        <f t="shared" si="5"/>
        <v>4781.81</v>
      </c>
      <c r="H32" s="11">
        <f t="shared" si="6"/>
        <v>344.50</v>
      </c>
      <c r="I32" s="11"/>
      <c r="J32" s="170" t="s">
        <v>345</v>
      </c>
      <c r="K32" s="3">
        <f>1600+153.12+81.3+280+2000+400+408+736.94+204.8+12.47</f>
        <v>4781.81</v>
      </c>
      <c r="O32" s="131"/>
      <c r="P32" s="153"/>
    </row>
    <row r="33" spans="2:16" hidden="1">
      <c r="B33" s="3" t="s">
        <v>20</v>
      </c>
      <c r="C33" s="5" t="s">
        <v>313</v>
      </c>
      <c r="D33" s="20" t="s">
        <v>308</v>
      </c>
      <c r="E33" s="29" t="s">
        <v>314</v>
      </c>
      <c r="F33" s="7">
        <v>141</v>
      </c>
      <c r="G33" s="7">
        <f t="shared" si="5"/>
        <v>101.75</v>
      </c>
      <c r="H33" s="11">
        <f t="shared" si="6"/>
        <v>12.99</v>
      </c>
      <c r="I33" s="11"/>
      <c r="J33" s="5" t="s">
        <v>327</v>
      </c>
      <c r="K33" s="3">
        <v>101.75</v>
      </c>
    </row>
    <row r="34" spans="2:16" ht="87" hidden="1">
      <c r="B34" s="3" t="s">
        <v>294</v>
      </c>
      <c r="C34" s="5"/>
      <c r="D34" s="5"/>
      <c r="E34" s="29" t="s">
        <v>317</v>
      </c>
      <c r="F34" s="7">
        <v>14240</v>
      </c>
      <c r="G34" s="7">
        <f t="shared" si="5"/>
        <v>9532</v>
      </c>
      <c r="H34" s="11">
        <f t="shared" si="6"/>
        <v>4708</v>
      </c>
      <c r="I34" s="11"/>
      <c r="J34" s="32" t="s">
        <v>347</v>
      </c>
      <c r="K34" s="3">
        <f>1000+1077.1+387+4506.16+855.15+343+1333.68+1211.91+1000</f>
        <v>9532</v>
      </c>
      <c r="L34" s="17"/>
    </row>
    <row r="35" spans="2:16" ht="130.5" hidden="1">
      <c r="B35" s="3" t="s">
        <v>20</v>
      </c>
      <c r="C35" s="5" t="s">
        <v>330</v>
      </c>
      <c r="D35" s="20" t="s">
        <v>329</v>
      </c>
      <c r="E35" s="29" t="s">
        <v>340</v>
      </c>
      <c r="F35" s="7">
        <v>2290</v>
      </c>
      <c r="G35" s="7">
        <f t="shared" si="5"/>
        <v>2254.49</v>
      </c>
      <c r="H35" s="11">
        <f t="shared" si="6"/>
        <v>35.26</v>
      </c>
      <c r="I35" s="11"/>
      <c r="J35" s="32" t="s">
        <v>349</v>
      </c>
      <c r="K35" s="3">
        <f>600+81.3+280+300+400+746.2+132.52+124.75+49.9+56</f>
        <v>2254.49</v>
      </c>
    </row>
    <row r="36" spans="2:16" ht="58" hidden="1">
      <c r="B36" s="3" t="s">
        <v>21</v>
      </c>
      <c r="C36" s="5" t="s">
        <v>344</v>
      </c>
      <c r="D36" s="20" t="s">
        <v>322</v>
      </c>
      <c r="E36" s="29" t="s">
        <v>346</v>
      </c>
      <c r="F36" s="7">
        <v>982</v>
      </c>
      <c r="G36" s="7">
        <f t="shared" si="5"/>
        <v>982</v>
      </c>
      <c r="H36" s="11">
        <f t="shared" si="6"/>
        <v>0</v>
      </c>
      <c r="I36" s="11"/>
      <c r="J36" s="32" t="s">
        <v>356</v>
      </c>
      <c r="K36" s="3">
        <f>168+415+112+224+21.3+42.6+185.59+38.51</f>
        <v>982</v>
      </c>
    </row>
    <row r="37" spans="2:16" ht="72.5" hidden="1">
      <c r="B37" s="3" t="s">
        <v>21</v>
      </c>
      <c r="C37" s="5" t="s">
        <v>361</v>
      </c>
      <c r="D37" s="20" t="s">
        <v>351</v>
      </c>
      <c r="E37" s="29" t="s">
        <v>363</v>
      </c>
      <c r="F37" s="7">
        <v>2624</v>
      </c>
      <c r="G37" s="7">
        <f t="shared" ref="G37:G64" si="7">K37</f>
        <v>2624.13</v>
      </c>
      <c r="H37" s="11">
        <f t="shared" si="6"/>
        <v>5.999999999994543E-2</v>
      </c>
      <c r="I37" s="11"/>
      <c r="J37" s="32" t="s">
        <v>389</v>
      </c>
      <c r="K37" s="3">
        <f>373.1+600+630.16+147.68+550+924</f>
        <v>2624.13</v>
      </c>
    </row>
    <row r="38" spans="2:16" ht="43.5" hidden="1">
      <c r="B38" s="3" t="s">
        <v>21</v>
      </c>
      <c r="C38" s="5" t="s">
        <v>362</v>
      </c>
      <c r="D38" s="20" t="s">
        <v>360</v>
      </c>
      <c r="E38" s="29" t="s">
        <v>365</v>
      </c>
      <c r="F38" s="7">
        <v>2146</v>
      </c>
      <c r="G38" s="7">
        <f t="shared" si="7"/>
        <v>1840.02</v>
      </c>
      <c r="H38" s="11">
        <f t="shared" si="6"/>
        <v>305.71</v>
      </c>
      <c r="I38" s="11"/>
      <c r="J38" s="32" t="s">
        <v>417</v>
      </c>
      <c r="K38" s="3">
        <f>81.3+280+400+400+550+550</f>
        <v>1840.02</v>
      </c>
    </row>
    <row r="39" spans="2:16" ht="43.5" hidden="1">
      <c r="B39" s="3" t="s">
        <v>20</v>
      </c>
      <c r="C39" s="115" t="s">
        <v>366</v>
      </c>
      <c r="D39" s="20" t="s">
        <v>352</v>
      </c>
      <c r="E39" s="29" t="s">
        <v>371</v>
      </c>
      <c r="F39" s="7">
        <v>4707</v>
      </c>
      <c r="G39" s="7">
        <f t="shared" si="7"/>
        <v>4453</v>
      </c>
      <c r="H39" s="11">
        <f t="shared" si="6"/>
        <v>313</v>
      </c>
      <c r="I39" s="11"/>
      <c r="J39" s="221" t="s">
        <v>403</v>
      </c>
      <c r="K39" s="3">
        <f>1281+550+3138+503</f>
        <v>4453</v>
      </c>
      <c r="L39" s="131"/>
    </row>
    <row r="40" spans="2:16" hidden="1">
      <c r="B40" s="3" t="s">
        <v>20</v>
      </c>
      <c r="C40" s="115" t="s">
        <v>368</v>
      </c>
      <c r="D40" s="20" t="s">
        <v>369</v>
      </c>
      <c r="E40" s="29" t="s">
        <v>372</v>
      </c>
      <c r="F40" s="7">
        <v>4707</v>
      </c>
      <c r="G40" s="7">
        <f t="shared" si="7"/>
        <v>4707</v>
      </c>
      <c r="H40" s="11">
        <f t="shared" si="6"/>
        <v>0</v>
      </c>
      <c r="I40" s="11"/>
      <c r="J40" s="5"/>
      <c r="K40" s="3">
        <v>4707</v>
      </c>
    </row>
    <row r="41" spans="2:16" ht="87" hidden="1">
      <c r="B41" s="3" t="s">
        <v>20</v>
      </c>
      <c r="C41" s="115" t="s">
        <v>367</v>
      </c>
      <c r="D41" s="20" t="s">
        <v>370</v>
      </c>
      <c r="E41" s="29" t="s">
        <v>373</v>
      </c>
      <c r="F41" s="7">
        <v>2013</v>
      </c>
      <c r="G41" s="7">
        <f t="shared" si="7"/>
        <v>1672.06</v>
      </c>
      <c r="H41" s="11">
        <f t="shared" si="6"/>
        <v>341.04</v>
      </c>
      <c r="I41" s="11"/>
      <c r="J41" s="217" t="s">
        <v>400</v>
      </c>
      <c r="K41" s="3">
        <f>224+249.5+510+204.8+12.47+120+544.11+190</f>
        <v>1672.06</v>
      </c>
    </row>
    <row r="42" spans="2:16" hidden="1">
      <c r="B42" s="3" t="s">
        <v>21</v>
      </c>
      <c r="C42" s="5" t="s">
        <v>381</v>
      </c>
      <c r="D42" s="20" t="s">
        <v>379</v>
      </c>
      <c r="E42" s="29" t="s">
        <v>382</v>
      </c>
      <c r="F42" s="7">
        <v>345</v>
      </c>
      <c r="G42" s="7">
        <f t="shared" si="7"/>
        <v>221.37</v>
      </c>
      <c r="H42" s="11">
        <f t="shared" si="6"/>
        <v>59.36</v>
      </c>
      <c r="I42" s="11"/>
      <c r="J42" s="5" t="s">
        <v>384</v>
      </c>
      <c r="K42" s="3">
        <f>272.05</f>
        <v>221.37</v>
      </c>
      <c r="M42" s="74"/>
      <c r="N42" s="74"/>
      <c r="O42" s="74"/>
      <c r="P42" s="74"/>
    </row>
    <row r="43" spans="2:16" ht="261" hidden="1">
      <c r="B43" s="3" t="s">
        <v>144</v>
      </c>
      <c r="C43" s="5" t="s">
        <v>402</v>
      </c>
      <c r="D43" s="20" t="s">
        <v>408</v>
      </c>
      <c r="E43" s="29" t="s">
        <v>410</v>
      </c>
      <c r="F43" s="7">
        <v>12206</v>
      </c>
      <c r="G43" s="7">
        <f t="shared" si="7"/>
        <v>11917.02</v>
      </c>
      <c r="H43" s="11">
        <f t="shared" si="6"/>
        <v>288.48</v>
      </c>
      <c r="I43" s="255">
        <f>G43/F43</f>
        <v>0.97636466666666666</v>
      </c>
      <c r="J43" s="32" t="s">
        <v>525</v>
      </c>
      <c r="K43" s="3">
        <f>1692.99+1302+217+350+510+189.6+185+12.47+550+699.6+457+2000+204+602.72+214.8+550+700+1267.08+291.42+156.6+1093.19+400+1000</f>
        <v>11917.02</v>
      </c>
      <c r="M43" s="40"/>
    </row>
    <row r="44" spans="2:16" hidden="1">
      <c r="B44" s="3" t="s">
        <v>21</v>
      </c>
      <c r="C44" s="5" t="s">
        <v>407</v>
      </c>
      <c r="D44" s="20">
        <v>10120571</v>
      </c>
      <c r="E44" s="29" t="s">
        <v>409</v>
      </c>
      <c r="F44" s="7">
        <v>310</v>
      </c>
      <c r="G44" s="7">
        <f t="shared" si="7"/>
        <v>283</v>
      </c>
      <c r="H44" s="11">
        <f t="shared" si="6"/>
        <v>27</v>
      </c>
      <c r="I44" s="255">
        <f t="shared" ref="I44:I72" si="8">G44/F44</f>
        <v>0.91290322580645167</v>
      </c>
      <c r="J44" s="5" t="s">
        <v>501</v>
      </c>
      <c r="K44" s="3">
        <f>283</f>
        <v>283</v>
      </c>
    </row>
    <row r="45" spans="2:16" ht="87" hidden="1">
      <c r="B45" s="3" t="s">
        <v>20</v>
      </c>
      <c r="C45" s="5" t="s">
        <v>425</v>
      </c>
      <c r="D45" s="20" t="s">
        <v>424</v>
      </c>
      <c r="E45" s="29" t="s">
        <v>426</v>
      </c>
      <c r="F45" s="7">
        <v>3465</v>
      </c>
      <c r="G45" s="7">
        <f t="shared" si="7"/>
        <v>3296.92</v>
      </c>
      <c r="H45" s="11">
        <f t="shared" si="6"/>
        <v>167.81</v>
      </c>
      <c r="I45" s="255">
        <f t="shared" si="8"/>
        <v>0.95156528886801328</v>
      </c>
      <c r="J45" s="32" t="s">
        <v>503</v>
      </c>
      <c r="K45" s="250">
        <f>400+248.735+372.4+1357.63+1224+32+17+400</f>
        <v>3296.92</v>
      </c>
      <c r="M45" s="198"/>
    </row>
    <row r="46" spans="2:16" ht="58" hidden="1">
      <c r="B46" s="3" t="s">
        <v>21</v>
      </c>
      <c r="C46" s="290" t="s">
        <v>438</v>
      </c>
      <c r="D46" s="251" t="s">
        <v>437</v>
      </c>
      <c r="E46" s="277" t="s">
        <v>439</v>
      </c>
      <c r="F46" s="252">
        <v>1449</v>
      </c>
      <c r="G46" s="252">
        <f t="shared" si="7"/>
        <v>1245.21</v>
      </c>
      <c r="H46" s="253">
        <f t="shared" ref="H46:H64" si="9">F46-K46</f>
        <v>203.99</v>
      </c>
      <c r="I46" s="255">
        <f t="shared" si="8"/>
        <v>0.8592391914654689</v>
      </c>
      <c r="J46" s="260" t="s">
        <v>502</v>
      </c>
      <c r="K46" s="254">
        <f>248.735+112+20.84+550+248.73+350</f>
        <v>1245.21</v>
      </c>
    </row>
    <row r="47" spans="2:16" hidden="1">
      <c r="B47" s="3" t="s">
        <v>20</v>
      </c>
      <c r="C47" s="5" t="s">
        <v>334</v>
      </c>
      <c r="D47" s="251" t="s">
        <v>446</v>
      </c>
      <c r="E47" s="29" t="s">
        <v>453</v>
      </c>
      <c r="F47" s="7">
        <v>110</v>
      </c>
      <c r="G47" s="7">
        <f t="shared" si="7"/>
        <v>84.72</v>
      </c>
      <c r="H47" s="11">
        <f t="shared" si="9"/>
        <v>4.78</v>
      </c>
      <c r="I47" s="255">
        <f t="shared" si="8"/>
        <v>0.94654545454545458</v>
      </c>
      <c r="J47" s="5" t="s">
        <v>509</v>
      </c>
      <c r="K47" s="254">
        <f>104.12</f>
        <v>84.72</v>
      </c>
    </row>
    <row r="48" spans="2:16" ht="29" hidden="1">
      <c r="B48" s="3" t="s">
        <v>20</v>
      </c>
      <c r="C48" s="5" t="s">
        <v>443</v>
      </c>
      <c r="D48" s="251" t="s">
        <v>447</v>
      </c>
      <c r="E48" s="29" t="s">
        <v>452</v>
      </c>
      <c r="F48" s="7">
        <v>263</v>
      </c>
      <c r="G48" s="7">
        <f t="shared" si="7"/>
        <v>204.66</v>
      </c>
      <c r="H48" s="11">
        <f t="shared" si="9"/>
        <v>9.34</v>
      </c>
      <c r="I48" s="255">
        <f t="shared" si="8"/>
        <v>0.95634980988593155</v>
      </c>
      <c r="J48" s="32" t="s">
        <v>529</v>
      </c>
      <c r="K48" s="254">
        <f>131.52+120</f>
        <v>204.66</v>
      </c>
      <c r="L48" s="249"/>
    </row>
    <row r="49" spans="2:11" ht="29" hidden="1">
      <c r="B49" s="3" t="s">
        <v>21</v>
      </c>
      <c r="C49" s="5" t="s">
        <v>450</v>
      </c>
      <c r="D49" s="251" t="s">
        <v>449</v>
      </c>
      <c r="E49" s="163" t="s">
        <v>470</v>
      </c>
      <c r="F49" s="7">
        <v>1224</v>
      </c>
      <c r="G49" s="7">
        <f t="shared" si="7"/>
        <v>1052.86</v>
      </c>
      <c r="H49" s="11">
        <f t="shared" si="9"/>
        <v>170.94</v>
      </c>
      <c r="I49" s="255">
        <f t="shared" si="8"/>
        <v>0.86031914893617023</v>
      </c>
      <c r="J49" s="32" t="s">
        <v>496</v>
      </c>
      <c r="K49" s="254">
        <f>798.4+495.52</f>
        <v>1052.86</v>
      </c>
    </row>
    <row r="50" spans="2:11" ht="29" hidden="1">
      <c r="B50" s="3" t="s">
        <v>21</v>
      </c>
      <c r="C50" s="115" t="s">
        <v>302</v>
      </c>
      <c r="D50" s="251" t="s">
        <v>456</v>
      </c>
      <c r="E50" s="29" t="s">
        <v>464</v>
      </c>
      <c r="F50" s="7">
        <v>401</v>
      </c>
      <c r="G50" s="7">
        <f t="shared" si="7"/>
        <v>378.53</v>
      </c>
      <c r="H50" s="11">
        <f t="shared" si="9"/>
        <v>22.62</v>
      </c>
      <c r="I50" s="255">
        <f t="shared" si="8"/>
        <v>0.94361054766734276</v>
      </c>
      <c r="J50" s="32" t="s">
        <v>466</v>
      </c>
      <c r="K50" s="254">
        <f>399.2+56+10</f>
        <v>378.53</v>
      </c>
    </row>
    <row r="51" spans="2:11" ht="43.5" hidden="1">
      <c r="B51" s="3" t="s">
        <v>21</v>
      </c>
      <c r="C51" s="115" t="s">
        <v>455</v>
      </c>
      <c r="D51" s="20" t="s">
        <v>460</v>
      </c>
      <c r="E51" s="289" t="s">
        <v>463</v>
      </c>
      <c r="F51" s="7">
        <v>301</v>
      </c>
      <c r="G51" s="7">
        <f t="shared" si="7"/>
        <v>225.42</v>
      </c>
      <c r="H51" s="11">
        <f t="shared" si="9"/>
        <v>75.65</v>
      </c>
      <c r="I51" s="255">
        <f t="shared" si="8"/>
        <v>0.74872972972972984</v>
      </c>
      <c r="J51" s="32" t="s">
        <v>495</v>
      </c>
      <c r="K51" s="250">
        <f>56+10+77.73+112+21.3</f>
        <v>225.42</v>
      </c>
    </row>
    <row r="52" spans="2:11" ht="43.5" hidden="1">
      <c r="B52" s="3" t="s">
        <v>21</v>
      </c>
      <c r="C52" s="5" t="s">
        <v>469</v>
      </c>
      <c r="D52" s="20" t="s">
        <v>497</v>
      </c>
      <c r="E52" s="29" t="s">
        <v>500</v>
      </c>
      <c r="F52" s="7">
        <v>976</v>
      </c>
      <c r="G52" s="7">
        <f t="shared" si="7"/>
        <v>936.32</v>
      </c>
      <c r="H52" s="11">
        <f t="shared" si="9"/>
        <v>40.12</v>
      </c>
      <c r="I52" s="255">
        <f t="shared" si="8"/>
        <v>0.95891666666666675</v>
      </c>
      <c r="J52" s="32" t="s">
        <v>510</v>
      </c>
      <c r="K52" s="250">
        <f>370.7+56+32+400+204+88</f>
        <v>936.32</v>
      </c>
    </row>
    <row r="53" spans="2:11" ht="203" hidden="1">
      <c r="B53" s="3" t="s">
        <v>21</v>
      </c>
      <c r="C53" s="5" t="s">
        <v>494</v>
      </c>
      <c r="D53" s="20" t="s">
        <v>511</v>
      </c>
      <c r="E53" s="29" t="s">
        <v>516</v>
      </c>
      <c r="F53" s="7">
        <v>17088</v>
      </c>
      <c r="G53" s="7">
        <f t="shared" si="7"/>
        <v>5542.04</v>
      </c>
      <c r="H53" s="11">
        <f>F53-K53</f>
        <v>11545.66</v>
      </c>
      <c r="I53" s="255">
        <f t="shared" si="8"/>
        <v>0.32432928571428571</v>
      </c>
      <c r="J53" s="32" t="s">
        <v>620</v>
      </c>
      <c r="K53" s="250">
        <f>550+400+272.055+400+700+485.46+155+1100+1193+250+42+1100+163.4</f>
        <v>5542.04</v>
      </c>
    </row>
    <row r="54" spans="2:11" ht="58" hidden="1">
      <c r="B54" s="3" t="s">
        <v>20</v>
      </c>
      <c r="C54" s="5" t="s">
        <v>505</v>
      </c>
      <c r="D54" s="20" t="s">
        <v>521</v>
      </c>
      <c r="E54" s="29" t="s">
        <v>522</v>
      </c>
      <c r="F54" s="7">
        <v>876</v>
      </c>
      <c r="G54" s="7">
        <f t="shared" si="7"/>
        <v>729.84</v>
      </c>
      <c r="H54" s="11">
        <f t="shared" si="9"/>
        <v>145.70</v>
      </c>
      <c r="I54" s="255">
        <f t="shared" si="8"/>
        <v>0.83358736059479555</v>
      </c>
      <c r="J54" s="32" t="s">
        <v>566</v>
      </c>
      <c r="K54" s="250">
        <f>(65.76*2)+324.82+272.6+112+56</f>
        <v>729.84</v>
      </c>
    </row>
    <row r="55" spans="2:11" ht="29" hidden="1">
      <c r="B55" s="3" t="s">
        <v>20</v>
      </c>
      <c r="C55" s="32" t="s">
        <v>513</v>
      </c>
      <c r="D55" s="20" t="s">
        <v>523</v>
      </c>
      <c r="E55" s="29" t="s">
        <v>524</v>
      </c>
      <c r="F55" s="7">
        <v>1439</v>
      </c>
      <c r="G55" s="7">
        <f t="shared" si="7"/>
        <v>1119</v>
      </c>
      <c r="H55" s="11">
        <f t="shared" si="9"/>
        <v>320</v>
      </c>
      <c r="I55" s="255">
        <f t="shared" si="8"/>
        <v>0.77771493212669685</v>
      </c>
      <c r="J55" s="32" t="s">
        <v>559</v>
      </c>
      <c r="K55" s="250">
        <f>975+400</f>
        <v>1119</v>
      </c>
    </row>
    <row r="56" spans="2:11" ht="72.5" hidden="1">
      <c r="B56" s="3" t="s">
        <v>20</v>
      </c>
      <c r="C56" s="32" t="s">
        <v>543</v>
      </c>
      <c r="D56" s="20" t="s">
        <v>527</v>
      </c>
      <c r="E56" s="29" t="s">
        <v>528</v>
      </c>
      <c r="F56" s="7">
        <v>2776</v>
      </c>
      <c r="G56" s="7">
        <f t="shared" si="7"/>
        <v>1750.95</v>
      </c>
      <c r="H56" s="11">
        <f t="shared" si="9"/>
        <v>1024.58</v>
      </c>
      <c r="I56" s="255">
        <f t="shared" si="8"/>
        <v>0.63085312225153922</v>
      </c>
      <c r="J56" s="32" t="s">
        <v>588</v>
      </c>
      <c r="K56" s="250">
        <f>760+400+591.84+400</f>
        <v>1750.95</v>
      </c>
    </row>
    <row r="57" spans="2:11" ht="72.5" hidden="1">
      <c r="B57" s="3" t="s">
        <v>20</v>
      </c>
      <c r="C57" s="115" t="s">
        <v>547</v>
      </c>
      <c r="D57" s="392">
        <v>10185569</v>
      </c>
      <c r="E57" s="29" t="s">
        <v>552</v>
      </c>
      <c r="F57" s="7">
        <v>2684</v>
      </c>
      <c r="G57" s="7">
        <f t="shared" si="7"/>
        <v>2607.71</v>
      </c>
      <c r="H57" s="11">
        <f t="shared" si="9"/>
        <v>75.87</v>
      </c>
      <c r="I57" s="255">
        <f t="shared" si="8"/>
        <v>0.97172832019405708</v>
      </c>
      <c r="J57" s="32" t="s">
        <v>686</v>
      </c>
      <c r="K57" s="250">
        <f>800+240+349.96+1100+500+214.8</f>
        <v>2607.71</v>
      </c>
    </row>
    <row r="58" spans="2:11" ht="43.5" hidden="1">
      <c r="B58" s="3" t="s">
        <v>20</v>
      </c>
      <c r="C58" s="115" t="s">
        <v>548</v>
      </c>
      <c r="D58" s="3">
        <v>10185571</v>
      </c>
      <c r="E58" s="29" t="s">
        <v>553</v>
      </c>
      <c r="F58" s="7">
        <v>2684</v>
      </c>
      <c r="G58" s="7">
        <f t="shared" si="7"/>
        <v>2531.26</v>
      </c>
      <c r="H58" s="11">
        <f t="shared" si="9"/>
        <v>152.32</v>
      </c>
      <c r="I58" s="255">
        <f t="shared" si="8"/>
        <v>0.94323832625833848</v>
      </c>
      <c r="J58" s="32" t="s">
        <v>687</v>
      </c>
      <c r="K58" s="250">
        <f>2500+500+110.8</f>
        <v>2531.26</v>
      </c>
    </row>
    <row r="59" spans="2:11" ht="72.5" hidden="1">
      <c r="B59" s="3" t="s">
        <v>20</v>
      </c>
      <c r="C59" s="5" t="s">
        <v>550</v>
      </c>
      <c r="D59" s="115">
        <v>10185573</v>
      </c>
      <c r="E59" s="29" t="s">
        <v>554</v>
      </c>
      <c r="F59" s="7">
        <v>2684</v>
      </c>
      <c r="G59" s="7">
        <f t="shared" si="7"/>
        <v>1668.41</v>
      </c>
      <c r="H59" s="11">
        <f t="shared" si="9"/>
        <v>1015.17</v>
      </c>
      <c r="I59" s="255">
        <f t="shared" si="8"/>
        <v>0.62171012734990905</v>
      </c>
      <c r="J59" s="32" t="s">
        <v>609</v>
      </c>
      <c r="K59" s="250">
        <f>430+190+372.4+640+418</f>
        <v>1668.41</v>
      </c>
    </row>
    <row r="60" spans="2:11" ht="43.5" hidden="1">
      <c r="B60" s="3" t="s">
        <v>20</v>
      </c>
      <c r="C60" s="5" t="s">
        <v>557</v>
      </c>
      <c r="D60" s="115">
        <v>10186216</v>
      </c>
      <c r="E60" s="29" t="s">
        <v>556</v>
      </c>
      <c r="F60" s="7">
        <v>1350</v>
      </c>
      <c r="G60" s="7">
        <f t="shared" si="7"/>
        <v>1313.19</v>
      </c>
      <c r="H60" s="11">
        <f t="shared" si="9"/>
        <v>36.74</v>
      </c>
      <c r="I60" s="255">
        <f t="shared" si="8"/>
        <v>0.97278239903556363</v>
      </c>
      <c r="J60" s="32" t="s">
        <v>618</v>
      </c>
      <c r="K60" s="250">
        <f>544.11+821+248.736</f>
        <v>1313.19</v>
      </c>
    </row>
    <row r="61" spans="2:11" ht="29" hidden="1">
      <c r="B61" s="3" t="s">
        <v>21</v>
      </c>
      <c r="C61" s="5" t="s">
        <v>544</v>
      </c>
      <c r="D61" s="115">
        <v>10184092</v>
      </c>
      <c r="E61" s="29" t="s">
        <v>555</v>
      </c>
      <c r="F61" s="7">
        <v>988</v>
      </c>
      <c r="G61" s="7">
        <f t="shared" si="7"/>
        <v>960.41</v>
      </c>
      <c r="H61" s="11">
        <f t="shared" si="9"/>
        <v>27.42</v>
      </c>
      <c r="I61" s="255">
        <f t="shared" si="8"/>
        <v>0.97224052718286647</v>
      </c>
      <c r="J61" s="32" t="s">
        <v>565</v>
      </c>
      <c r="K61" s="250">
        <f>1100+80.3</f>
        <v>960.41</v>
      </c>
    </row>
    <row r="62" spans="2:11" hidden="1">
      <c r="B62" s="3" t="s">
        <v>20</v>
      </c>
      <c r="C62" s="5" t="s">
        <v>562</v>
      </c>
      <c r="D62" s="115">
        <v>10194129</v>
      </c>
      <c r="E62" s="29" t="s">
        <v>573</v>
      </c>
      <c r="F62" s="7">
        <v>324</v>
      </c>
      <c r="G62" s="7">
        <f t="shared" si="7"/>
        <v>309.91</v>
      </c>
      <c r="H62" s="11">
        <f t="shared" si="9"/>
        <v>13.94</v>
      </c>
      <c r="I62" s="255">
        <f t="shared" si="8"/>
        <v>0.95695979899497485</v>
      </c>
      <c r="J62" s="5" t="s">
        <v>591</v>
      </c>
      <c r="K62" s="250">
        <f>380.87</f>
        <v>309.91</v>
      </c>
    </row>
    <row r="63" spans="2:11" ht="29" hidden="1">
      <c r="B63" s="3" t="s">
        <v>20</v>
      </c>
      <c r="C63" s="5" t="s">
        <v>567</v>
      </c>
      <c r="D63" s="115">
        <v>10194126</v>
      </c>
      <c r="E63" s="29" t="s">
        <v>574</v>
      </c>
      <c r="F63" s="7">
        <v>750</v>
      </c>
      <c r="G63" s="7">
        <f t="shared" si="7"/>
        <v>678</v>
      </c>
      <c r="H63" s="11">
        <f t="shared" si="9"/>
        <v>89</v>
      </c>
      <c r="I63" s="255">
        <f t="shared" si="8"/>
        <v>0.90347071583514105</v>
      </c>
      <c r="J63" s="32" t="s">
        <v>669</v>
      </c>
      <c r="K63" s="250">
        <f>721+112</f>
        <v>678</v>
      </c>
    </row>
    <row r="64" spans="2:11" ht="58" hidden="1">
      <c r="B64" s="3" t="s">
        <v>21</v>
      </c>
      <c r="C64" s="5" t="s">
        <v>578</v>
      </c>
      <c r="D64" s="115">
        <v>10197284</v>
      </c>
      <c r="E64" s="29" t="s">
        <v>587</v>
      </c>
      <c r="F64" s="7">
        <v>3002</v>
      </c>
      <c r="G64" s="7">
        <f t="shared" si="7"/>
        <v>2101.64</v>
      </c>
      <c r="H64" s="11">
        <f t="shared" si="9"/>
        <v>900.10</v>
      </c>
      <c r="I64" s="255">
        <f t="shared" si="8"/>
        <v>0.70014095960965039</v>
      </c>
      <c r="J64" s="32" t="s">
        <v>601</v>
      </c>
      <c r="K64" s="250">
        <f>366.22+1000+1100+116.6</f>
        <v>2101.64</v>
      </c>
    </row>
    <row r="65" spans="2:13" ht="43.5" hidden="1">
      <c r="B65" s="3" t="s">
        <v>21</v>
      </c>
      <c r="C65" s="5" t="s">
        <v>579</v>
      </c>
      <c r="D65" s="115">
        <v>10197843</v>
      </c>
      <c r="E65" s="29" t="s">
        <v>590</v>
      </c>
      <c r="F65" s="7">
        <v>2851</v>
      </c>
      <c r="G65" s="7">
        <f>K65</f>
        <v>2848</v>
      </c>
      <c r="H65" s="11">
        <f>F65-K65</f>
        <v>4</v>
      </c>
      <c r="I65" s="255">
        <f t="shared" si="8"/>
        <v>0.99885844748858443</v>
      </c>
      <c r="J65" s="32" t="s">
        <v>640</v>
      </c>
      <c r="K65" s="250">
        <f>1100+400+2000</f>
        <v>2848</v>
      </c>
      <c r="M65" s="152"/>
    </row>
    <row r="66" spans="2:13" ht="43.5" hidden="1">
      <c r="B66" s="3" t="s">
        <v>20</v>
      </c>
      <c r="C66" s="115" t="s">
        <v>605</v>
      </c>
      <c r="D66" s="3">
        <v>10215715</v>
      </c>
      <c r="E66" s="29" t="s">
        <v>608</v>
      </c>
      <c r="F66" s="7">
        <v>800</v>
      </c>
      <c r="G66" s="7">
        <f>K66</f>
        <v>602.11</v>
      </c>
      <c r="H66" s="11">
        <f>F66-K66</f>
        <v>197.76</v>
      </c>
      <c r="I66" s="255">
        <f t="shared" si="8"/>
        <v>0.75275686673448627</v>
      </c>
      <c r="J66" s="32" t="s">
        <v>639</v>
      </c>
      <c r="K66" s="3">
        <f>400+248.73+91.23</f>
        <v>602.11</v>
      </c>
      <c r="M66" s="152"/>
    </row>
    <row r="67" spans="2:13" ht="29" hidden="1">
      <c r="B67" s="3" t="s">
        <v>144</v>
      </c>
      <c r="C67" s="5" t="s">
        <v>607</v>
      </c>
      <c r="D67" s="115">
        <v>10217327</v>
      </c>
      <c r="E67" s="29" t="s">
        <v>642</v>
      </c>
      <c r="F67" s="7">
        <v>5652</v>
      </c>
      <c r="G67" s="7">
        <f>K67</f>
        <v>5289</v>
      </c>
      <c r="H67" s="11">
        <f>F67-K67</f>
        <v>363</v>
      </c>
      <c r="I67" s="255">
        <f t="shared" si="8"/>
        <v>0.93579038295421824</v>
      </c>
      <c r="J67" s="32" t="s">
        <v>643</v>
      </c>
      <c r="K67" s="3">
        <f>3000+3500</f>
        <v>5289</v>
      </c>
      <c r="M67" s="152"/>
    </row>
    <row r="68" spans="2:13" ht="29" hidden="1">
      <c r="B68" s="3" t="s">
        <v>633</v>
      </c>
      <c r="C68" s="115" t="s">
        <v>630</v>
      </c>
      <c r="D68" s="3">
        <v>10227803</v>
      </c>
      <c r="E68" s="289" t="s">
        <v>665</v>
      </c>
      <c r="F68" s="7">
        <v>1709</v>
      </c>
      <c r="G68" s="7">
        <f>K68</f>
        <v>1474</v>
      </c>
      <c r="H68" s="11">
        <f>F68-K68</f>
        <v>288</v>
      </c>
      <c r="I68" s="255">
        <f t="shared" si="8"/>
        <v>0.86285714285714288</v>
      </c>
      <c r="J68" s="32" t="s">
        <v>719</v>
      </c>
      <c r="K68" s="3">
        <f>1700+(56*2)</f>
        <v>1474</v>
      </c>
      <c r="M68" s="152"/>
    </row>
    <row r="69" spans="2:13" ht="58" hidden="1">
      <c r="B69" s="3" t="s">
        <v>20</v>
      </c>
      <c r="C69" s="115" t="s">
        <v>653</v>
      </c>
      <c r="D69" s="3">
        <v>10245200</v>
      </c>
      <c r="E69" s="289" t="s">
        <v>666</v>
      </c>
      <c r="F69" s="7">
        <v>3662</v>
      </c>
      <c r="G69" s="7">
        <f t="shared" ref="G69:G72" si="10">K69</f>
        <v>2948.08</v>
      </c>
      <c r="H69" s="11">
        <f t="shared" ref="H69:H72" si="11">F69-K69</f>
        <v>713.57</v>
      </c>
      <c r="I69" s="255">
        <f t="shared" si="8"/>
        <v>0.80512444444444442</v>
      </c>
      <c r="J69" s="32" t="s">
        <v>688</v>
      </c>
      <c r="K69" s="3">
        <f>2071.9+895.16+56+400+200</f>
        <v>2948.08</v>
      </c>
    </row>
    <row r="70" spans="2:13" ht="58" hidden="1">
      <c r="B70" s="3" t="s">
        <v>21</v>
      </c>
      <c r="C70" s="115" t="s">
        <v>650</v>
      </c>
      <c r="D70" s="3">
        <v>10245151</v>
      </c>
      <c r="E70" s="289" t="s">
        <v>667</v>
      </c>
      <c r="F70" s="7">
        <v>3531</v>
      </c>
      <c r="G70" s="7">
        <f t="shared" si="10"/>
        <v>2685</v>
      </c>
      <c r="H70" s="11">
        <f t="shared" si="11"/>
        <v>846</v>
      </c>
      <c r="I70" s="255">
        <f t="shared" si="8"/>
        <v>0.76036866359447008</v>
      </c>
      <c r="J70" s="32" t="s">
        <v>694</v>
      </c>
      <c r="K70" s="3">
        <f>400+1000+400+1500</f>
        <v>2685</v>
      </c>
    </row>
    <row r="71" spans="2:13">
      <c r="B71" s="3" t="s">
        <v>21</v>
      </c>
      <c r="C71" s="115" t="s">
        <v>654</v>
      </c>
      <c r="D71" s="3">
        <v>10245196</v>
      </c>
      <c r="E71" s="115" t="s">
        <v>668</v>
      </c>
      <c r="F71" s="7">
        <v>3662</v>
      </c>
      <c r="G71" s="7">
        <f t="shared" si="10"/>
        <v>395.02</v>
      </c>
      <c r="H71" s="11">
        <f t="shared" si="11"/>
        <v>3266.63</v>
      </c>
      <c r="I71" s="255">
        <f t="shared" si="8"/>
        <v>0.10787999999999999</v>
      </c>
      <c r="J71" s="5" t="s">
        <v>699</v>
      </c>
      <c r="K71" s="3">
        <f>485.46</f>
        <v>395.02</v>
      </c>
    </row>
    <row r="72" spans="2:13" ht="145">
      <c r="B72" s="3" t="s">
        <v>20</v>
      </c>
      <c r="C72" s="5" t="s">
        <v>671</v>
      </c>
      <c r="D72" s="3">
        <v>10253384</v>
      </c>
      <c r="E72" s="5" t="s">
        <v>685</v>
      </c>
      <c r="F72" s="7">
        <v>9520</v>
      </c>
      <c r="G72" s="7">
        <f t="shared" si="10"/>
        <v>6363.87</v>
      </c>
      <c r="H72" s="11">
        <f t="shared" si="11"/>
        <v>3156.42</v>
      </c>
      <c r="I72" s="255">
        <f t="shared" si="8"/>
        <v>0.66845299145299142</v>
      </c>
      <c r="J72" s="32" t="s">
        <v>794</v>
      </c>
      <c r="K72" s="3">
        <f>821+2000+400+248.9+831+300+1100+1100+1000+20</f>
        <v>6363.87</v>
      </c>
    </row>
    <row r="73" spans="2:13">
      <c r="B73" s="3" t="s">
        <v>21</v>
      </c>
      <c r="C73" s="5" t="s">
        <v>689</v>
      </c>
      <c r="D73" s="3">
        <v>10264130</v>
      </c>
      <c r="E73" s="5" t="s">
        <v>707</v>
      </c>
      <c r="F73" s="7">
        <v>1001</v>
      </c>
      <c r="G73" s="7">
        <f t="shared" ref="G73:G74" si="12">K73</f>
        <v>130</v>
      </c>
      <c r="H73" s="11">
        <f t="shared" ref="H73:H74" si="13">F73-K73</f>
        <v>895</v>
      </c>
      <c r="I73" s="255">
        <f t="shared" ref="I73:I74" si="14">G73/F73</f>
        <v>0.10569105691056911</v>
      </c>
      <c r="J73" s="5" t="s">
        <v>774</v>
      </c>
      <c r="K73" s="3">
        <f>130</f>
        <v>130</v>
      </c>
    </row>
    <row r="74" spans="2:13">
      <c r="B74" s="3" t="s">
        <v>21</v>
      </c>
      <c r="C74" s="5" t="s">
        <v>696</v>
      </c>
      <c r="D74" s="3">
        <v>10266339</v>
      </c>
      <c r="E74" s="5" t="s">
        <v>708</v>
      </c>
      <c r="F74" s="7">
        <v>3662</v>
      </c>
      <c r="G74" s="7">
        <f t="shared" si="12"/>
        <v>0</v>
      </c>
      <c r="H74" s="11">
        <f t="shared" si="13"/>
        <v>3662</v>
      </c>
      <c r="I74" s="255">
        <f t="shared" si="14"/>
        <v>0</v>
      </c>
      <c r="J74" s="5"/>
      <c r="K74" s="5"/>
    </row>
    <row r="75" spans="2:13">
      <c r="B75" s="3" t="s">
        <v>20</v>
      </c>
      <c r="C75" s="5" t="s">
        <v>704</v>
      </c>
      <c r="D75" s="3">
        <v>10270636</v>
      </c>
      <c r="E75" s="5" t="s">
        <v>720</v>
      </c>
      <c r="F75" s="7">
        <v>1801</v>
      </c>
      <c r="G75" s="7">
        <f t="shared" ref="G75" si="15">K75</f>
        <v>0</v>
      </c>
      <c r="H75" s="11">
        <f t="shared" ref="H75" si="16">F75-K75</f>
        <v>1801</v>
      </c>
      <c r="I75" s="255">
        <f t="shared" ref="I75" si="17">G75/F75</f>
        <v>0</v>
      </c>
      <c r="J75" s="5"/>
      <c r="K75" s="5"/>
    </row>
    <row r="76" spans="2:13">
      <c r="B76" s="3" t="s">
        <v>144</v>
      </c>
      <c r="C76" s="5" t="s">
        <v>709</v>
      </c>
      <c r="D76" s="3">
        <v>10272855</v>
      </c>
      <c r="E76" s="5" t="s">
        <v>721</v>
      </c>
      <c r="F76" s="7">
        <v>2441</v>
      </c>
      <c r="G76" s="7">
        <f t="shared" ref="G76:G86" si="18">K76</f>
        <v>0</v>
      </c>
      <c r="H76" s="11">
        <f t="shared" ref="H76:H86" si="19">F76-K76</f>
        <v>2441</v>
      </c>
      <c r="I76" s="255">
        <f t="shared" ref="I76:I86" si="20">G76/F76</f>
        <v>0</v>
      </c>
      <c r="J76" s="5"/>
      <c r="K76" s="5"/>
    </row>
    <row r="77" spans="2:13">
      <c r="B77" s="3" t="s">
        <v>144</v>
      </c>
      <c r="C77" s="5" t="s">
        <v>713</v>
      </c>
      <c r="D77" s="3">
        <v>10272860</v>
      </c>
      <c r="E77" s="5" t="s">
        <v>722</v>
      </c>
      <c r="F77" s="7">
        <v>2441</v>
      </c>
      <c r="G77" s="7">
        <f t="shared" si="18"/>
        <v>0</v>
      </c>
      <c r="H77" s="11">
        <f t="shared" si="19"/>
        <v>2441</v>
      </c>
      <c r="I77" s="255">
        <f t="shared" si="20"/>
        <v>0</v>
      </c>
      <c r="J77" s="5"/>
      <c r="K77" s="5"/>
    </row>
    <row r="78" spans="2:13">
      <c r="B78" s="3" t="s">
        <v>20</v>
      </c>
      <c r="C78" s="5" t="s">
        <v>714</v>
      </c>
      <c r="D78" s="3">
        <v>10272871</v>
      </c>
      <c r="E78" s="5" t="s">
        <v>723</v>
      </c>
      <c r="F78" s="7">
        <v>2441</v>
      </c>
      <c r="G78" s="7">
        <f t="shared" si="18"/>
        <v>0</v>
      </c>
      <c r="H78" s="11">
        <f t="shared" si="19"/>
        <v>2441</v>
      </c>
      <c r="I78" s="255">
        <f t="shared" si="20"/>
        <v>0</v>
      </c>
      <c r="J78" s="5"/>
      <c r="K78" s="5"/>
    </row>
    <row r="79" spans="2:13">
      <c r="B79" s="3" t="s">
        <v>21</v>
      </c>
      <c r="C79" s="115" t="s">
        <v>715</v>
      </c>
      <c r="D79" s="3">
        <v>10272876</v>
      </c>
      <c r="E79" s="115" t="s">
        <v>724</v>
      </c>
      <c r="F79" s="7">
        <v>2441</v>
      </c>
      <c r="G79" s="7">
        <f t="shared" si="18"/>
        <v>0</v>
      </c>
      <c r="H79" s="11">
        <f t="shared" si="19"/>
        <v>2441</v>
      </c>
      <c r="I79" s="255">
        <f t="shared" si="20"/>
        <v>0</v>
      </c>
      <c r="J79" s="5"/>
      <c r="K79" s="5"/>
    </row>
    <row r="80" spans="2:13">
      <c r="B80" s="3" t="s">
        <v>20</v>
      </c>
      <c r="C80" s="115" t="s">
        <v>752</v>
      </c>
      <c r="D80" s="3">
        <v>10278806</v>
      </c>
      <c r="E80" s="3"/>
      <c r="F80" s="7">
        <v>488</v>
      </c>
      <c r="G80" s="7">
        <f t="shared" si="18"/>
        <v>0</v>
      </c>
      <c r="H80" s="11">
        <f t="shared" si="19"/>
        <v>488</v>
      </c>
      <c r="I80" s="255">
        <f t="shared" si="20"/>
        <v>0</v>
      </c>
      <c r="J80" s="5"/>
      <c r="K80" s="5"/>
    </row>
    <row r="81" spans="2:11">
      <c r="B81" s="3" t="s">
        <v>20</v>
      </c>
      <c r="C81" s="115" t="s">
        <v>753</v>
      </c>
      <c r="D81" s="3">
        <v>10278806</v>
      </c>
      <c r="E81" s="3"/>
      <c r="F81" s="7">
        <v>1221</v>
      </c>
      <c r="G81" s="7">
        <f t="shared" si="18"/>
        <v>0</v>
      </c>
      <c r="H81" s="11">
        <f t="shared" si="19"/>
        <v>1221</v>
      </c>
      <c r="I81" s="255">
        <f t="shared" si="20"/>
        <v>0</v>
      </c>
      <c r="J81" s="5"/>
      <c r="K81" s="5"/>
    </row>
    <row r="82" spans="2:11">
      <c r="B82" s="3" t="s">
        <v>20</v>
      </c>
      <c r="C82" s="115" t="s">
        <v>754</v>
      </c>
      <c r="D82" s="3">
        <v>10278807</v>
      </c>
      <c r="E82" s="3"/>
      <c r="F82" s="7">
        <v>732</v>
      </c>
      <c r="G82" s="7">
        <f t="shared" si="18"/>
        <v>0</v>
      </c>
      <c r="H82" s="11">
        <f t="shared" si="19"/>
        <v>732</v>
      </c>
      <c r="I82" s="255">
        <f t="shared" si="20"/>
        <v>0</v>
      </c>
      <c r="J82" s="5"/>
      <c r="K82" s="5"/>
    </row>
    <row r="83" spans="2:11">
      <c r="B83" s="3" t="s">
        <v>21</v>
      </c>
      <c r="C83" s="115" t="s">
        <v>661</v>
      </c>
      <c r="D83" s="3">
        <v>10282616</v>
      </c>
      <c r="E83" s="3"/>
      <c r="F83" s="7">
        <v>4211</v>
      </c>
      <c r="G83" s="7">
        <f t="shared" si="18"/>
        <v>0</v>
      </c>
      <c r="H83" s="11">
        <f t="shared" si="19"/>
        <v>4211</v>
      </c>
      <c r="I83" s="255">
        <f t="shared" si="20"/>
        <v>0</v>
      </c>
      <c r="J83" s="3"/>
      <c r="K83" s="5"/>
    </row>
    <row r="84" spans="2:11">
      <c r="B84" s="3" t="s">
        <v>21</v>
      </c>
      <c r="C84" s="115" t="s">
        <v>660</v>
      </c>
      <c r="D84" s="3">
        <v>10282618</v>
      </c>
      <c r="E84" s="3"/>
      <c r="F84" s="7">
        <v>4211</v>
      </c>
      <c r="G84" s="7">
        <f t="shared" si="18"/>
        <v>0</v>
      </c>
      <c r="H84" s="11">
        <f t="shared" si="19"/>
        <v>4211</v>
      </c>
      <c r="I84" s="255">
        <f t="shared" si="20"/>
        <v>0</v>
      </c>
      <c r="J84" s="3"/>
      <c r="K84" s="5"/>
    </row>
    <row r="85" spans="2:11">
      <c r="B85" s="3" t="s">
        <v>20</v>
      </c>
      <c r="C85" s="115" t="s">
        <v>765</v>
      </c>
      <c r="D85" s="3">
        <v>10282311</v>
      </c>
      <c r="E85" s="115" t="s">
        <v>771</v>
      </c>
      <c r="F85" s="7">
        <v>10578</v>
      </c>
      <c r="G85" s="7">
        <f t="shared" si="18"/>
        <v>0</v>
      </c>
      <c r="H85" s="11">
        <f t="shared" si="19"/>
        <v>10578</v>
      </c>
      <c r="I85" s="255">
        <f t="shared" si="20"/>
        <v>0</v>
      </c>
      <c r="J85" s="3"/>
      <c r="K85" s="5"/>
    </row>
    <row r="86" spans="2:11">
      <c r="B86" s="3" t="s">
        <v>20</v>
      </c>
      <c r="C86" s="115" t="s">
        <v>795</v>
      </c>
      <c r="D86" s="3">
        <v>10290813</v>
      </c>
      <c r="E86" s="115"/>
      <c r="F86" s="7">
        <v>2441</v>
      </c>
      <c r="G86" s="7">
        <f t="shared" si="18"/>
        <v>0</v>
      </c>
      <c r="H86" s="11">
        <f t="shared" si="19"/>
        <v>2441</v>
      </c>
      <c r="I86" s="255">
        <f t="shared" si="20"/>
        <v>0</v>
      </c>
      <c r="J86" s="3"/>
      <c r="K86" s="5"/>
    </row>
  </sheetData>
  <autoFilter ref="B3:J85" xr:uid="{34C332C0-15A9-49AF-A7AE-F155B96C6411}">
    <filterColumn colId="3">
      <colorFilter dxfId="86"/>
    </filterColumn>
  </autoFilter>
  <phoneticPr fontId="51" type="noConversion"/>
  <pageMargins left="0.7" right="0.7" top="0.75" bottom="0.75" header="0.3" footer="0.3"/>
  <pageSetup paperSize="9" orientation="portrait" horizontalDpi="300" verticalDpi="300"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26895-3A5F-4D28-BE1C-68EC3742EA3A}">
  <sheetPr codeName="Sheet16"/>
  <dimension ref="A1:BX82"/>
  <sheetViews>
    <sheetView zoomScale="60" zoomScaleNormal="60" workbookViewId="0">
      <pane xSplit="4" ySplit="4" topLeftCell="E5" activePane="bottomRight" state="frozen"/>
      <selection activeCell="AF18" sqref="AF18"/>
      <selection pane="topRight" activeCell="AF18" sqref="AF18"/>
      <selection pane="bottomLeft" activeCell="AF18" sqref="AF18"/>
      <selection pane="bottomRight" activeCell="B37" sqref="B36:B37"/>
    </sheetView>
  </sheetViews>
  <sheetFormatPr defaultRowHeight="14.5"/>
  <cols>
    <col min="1" max="1" width="3.54296875" customWidth="1"/>
    <col min="2" max="2" width="45" customWidth="1"/>
    <col min="3" max="3" width="18.54296875" bestFit="1" customWidth="1"/>
    <col min="4" max="4" width="14.54296875" bestFit="1" customWidth="1"/>
    <col min="5" max="5" width="6.26953125" hidden="1" customWidth="1"/>
    <col min="6" max="6" width="11.54296875" hidden="1" customWidth="1"/>
    <col min="7" max="7" width="6.26953125" hidden="1" customWidth="1"/>
    <col min="8" max="8" width="11.54296875" hidden="1" customWidth="1"/>
    <col min="9" max="9" width="6.26953125" hidden="1" customWidth="1"/>
    <col min="10" max="10" width="11.54296875" hidden="1" customWidth="1"/>
    <col min="11" max="11" width="6.26953125" hidden="1" customWidth="1"/>
    <col min="12" max="12" width="11.54296875" hidden="1" customWidth="1"/>
    <col min="13" max="13" width="6.26953125" hidden="1" customWidth="1"/>
    <col min="14" max="14" width="11.54296875" hidden="1" customWidth="1"/>
    <col min="15" max="15" width="6.26953125" hidden="1" customWidth="1"/>
    <col min="16" max="16" width="11.54296875" hidden="1" customWidth="1"/>
    <col min="17" max="17" width="5.453125" hidden="1" customWidth="1"/>
    <col min="18" max="18" width="11.54296875" hidden="1" customWidth="1"/>
    <col min="19" max="19" width="5.453125" hidden="1" customWidth="1"/>
    <col min="20" max="20" width="11.54296875" hidden="1" customWidth="1"/>
    <col min="21" max="21" width="5.453125" hidden="1" customWidth="1"/>
    <col min="22" max="22" width="11.54296875" hidden="1" customWidth="1"/>
    <col min="23" max="23" width="5.453125" hidden="1" customWidth="1"/>
    <col min="24" max="24" width="11.54296875" hidden="1" customWidth="1"/>
    <col min="25" max="25" width="5.453125" hidden="1" customWidth="1"/>
    <col min="26" max="26" width="13.54296875" hidden="1" customWidth="1"/>
    <col min="27" max="27" width="10.453125" hidden="1" customWidth="1"/>
    <col min="28" max="28" width="12" hidden="1" customWidth="1"/>
    <col min="29" max="29" width="5.453125" hidden="1" customWidth="1"/>
    <col min="30" max="30" width="11.54296875" hidden="1" customWidth="1"/>
    <col min="31" max="31" width="5.81640625" hidden="1" customWidth="1"/>
    <col min="32" max="32" width="11.54296875" hidden="1" customWidth="1"/>
    <col min="33" max="33" width="10.81640625" hidden="1" customWidth="1"/>
    <col min="34" max="34" width="13.1796875" hidden="1" customWidth="1"/>
    <col min="35" max="35" width="11.81640625" hidden="1" customWidth="1"/>
    <col min="36" max="36" width="12.7265625" hidden="1" customWidth="1"/>
    <col min="37" max="37" width="8.81640625" hidden="1" customWidth="1"/>
    <col min="38" max="38" width="11.54296875" hidden="1" customWidth="1"/>
    <col min="39" max="39" width="11.1796875" hidden="1" customWidth="1"/>
    <col min="40" max="40" width="13.1796875" hidden="1" customWidth="1"/>
    <col min="41" max="41" width="9.54296875" style="95" hidden="1" customWidth="1"/>
    <col min="42" max="42" width="18" hidden="1" customWidth="1"/>
    <col min="43" max="43" width="12.54296875" hidden="1" customWidth="1"/>
    <col min="44" max="44" width="12.6328125" hidden="1" customWidth="1"/>
    <col min="45" max="45" width="9.90625" hidden="1" customWidth="1"/>
    <col min="46" max="46" width="18" hidden="1" customWidth="1"/>
    <col min="47" max="47" width="9.1796875" hidden="1" customWidth="1"/>
    <col min="48" max="48" width="12.81640625" hidden="1" customWidth="1"/>
    <col min="49" max="50" width="12.81640625" bestFit="1" customWidth="1"/>
    <col min="51" max="51" width="11.81640625" bestFit="1" customWidth="1"/>
    <col min="52" max="52" width="13.36328125" customWidth="1"/>
    <col min="53" max="53" width="11.54296875" bestFit="1" customWidth="1"/>
    <col min="54" max="54" width="12.81640625" bestFit="1" customWidth="1"/>
    <col min="55" max="55" width="11.453125" customWidth="1"/>
    <col min="56" max="56" width="12.81640625" bestFit="1" customWidth="1"/>
    <col min="57" max="57" width="11.54296875" bestFit="1" customWidth="1"/>
    <col min="58" max="58" width="13.81640625" bestFit="1" customWidth="1"/>
    <col min="59" max="59" width="12.54296875" bestFit="1" customWidth="1"/>
    <col min="60" max="60" width="13.08984375" bestFit="1" customWidth="1"/>
    <col min="61" max="61" width="12" bestFit="1" customWidth="1"/>
    <col min="62" max="62" width="13.08984375" customWidth="1"/>
    <col min="64" max="64" width="12.1796875" customWidth="1"/>
    <col min="66" max="66" width="13.08984375" bestFit="1" customWidth="1"/>
    <col min="68" max="68" width="11" bestFit="1" customWidth="1"/>
    <col min="70" max="70" width="11" bestFit="1" customWidth="1"/>
    <col min="72" max="72" width="11" bestFit="1" customWidth="1"/>
    <col min="74" max="74" width="11" bestFit="1" customWidth="1"/>
    <col min="76" max="76" width="11" bestFit="1" customWidth="1"/>
  </cols>
  <sheetData>
    <row r="1" spans="2:76">
      <c r="C1" s="87"/>
      <c r="E1" s="537" t="s">
        <v>180</v>
      </c>
      <c r="F1" s="537"/>
      <c r="G1" s="537"/>
      <c r="H1" s="537"/>
      <c r="I1" s="537"/>
      <c r="J1" s="537"/>
      <c r="K1" s="537"/>
      <c r="L1" s="537"/>
      <c r="M1" s="537"/>
      <c r="N1" s="537"/>
      <c r="O1" s="537"/>
      <c r="P1" s="537"/>
      <c r="Q1" s="537"/>
      <c r="R1" s="537"/>
      <c r="S1" s="537"/>
      <c r="T1" s="537"/>
      <c r="U1" s="537"/>
      <c r="V1" s="537"/>
      <c r="W1" s="537"/>
      <c r="X1" s="537"/>
      <c r="Y1" s="537"/>
      <c r="Z1" s="537"/>
      <c r="AA1" s="537"/>
      <c r="AB1" s="537"/>
      <c r="AC1" s="539" t="s">
        <v>248</v>
      </c>
      <c r="AD1" s="540"/>
      <c r="AE1" s="540"/>
      <c r="AF1" s="540"/>
      <c r="AG1" s="540"/>
      <c r="AH1" s="540"/>
      <c r="AI1" s="540"/>
      <c r="AJ1" s="540"/>
      <c r="AK1" s="540"/>
      <c r="AL1" s="540"/>
      <c r="AM1" s="540"/>
      <c r="AN1" s="540"/>
      <c r="AO1" s="540"/>
      <c r="AP1" s="540"/>
      <c r="AQ1" s="540"/>
      <c r="AR1" s="540"/>
      <c r="AS1" s="540"/>
      <c r="AT1" s="540"/>
      <c r="AU1" s="540"/>
      <c r="AV1" s="540"/>
      <c r="AW1" s="540"/>
      <c r="AX1" s="540"/>
      <c r="AY1" s="540"/>
      <c r="AZ1" s="540"/>
      <c r="BA1" s="541" t="s">
        <v>602</v>
      </c>
      <c r="BB1" s="542"/>
      <c r="BC1" s="542"/>
      <c r="BD1" s="542"/>
      <c r="BE1" s="542"/>
      <c r="BF1" s="542"/>
      <c r="BG1" s="542"/>
      <c r="BH1" s="542"/>
      <c r="BI1" s="542"/>
      <c r="BJ1" s="542"/>
      <c r="BK1" s="542"/>
      <c r="BL1" s="542"/>
      <c r="BM1" s="542"/>
      <c r="BN1" s="542"/>
      <c r="BO1" s="542"/>
      <c r="BP1" s="542"/>
      <c r="BQ1" s="542"/>
      <c r="BR1" s="542"/>
      <c r="BS1" s="542"/>
      <c r="BT1" s="542"/>
      <c r="BU1" s="542"/>
      <c r="BV1" s="542"/>
      <c r="BW1" s="542"/>
      <c r="BX1" s="542"/>
    </row>
    <row r="2" spans="2:76">
      <c r="C2" s="87"/>
      <c r="D2" s="270"/>
      <c r="E2" s="534" t="s">
        <v>183</v>
      </c>
      <c r="F2" s="534"/>
      <c r="G2" s="534" t="s">
        <v>184</v>
      </c>
      <c r="H2" s="534"/>
      <c r="I2" s="534" t="s">
        <v>185</v>
      </c>
      <c r="J2" s="534"/>
      <c r="K2" s="534" t="s">
        <v>186</v>
      </c>
      <c r="L2" s="534"/>
      <c r="M2" s="203" t="s">
        <v>187</v>
      </c>
      <c r="N2" s="203"/>
      <c r="O2" s="203" t="s">
        <v>188</v>
      </c>
      <c r="P2" s="203"/>
      <c r="Q2" s="203" t="s">
        <v>189</v>
      </c>
      <c r="R2" s="203"/>
      <c r="S2" s="203" t="s">
        <v>190</v>
      </c>
      <c r="T2" s="204"/>
      <c r="U2" s="203" t="s">
        <v>191</v>
      </c>
      <c r="V2" s="203"/>
      <c r="W2" s="534" t="s">
        <v>181</v>
      </c>
      <c r="X2" s="534"/>
      <c r="Y2" s="534" t="s">
        <v>192</v>
      </c>
      <c r="Z2" s="534"/>
      <c r="AA2" s="534" t="s">
        <v>182</v>
      </c>
      <c r="AB2" s="534"/>
      <c r="AC2" s="534" t="s">
        <v>193</v>
      </c>
      <c r="AD2" s="534"/>
      <c r="AE2" s="534" t="s">
        <v>194</v>
      </c>
      <c r="AF2" s="534"/>
      <c r="AG2" s="534" t="s">
        <v>185</v>
      </c>
      <c r="AH2" s="534"/>
      <c r="AI2" s="534" t="s">
        <v>186</v>
      </c>
      <c r="AJ2" s="534"/>
      <c r="AK2" s="534" t="s">
        <v>187</v>
      </c>
      <c r="AL2" s="534"/>
      <c r="AM2" s="534" t="s">
        <v>188</v>
      </c>
      <c r="AN2" s="534"/>
      <c r="AO2" s="534" t="s">
        <v>189</v>
      </c>
      <c r="AP2" s="534"/>
      <c r="AQ2" s="534" t="s">
        <v>190</v>
      </c>
      <c r="AR2" s="534"/>
      <c r="AS2" s="534" t="s">
        <v>191</v>
      </c>
      <c r="AT2" s="534"/>
      <c r="AU2" s="534" t="s">
        <v>181</v>
      </c>
      <c r="AV2" s="534"/>
      <c r="AW2" s="534" t="s">
        <v>192</v>
      </c>
      <c r="AX2" s="534"/>
      <c r="AY2" s="534" t="s">
        <v>182</v>
      </c>
      <c r="AZ2" s="534"/>
      <c r="BA2" s="534" t="s">
        <v>193</v>
      </c>
      <c r="BB2" s="534"/>
      <c r="BC2" s="534" t="s">
        <v>194</v>
      </c>
      <c r="BD2" s="534"/>
      <c r="BE2" s="534" t="s">
        <v>185</v>
      </c>
      <c r="BF2" s="534"/>
      <c r="BG2" s="534" t="s">
        <v>186</v>
      </c>
      <c r="BH2" s="534"/>
      <c r="BI2" s="534" t="s">
        <v>187</v>
      </c>
      <c r="BJ2" s="534"/>
      <c r="BK2" s="534" t="s">
        <v>188</v>
      </c>
      <c r="BL2" s="534"/>
      <c r="BM2" s="534" t="s">
        <v>189</v>
      </c>
      <c r="BN2" s="534"/>
      <c r="BO2" s="534" t="s">
        <v>190</v>
      </c>
      <c r="BP2" s="534"/>
      <c r="BQ2" s="534" t="s">
        <v>191</v>
      </c>
      <c r="BR2" s="534"/>
      <c r="BS2" s="534" t="s">
        <v>181</v>
      </c>
      <c r="BT2" s="534"/>
      <c r="BU2" s="534" t="s">
        <v>192</v>
      </c>
      <c r="BV2" s="534"/>
      <c r="BW2" s="534" t="s">
        <v>182</v>
      </c>
      <c r="BX2" s="534"/>
    </row>
    <row r="3" spans="2:76">
      <c r="C3" s="87"/>
      <c r="E3" s="79">
        <v>21</v>
      </c>
      <c r="F3" s="80"/>
      <c r="G3" s="79">
        <v>23</v>
      </c>
      <c r="H3" s="80"/>
      <c r="I3" s="79">
        <v>20</v>
      </c>
      <c r="J3" s="80"/>
      <c r="K3" s="79">
        <v>15</v>
      </c>
      <c r="L3" s="80"/>
      <c r="M3" s="79">
        <v>19</v>
      </c>
      <c r="N3" s="80"/>
      <c r="O3">
        <v>20</v>
      </c>
      <c r="Q3">
        <v>21</v>
      </c>
      <c r="S3">
        <v>19</v>
      </c>
      <c r="U3">
        <v>20</v>
      </c>
      <c r="W3">
        <v>20</v>
      </c>
      <c r="Y3">
        <v>23</v>
      </c>
      <c r="AA3">
        <v>11</v>
      </c>
      <c r="AC3">
        <v>22</v>
      </c>
      <c r="AE3">
        <v>23</v>
      </c>
      <c r="AG3">
        <v>20</v>
      </c>
      <c r="AI3">
        <v>16</v>
      </c>
      <c r="AK3">
        <v>18</v>
      </c>
      <c r="AM3">
        <v>20</v>
      </c>
      <c r="AO3" s="325">
        <v>22</v>
      </c>
      <c r="AP3" s="325"/>
      <c r="AQ3" s="325">
        <v>21</v>
      </c>
      <c r="AR3" s="325"/>
      <c r="AS3" s="325">
        <v>20</v>
      </c>
      <c r="AT3" s="325"/>
      <c r="AU3" s="325">
        <v>20</v>
      </c>
      <c r="AV3" s="325"/>
      <c r="AW3" s="325">
        <v>23</v>
      </c>
      <c r="AX3" s="325"/>
      <c r="AY3" s="325">
        <v>10</v>
      </c>
      <c r="AZ3" s="325"/>
      <c r="BA3">
        <v>22</v>
      </c>
      <c r="BC3">
        <v>22</v>
      </c>
      <c r="BE3">
        <v>21</v>
      </c>
      <c r="BG3">
        <v>16</v>
      </c>
      <c r="BI3">
        <v>21</v>
      </c>
      <c r="BK3">
        <v>20</v>
      </c>
      <c r="BM3">
        <v>23</v>
      </c>
      <c r="BO3">
        <v>21</v>
      </c>
      <c r="BQ3">
        <v>21</v>
      </c>
      <c r="BS3">
        <v>23</v>
      </c>
    </row>
    <row r="4" spans="2:76">
      <c r="B4" s="122" t="s">
        <v>41</v>
      </c>
      <c r="C4" s="122" t="s">
        <v>99</v>
      </c>
      <c r="D4" s="245" t="s">
        <v>195</v>
      </c>
      <c r="E4" s="81">
        <f>E3*8</f>
        <v>168</v>
      </c>
      <c r="F4" s="82" t="s">
        <v>196</v>
      </c>
      <c r="G4" s="81">
        <f>G3*8</f>
        <v>184</v>
      </c>
      <c r="H4" s="82" t="s">
        <v>196</v>
      </c>
      <c r="I4" s="81">
        <f t="shared" ref="I4:K4" si="0">I3*8</f>
        <v>160</v>
      </c>
      <c r="J4" s="82" t="s">
        <v>196</v>
      </c>
      <c r="K4" s="81">
        <f t="shared" si="0"/>
        <v>120</v>
      </c>
      <c r="L4" s="82" t="s">
        <v>196</v>
      </c>
      <c r="M4" s="81">
        <f>M3*8</f>
        <v>152</v>
      </c>
      <c r="N4" s="82" t="s">
        <v>196</v>
      </c>
      <c r="O4" s="81">
        <f>O3*8</f>
        <v>160</v>
      </c>
      <c r="P4" s="82" t="s">
        <v>196</v>
      </c>
      <c r="Q4" s="81">
        <f t="shared" ref="Q4" si="1">Q3*8</f>
        <v>168</v>
      </c>
      <c r="R4" s="82" t="s">
        <v>196</v>
      </c>
      <c r="S4" s="81">
        <v>152</v>
      </c>
      <c r="T4" s="82" t="s">
        <v>196</v>
      </c>
      <c r="U4" s="83">
        <f>U3*8</f>
        <v>160</v>
      </c>
      <c r="V4" s="84" t="s">
        <v>196</v>
      </c>
      <c r="W4" s="194">
        <f>W3*8</f>
        <v>160</v>
      </c>
      <c r="X4" s="82" t="s">
        <v>196</v>
      </c>
      <c r="Y4" s="81">
        <f>Y3*8</f>
        <v>184</v>
      </c>
      <c r="Z4" s="82" t="s">
        <v>196</v>
      </c>
      <c r="AA4" s="81">
        <f>AA3*8</f>
        <v>88</v>
      </c>
      <c r="AB4" s="82" t="s">
        <v>196</v>
      </c>
      <c r="AC4" s="81">
        <f>AC3*8</f>
        <v>176</v>
      </c>
      <c r="AD4" s="82" t="s">
        <v>196</v>
      </c>
      <c r="AE4" s="81">
        <f>AE3*8</f>
        <v>184</v>
      </c>
      <c r="AF4" s="82" t="s">
        <v>196</v>
      </c>
      <c r="AG4" s="81">
        <f>AG3*8</f>
        <v>160</v>
      </c>
      <c r="AH4" s="82" t="s">
        <v>196</v>
      </c>
      <c r="AI4" s="83">
        <f>AI3*8</f>
        <v>128</v>
      </c>
      <c r="AJ4" s="84" t="s">
        <v>196</v>
      </c>
      <c r="AK4" s="83">
        <f>AK3*8</f>
        <v>144</v>
      </c>
      <c r="AL4" s="84" t="s">
        <v>196</v>
      </c>
      <c r="AM4" s="83">
        <f t="shared" ref="AM4" si="2">AM3*8</f>
        <v>160</v>
      </c>
      <c r="AN4" s="84" t="s">
        <v>196</v>
      </c>
      <c r="AO4" s="83">
        <f t="shared" ref="AO4" si="3">AO3*8</f>
        <v>176</v>
      </c>
      <c r="AP4" s="84" t="s">
        <v>196</v>
      </c>
      <c r="AQ4" s="83">
        <f t="shared" ref="AQ4" si="4">AQ3*8</f>
        <v>168</v>
      </c>
      <c r="AR4" s="84" t="s">
        <v>196</v>
      </c>
      <c r="AS4" s="83">
        <f t="shared" ref="AS4" si="5">AS3*8</f>
        <v>160</v>
      </c>
      <c r="AT4" s="84" t="s">
        <v>196</v>
      </c>
      <c r="AU4" s="83">
        <f t="shared" ref="AU4" si="6">AU3*8</f>
        <v>160</v>
      </c>
      <c r="AV4" s="84" t="s">
        <v>196</v>
      </c>
      <c r="AW4" s="83">
        <f t="shared" ref="AW4" si="7">AW3*8</f>
        <v>184</v>
      </c>
      <c r="AX4" s="84" t="s">
        <v>196</v>
      </c>
      <c r="AY4" s="83">
        <f t="shared" ref="AY4:BW4" si="8">AY3*8</f>
        <v>80</v>
      </c>
      <c r="AZ4" s="84" t="s">
        <v>196</v>
      </c>
      <c r="BA4" s="83">
        <f t="shared" si="8"/>
        <v>176</v>
      </c>
      <c r="BB4" s="84" t="s">
        <v>196</v>
      </c>
      <c r="BC4" s="83">
        <f t="shared" si="8"/>
        <v>176</v>
      </c>
      <c r="BD4" s="84" t="s">
        <v>196</v>
      </c>
      <c r="BE4" s="83">
        <f t="shared" si="8"/>
        <v>168</v>
      </c>
      <c r="BF4" s="84" t="s">
        <v>196</v>
      </c>
      <c r="BG4" s="83">
        <f t="shared" si="8"/>
        <v>128</v>
      </c>
      <c r="BH4" s="84" t="s">
        <v>196</v>
      </c>
      <c r="BI4" s="83">
        <f t="shared" si="8"/>
        <v>168</v>
      </c>
      <c r="BJ4" s="84" t="s">
        <v>196</v>
      </c>
      <c r="BK4" s="83">
        <f t="shared" si="8"/>
        <v>160</v>
      </c>
      <c r="BL4" s="84" t="s">
        <v>196</v>
      </c>
      <c r="BM4" s="83">
        <f t="shared" si="8"/>
        <v>184</v>
      </c>
      <c r="BN4" s="84" t="s">
        <v>196</v>
      </c>
      <c r="BO4" s="83">
        <f t="shared" si="8"/>
        <v>168</v>
      </c>
      <c r="BP4" s="84" t="s">
        <v>196</v>
      </c>
      <c r="BQ4" s="83">
        <f t="shared" si="8"/>
        <v>168</v>
      </c>
      <c r="BR4" s="84" t="s">
        <v>196</v>
      </c>
      <c r="BS4" s="83">
        <f t="shared" si="8"/>
        <v>184</v>
      </c>
      <c r="BT4" s="84" t="s">
        <v>196</v>
      </c>
      <c r="BU4" s="83">
        <f t="shared" si="8"/>
        <v>0</v>
      </c>
      <c r="BV4" s="84" t="s">
        <v>196</v>
      </c>
      <c r="BW4" s="83">
        <f t="shared" si="8"/>
        <v>0</v>
      </c>
      <c r="BX4" s="84" t="s">
        <v>196</v>
      </c>
    </row>
    <row r="5" spans="2:76">
      <c r="B5" s="22" t="s">
        <v>68</v>
      </c>
      <c r="C5" s="3">
        <v>88.64</v>
      </c>
      <c r="D5" s="85">
        <v>0.81</v>
      </c>
      <c r="E5" s="86">
        <f>$D$5*E4</f>
        <v>110.73</v>
      </c>
      <c r="F5" s="87">
        <f>E5*C5</f>
        <v>12062.74</v>
      </c>
      <c r="G5" s="86">
        <f>$D$5*G4</f>
        <v>121.27</v>
      </c>
      <c r="H5" s="87">
        <f>G5*C5</f>
        <v>13211.57</v>
      </c>
      <c r="I5" s="86">
        <f>D5*$I$4</f>
        <v>105.46</v>
      </c>
      <c r="J5" s="91">
        <f>I5*C5</f>
        <v>11488.32</v>
      </c>
      <c r="K5" s="86"/>
      <c r="L5" s="87"/>
      <c r="M5" s="86"/>
      <c r="N5" s="87"/>
      <c r="O5" s="86"/>
      <c r="P5" s="87"/>
      <c r="Q5" s="86"/>
      <c r="R5" s="87"/>
      <c r="S5" s="86"/>
      <c r="T5" s="87"/>
      <c r="U5" s="86"/>
      <c r="V5" s="87"/>
      <c r="W5" s="195"/>
      <c r="X5" s="89"/>
      <c r="Y5" s="88"/>
      <c r="Z5" s="89"/>
      <c r="AA5" s="88"/>
      <c r="AB5" s="89"/>
      <c r="AC5" s="88"/>
      <c r="AD5" s="90"/>
      <c r="AE5" s="88"/>
      <c r="AF5" s="89"/>
      <c r="AG5" s="88"/>
      <c r="AH5" s="89"/>
      <c r="AI5" s="88"/>
      <c r="AJ5" s="90"/>
      <c r="AK5" s="95">
        <f>AK4*D5</f>
        <v>94.91</v>
      </c>
      <c r="AL5" s="87">
        <f t="shared" ref="AL5:AL12" si="9">AK5*C5</f>
        <v>10339.49</v>
      </c>
      <c r="AM5" s="86">
        <f>$AM$4*D5</f>
        <v>105.46</v>
      </c>
      <c r="AN5" s="87">
        <f t="shared" ref="AN5:AN12" si="10">AM5*C5</f>
        <v>11488.32</v>
      </c>
      <c r="AO5" s="86">
        <f>(AO4*D5-8)-24</f>
        <v>89.96</v>
      </c>
      <c r="AP5" s="91">
        <f>AO5*C5</f>
        <v>9800.53</v>
      </c>
      <c r="AQ5" s="86">
        <f>(($AQ$4-8)*D5)-16</f>
        <v>92.44</v>
      </c>
      <c r="AR5" s="87">
        <f t="shared" ref="AR5:AR12" si="11">AQ5*C5</f>
        <v>10070.01</v>
      </c>
      <c r="AS5" s="86">
        <f>($AS$4*D5)-20</f>
        <v>89.18</v>
      </c>
      <c r="AT5" s="87">
        <v>8700.55</v>
      </c>
      <c r="AU5" s="86">
        <f>103.1-57.9</f>
        <v>36.78</v>
      </c>
      <c r="AV5" s="138">
        <f>AU5*C5</f>
        <v>4006.73</v>
      </c>
      <c r="AW5" s="86">
        <f>(($AW$4-16)*D5)-66.6</f>
        <v>56.54</v>
      </c>
      <c r="AX5" s="87">
        <f>(AW5*C5)</f>
        <v>6159.02</v>
      </c>
      <c r="AY5" s="330">
        <v>34</v>
      </c>
      <c r="AZ5" s="87"/>
      <c r="BA5" s="95">
        <f>$BA$4*D5</f>
        <v>116.00</v>
      </c>
      <c r="BB5" s="397">
        <f>BA5*C5-6200</f>
        <v>7592.22</v>
      </c>
      <c r="BC5" s="88">
        <f>$BC$4*D5</f>
        <v>116.00</v>
      </c>
      <c r="BD5" s="90">
        <f>BC5*C5</f>
        <v>12637.16</v>
      </c>
      <c r="BE5" s="86">
        <f>$BE$4*D5</f>
        <v>110.73</v>
      </c>
      <c r="BF5" s="135">
        <f>BE5*C5</f>
        <v>12062.74</v>
      </c>
      <c r="BG5" s="88">
        <f>$BG$4*D5</f>
        <v>84.36</v>
      </c>
      <c r="BH5" s="89">
        <f>BG5*C5</f>
        <v>9190.66</v>
      </c>
      <c r="BI5" s="88">
        <f>$BI$4*D5</f>
        <v>110.73</v>
      </c>
      <c r="BJ5" s="89">
        <f>BI5*C5</f>
        <v>12062.74</v>
      </c>
      <c r="BK5" s="88">
        <f>$BK$4*D5</f>
        <v>105.46</v>
      </c>
      <c r="BL5" s="89">
        <f>BK5*C5</f>
        <v>11488.32</v>
      </c>
      <c r="BM5" s="88">
        <f>$BM$4*D5</f>
        <v>121.27</v>
      </c>
      <c r="BN5" s="89">
        <f>BM5*C5</f>
        <v>13211.57</v>
      </c>
      <c r="BO5" s="388"/>
      <c r="BP5" s="389"/>
      <c r="BQ5" s="388"/>
      <c r="BR5" s="389"/>
      <c r="BS5" s="388"/>
      <c r="BT5" s="389"/>
      <c r="BU5" s="388"/>
      <c r="BV5" s="389"/>
      <c r="BW5" s="388"/>
      <c r="BX5" s="389"/>
    </row>
    <row r="6" spans="2:76">
      <c r="B6" s="22" t="s">
        <v>69</v>
      </c>
      <c r="C6" s="3">
        <v>34.61</v>
      </c>
      <c r="D6" s="85">
        <v>0.9</v>
      </c>
      <c r="E6" s="86">
        <f>$D$6*E4</f>
        <v>123.03</v>
      </c>
      <c r="F6" s="87">
        <f>E6*C6</f>
        <v>5232.53</v>
      </c>
      <c r="G6" s="86">
        <f>($G$4-26)*D6</f>
        <v>115.71</v>
      </c>
      <c r="H6" s="87">
        <f>G6*C6</f>
        <v>4921.07</v>
      </c>
      <c r="I6" s="86">
        <f>D6*($I$4-8)</f>
        <v>111.31</v>
      </c>
      <c r="J6" s="91">
        <f t="shared" ref="J6:J11" si="12">I6*C6</f>
        <v>4734.19</v>
      </c>
      <c r="K6" s="86">
        <v>96</v>
      </c>
      <c r="L6" s="91">
        <v>3515</v>
      </c>
      <c r="M6" s="137">
        <f>(D6*($M$4-4-2))</f>
        <v>106.92</v>
      </c>
      <c r="N6" s="91">
        <f>M6*C6</f>
        <v>4547.32</v>
      </c>
      <c r="O6" s="86">
        <v>128</v>
      </c>
      <c r="P6" s="87">
        <v>4715.03</v>
      </c>
      <c r="Q6" s="86">
        <v>108.71</v>
      </c>
      <c r="R6" s="87">
        <v>4921.32</v>
      </c>
      <c r="S6" s="86">
        <v>99.60</v>
      </c>
      <c r="T6" s="87">
        <v>4827.46</v>
      </c>
      <c r="U6" s="86">
        <v>108.71</v>
      </c>
      <c r="V6" s="87">
        <v>4921.32</v>
      </c>
      <c r="W6" s="95">
        <v>128</v>
      </c>
      <c r="X6" s="87">
        <v>4715.03</v>
      </c>
      <c r="Y6" s="86">
        <v>111.31</v>
      </c>
      <c r="Z6" s="87">
        <v>3471.89</v>
      </c>
      <c r="AA6" s="86">
        <v>68</v>
      </c>
      <c r="AB6" s="87">
        <v>2504.86</v>
      </c>
      <c r="AC6" s="86">
        <f>($AC$4-10)*D6</f>
        <v>121.57</v>
      </c>
      <c r="AD6" s="87">
        <f t="shared" ref="AD6:AD12" si="13">AC6*C6</f>
        <v>5170.24</v>
      </c>
      <c r="AE6" s="86">
        <f>($AE$4-4)*D6</f>
        <v>162</v>
      </c>
      <c r="AF6" s="87">
        <f t="shared" ref="AF6:AF12" si="14">AE6*C6</f>
        <v>5606.28</v>
      </c>
      <c r="AG6" s="86">
        <f>($AG$4-64)*D6</f>
        <v>70.30</v>
      </c>
      <c r="AH6" s="87">
        <f t="shared" ref="AH6:AH13" si="15">AG6*C6</f>
        <v>2990.02</v>
      </c>
      <c r="AI6" s="86">
        <v>32.22</v>
      </c>
      <c r="AJ6" s="87">
        <f t="shared" ref="AJ6:AJ10" si="16">AI6*C6</f>
        <v>1370.42</v>
      </c>
      <c r="AK6" s="86">
        <v>113.51</v>
      </c>
      <c r="AL6" s="87">
        <f t="shared" si="9"/>
        <v>4827.63</v>
      </c>
      <c r="AM6" s="86">
        <f>($AM$4-3.5)*D6</f>
        <v>114.61</v>
      </c>
      <c r="AN6" s="87">
        <f t="shared" si="10"/>
        <v>4874.35</v>
      </c>
      <c r="AO6" s="86">
        <f>($AO$4-8)*D6</f>
        <v>123.03</v>
      </c>
      <c r="AP6" s="91">
        <f t="shared" ref="AP6:AP12" si="17">AO6*C6</f>
        <v>5232.53</v>
      </c>
      <c r="AQ6" s="86">
        <f>($AQ$4-1)*D6</f>
        <v>122.30</v>
      </c>
      <c r="AR6" s="87">
        <f t="shared" si="11"/>
        <v>5201.38</v>
      </c>
      <c r="AS6" s="79">
        <f>($AS$4-8)*D6</f>
        <v>111.31</v>
      </c>
      <c r="AT6" s="87">
        <v>4734.19</v>
      </c>
      <c r="AU6" s="86">
        <f>($AU$4-8)*D6</f>
        <v>111.31</v>
      </c>
      <c r="AV6" s="87">
        <f t="shared" ref="AV6:AV12" si="18">AU6*C6</f>
        <v>4734.19</v>
      </c>
      <c r="AW6" s="86">
        <f>($AW$4-4)*D6</f>
        <v>162</v>
      </c>
      <c r="AX6" s="87">
        <f t="shared" ref="AX6:AX12" si="19">AW6*C6</f>
        <v>5606.28</v>
      </c>
      <c r="AY6" s="330">
        <f>(11*8)*D6</f>
        <v>64.45</v>
      </c>
      <c r="AZ6" s="87">
        <f t="shared" ref="AZ6:AZ12" si="20">AY6*C6</f>
        <v>2740.85</v>
      </c>
      <c r="BA6" s="95">
        <f t="shared" ref="BA6:BA21" si="21">$BA$4*D6</f>
        <v>128.89</v>
      </c>
      <c r="BB6" s="95">
        <f t="shared" ref="BB6:BB22" si="22">BA6*C6</f>
        <v>5481.70</v>
      </c>
      <c r="BC6" s="86">
        <f t="shared" ref="BC6:BC21" si="23">$BC$4*D6</f>
        <v>128.89</v>
      </c>
      <c r="BD6" s="91">
        <f t="shared" ref="BD6:BD22" si="24">BC6*C6</f>
        <v>5481.70</v>
      </c>
      <c r="BE6" s="86">
        <f t="shared" ref="BE6:BE21" si="25">$BE$4*D6</f>
        <v>123.03</v>
      </c>
      <c r="BF6" s="135">
        <f t="shared" ref="BF6:BF22" si="26">BE6*C6</f>
        <v>5232.53</v>
      </c>
      <c r="BG6" s="86">
        <f t="shared" ref="BG6:BG21" si="27">$BG$4*D6</f>
        <v>93.74</v>
      </c>
      <c r="BH6" s="87">
        <f t="shared" ref="BH6:BH22" si="28">BG6*C6</f>
        <v>3986.69</v>
      </c>
      <c r="BI6" s="86">
        <f t="shared" ref="BI6:BI21" si="29">$BI$4*D6</f>
        <v>123.03</v>
      </c>
      <c r="BJ6" s="87">
        <f t="shared" ref="BJ6:BJ22" si="30">BI6*C6</f>
        <v>5232.53</v>
      </c>
      <c r="BK6" s="86">
        <f t="shared" ref="BK6:BK21" si="31">$BK$4*D6</f>
        <v>144</v>
      </c>
      <c r="BL6" s="87">
        <f t="shared" ref="BL6:BL22" si="32">BK6*C6</f>
        <v>4983.36</v>
      </c>
      <c r="BM6" s="86">
        <f t="shared" ref="BM6:BM21" si="33">$BM$4*D6</f>
        <v>134.75</v>
      </c>
      <c r="BN6" s="87">
        <f t="shared" ref="BN6:BN22" si="34">BM6*C6</f>
        <v>5730.86</v>
      </c>
      <c r="BO6" s="79"/>
      <c r="BP6" s="80"/>
      <c r="BQ6" s="79"/>
      <c r="BR6" s="80"/>
      <c r="BS6" s="79"/>
      <c r="BT6" s="80"/>
      <c r="BU6" s="79"/>
      <c r="BV6" s="80"/>
      <c r="BW6" s="79"/>
      <c r="BX6" s="80"/>
    </row>
    <row r="7" spans="2:76" ht="14.15" customHeight="1">
      <c r="B7" s="22" t="s">
        <v>70</v>
      </c>
      <c r="C7" s="3">
        <v>29.14</v>
      </c>
      <c r="D7" s="85">
        <v>0.89</v>
      </c>
      <c r="E7" s="93">
        <f>$D$7*(8*16)</f>
        <v>92.70</v>
      </c>
      <c r="F7" s="94">
        <f>E7*C7</f>
        <v>3319.47</v>
      </c>
      <c r="G7" s="86">
        <f>$D$7*G4</f>
        <v>133.25</v>
      </c>
      <c r="H7" s="87">
        <f>G7*C7</f>
        <v>4771.74</v>
      </c>
      <c r="I7" s="86">
        <f>D7*$I$4-8</f>
        <v>109.36</v>
      </c>
      <c r="J7" s="91">
        <f t="shared" si="12"/>
        <v>3916.23</v>
      </c>
      <c r="K7" s="86">
        <v>81.01</v>
      </c>
      <c r="L7" s="91">
        <v>2558.36</v>
      </c>
      <c r="M7" s="137">
        <f>(22*8)*D7</f>
        <v>127.46</v>
      </c>
      <c r="N7" s="87">
        <f>M7*C7</f>
        <v>4564.27</v>
      </c>
      <c r="O7" s="86">
        <v>115.87</v>
      </c>
      <c r="P7" s="87">
        <v>3614.01</v>
      </c>
      <c r="Q7" s="86">
        <v>125.72</v>
      </c>
      <c r="R7" s="87">
        <v>3921.10</v>
      </c>
      <c r="S7" s="86">
        <v>101.39</v>
      </c>
      <c r="T7" s="87">
        <v>3162.26</v>
      </c>
      <c r="U7" s="86">
        <v>86.90</v>
      </c>
      <c r="V7" s="87">
        <v>2710.51</v>
      </c>
      <c r="W7" s="95">
        <v>115.87</v>
      </c>
      <c r="X7" s="87">
        <v>3614.01</v>
      </c>
      <c r="Y7" s="86">
        <v>133.25</v>
      </c>
      <c r="Z7" s="87">
        <v>4156.11</v>
      </c>
      <c r="AA7" s="86">
        <v>87.55</v>
      </c>
      <c r="AB7" s="87">
        <v>2730.81</v>
      </c>
      <c r="AC7" s="86">
        <f>($AC$4-40)*D7</f>
        <v>98.49</v>
      </c>
      <c r="AD7" s="87">
        <f t="shared" si="13"/>
        <v>3526.94</v>
      </c>
      <c r="AE7" s="86">
        <v>34.74</v>
      </c>
      <c r="AF7" s="87">
        <f t="shared" si="14"/>
        <v>1244.22</v>
      </c>
      <c r="AG7" s="86">
        <f>$AG$4*D7</f>
        <v>115.87</v>
      </c>
      <c r="AH7" s="87">
        <f t="shared" si="15"/>
        <v>4149.34</v>
      </c>
      <c r="AI7" s="86">
        <f>$AI$4*D7</f>
        <v>92.70</v>
      </c>
      <c r="AJ7" s="87">
        <f t="shared" si="16"/>
        <v>3319.47</v>
      </c>
      <c r="AK7" s="86">
        <v>57.94</v>
      </c>
      <c r="AL7" s="87">
        <f t="shared" si="9"/>
        <v>2074.67</v>
      </c>
      <c r="AM7" s="86">
        <f>($AM$4-32)*D7</f>
        <v>92.70</v>
      </c>
      <c r="AN7" s="87">
        <f t="shared" si="10"/>
        <v>3319.47</v>
      </c>
      <c r="AO7" s="86">
        <f>$AO$4*D7</f>
        <v>127.46</v>
      </c>
      <c r="AP7" s="91">
        <f t="shared" si="17"/>
        <v>4564.27</v>
      </c>
      <c r="AQ7" s="86">
        <f>($AQ$4-48)*D7</f>
        <v>86.90</v>
      </c>
      <c r="AR7" s="87">
        <f t="shared" si="11"/>
        <v>3112.00</v>
      </c>
      <c r="AS7" s="86">
        <f>($AS$4-40)*D7</f>
        <v>86.90</v>
      </c>
      <c r="AT7" s="87">
        <v>2827.83</v>
      </c>
      <c r="AU7" s="86">
        <v>115.87</v>
      </c>
      <c r="AV7" s="87">
        <f t="shared" si="18"/>
        <v>4149.34</v>
      </c>
      <c r="AW7" s="86">
        <f>$AW$4*D7</f>
        <v>133.25</v>
      </c>
      <c r="AX7" s="87">
        <f t="shared" si="19"/>
        <v>4771.74</v>
      </c>
      <c r="AY7" s="330">
        <f>(20*8)*D7</f>
        <v>115.87</v>
      </c>
      <c r="AZ7" s="87">
        <f t="shared" si="20"/>
        <v>4149.34</v>
      </c>
      <c r="BA7" s="376">
        <f>($BA$4-32)*D7</f>
        <v>104.28</v>
      </c>
      <c r="BB7" s="95">
        <f t="shared" si="22"/>
        <v>3734.40</v>
      </c>
      <c r="BC7" s="86">
        <f t="shared" si="23"/>
        <v>127.46</v>
      </c>
      <c r="BD7" s="91">
        <f t="shared" si="24"/>
        <v>4564.27</v>
      </c>
      <c r="BE7" s="86">
        <f t="shared" si="25"/>
        <v>121.66</v>
      </c>
      <c r="BF7" s="135">
        <f t="shared" si="26"/>
        <v>4356.80</v>
      </c>
      <c r="BG7" s="86">
        <f t="shared" si="27"/>
        <v>92.70</v>
      </c>
      <c r="BH7" s="87">
        <f t="shared" si="28"/>
        <v>3319.47</v>
      </c>
      <c r="BI7" s="86">
        <f t="shared" si="29"/>
        <v>121.66</v>
      </c>
      <c r="BJ7" s="87">
        <f t="shared" si="30"/>
        <v>4356.80</v>
      </c>
      <c r="BK7" s="86">
        <f t="shared" si="31"/>
        <v>115.87</v>
      </c>
      <c r="BL7" s="87">
        <f t="shared" si="32"/>
        <v>4149.34</v>
      </c>
      <c r="BM7" s="86">
        <f t="shared" si="33"/>
        <v>133.25</v>
      </c>
      <c r="BN7" s="87">
        <f t="shared" si="34"/>
        <v>4771.74</v>
      </c>
      <c r="BO7" s="86"/>
      <c r="BP7" s="80"/>
      <c r="BQ7" s="86"/>
      <c r="BR7" s="80"/>
      <c r="BS7" s="86"/>
      <c r="BT7" s="80"/>
      <c r="BU7" s="86"/>
      <c r="BV7" s="80"/>
      <c r="BW7" s="86"/>
      <c r="BX7" s="80"/>
    </row>
    <row r="8" spans="2:76">
      <c r="B8" s="22" t="s">
        <v>98</v>
      </c>
      <c r="C8" s="3">
        <v>227.98</v>
      </c>
      <c r="D8" s="85"/>
      <c r="E8" s="86">
        <v>8</v>
      </c>
      <c r="F8" s="87">
        <f>E8*C8</f>
        <v>1823.86</v>
      </c>
      <c r="G8" s="86">
        <v>9</v>
      </c>
      <c r="H8" s="87">
        <f>G8*C8</f>
        <v>2051.84</v>
      </c>
      <c r="I8" s="86">
        <v>9</v>
      </c>
      <c r="J8" s="91">
        <f t="shared" si="12"/>
        <v>2051.84</v>
      </c>
      <c r="K8" s="86">
        <v>9</v>
      </c>
      <c r="L8" s="91">
        <v>1772.39</v>
      </c>
      <c r="M8" s="137">
        <v>9</v>
      </c>
      <c r="N8" s="87">
        <f>M8*C8</f>
        <v>2051.84</v>
      </c>
      <c r="O8" s="86">
        <v>9</v>
      </c>
      <c r="P8" s="87">
        <v>1717.09</v>
      </c>
      <c r="Q8" s="86"/>
      <c r="R8" s="87"/>
      <c r="S8" s="86"/>
      <c r="T8" s="87"/>
      <c r="U8" s="86">
        <v>18</v>
      </c>
      <c r="V8" s="87">
        <v>3434.19</v>
      </c>
      <c r="W8" s="95">
        <v>9</v>
      </c>
      <c r="X8" s="87">
        <v>1717.09</v>
      </c>
      <c r="Y8" s="86">
        <v>9</v>
      </c>
      <c r="Z8" s="87">
        <v>1717.09</v>
      </c>
      <c r="AA8" s="86">
        <v>9</v>
      </c>
      <c r="AB8" s="87">
        <v>1717.09</v>
      </c>
      <c r="AC8" s="86">
        <v>9</v>
      </c>
      <c r="AD8" s="87">
        <f t="shared" si="13"/>
        <v>2051.84</v>
      </c>
      <c r="AE8" s="86">
        <v>9</v>
      </c>
      <c r="AF8" s="87">
        <f t="shared" si="14"/>
        <v>2051.84</v>
      </c>
      <c r="AG8" s="86">
        <v>11.80</v>
      </c>
      <c r="AH8" s="87">
        <f>AG8*C8</f>
        <v>3305.75</v>
      </c>
      <c r="AI8" s="86">
        <v>9</v>
      </c>
      <c r="AJ8" s="87">
        <f t="shared" si="16"/>
        <v>2051.84</v>
      </c>
      <c r="AK8" s="86">
        <v>9</v>
      </c>
      <c r="AL8" s="87">
        <f t="shared" si="9"/>
        <v>2051.84</v>
      </c>
      <c r="AM8" s="86">
        <v>9</v>
      </c>
      <c r="AN8" s="87">
        <f t="shared" si="10"/>
        <v>2051.84</v>
      </c>
      <c r="AO8" s="86">
        <v>9</v>
      </c>
      <c r="AP8" s="91">
        <f t="shared" si="17"/>
        <v>2051.84</v>
      </c>
      <c r="AQ8" s="86">
        <v>9</v>
      </c>
      <c r="AR8" s="87">
        <f t="shared" si="11"/>
        <v>2051.84</v>
      </c>
      <c r="AS8" s="79">
        <v>9</v>
      </c>
      <c r="AT8" s="87">
        <v>1704.06</v>
      </c>
      <c r="AU8" s="86">
        <v>9</v>
      </c>
      <c r="AV8" s="87">
        <f t="shared" si="18"/>
        <v>2051.84</v>
      </c>
      <c r="AW8" s="86">
        <v>9</v>
      </c>
      <c r="AX8" s="87">
        <f t="shared" si="19"/>
        <v>2051.84</v>
      </c>
      <c r="AY8" s="79">
        <v>9</v>
      </c>
      <c r="AZ8" s="87">
        <f t="shared" si="20"/>
        <v>2051.84</v>
      </c>
      <c r="BA8" s="95">
        <v>9</v>
      </c>
      <c r="BB8" s="95">
        <f t="shared" si="22"/>
        <v>2051.84</v>
      </c>
      <c r="BC8" s="86">
        <v>9</v>
      </c>
      <c r="BD8" s="91">
        <f t="shared" si="24"/>
        <v>2051.84</v>
      </c>
      <c r="BE8" s="86">
        <v>9</v>
      </c>
      <c r="BF8" s="135">
        <f t="shared" si="26"/>
        <v>2051.84</v>
      </c>
      <c r="BG8" s="86">
        <v>9</v>
      </c>
      <c r="BH8" s="87">
        <f t="shared" si="28"/>
        <v>2051.84</v>
      </c>
      <c r="BI8" s="86">
        <v>9</v>
      </c>
      <c r="BJ8" s="87">
        <f t="shared" si="30"/>
        <v>2051.84</v>
      </c>
      <c r="BK8" s="86">
        <v>9</v>
      </c>
      <c r="BL8" s="87">
        <f t="shared" si="32"/>
        <v>2051.84</v>
      </c>
      <c r="BM8" s="86">
        <v>9</v>
      </c>
      <c r="BN8" s="87">
        <f t="shared" si="34"/>
        <v>2051.84</v>
      </c>
      <c r="BO8" s="79"/>
      <c r="BP8" s="80"/>
      <c r="BQ8" s="79"/>
      <c r="BR8" s="80"/>
      <c r="BS8" s="79"/>
      <c r="BT8" s="80"/>
      <c r="BU8" s="79"/>
      <c r="BV8" s="80"/>
      <c r="BW8" s="79"/>
      <c r="BX8" s="80"/>
    </row>
    <row r="9" spans="2:76">
      <c r="B9" s="22" t="s">
        <v>71</v>
      </c>
      <c r="C9" s="3">
        <v>91.35</v>
      </c>
      <c r="D9" s="85">
        <v>0.7</v>
      </c>
      <c r="E9" s="86">
        <f>($D$9*E4)</f>
        <v>95.69</v>
      </c>
      <c r="F9" s="87">
        <f>(E9*C9)</f>
        <v>10742.29</v>
      </c>
      <c r="G9" s="86">
        <f>($G$4-40)*D9</f>
        <v>82.02</v>
      </c>
      <c r="H9" s="87">
        <f>(G9*C9)</f>
        <v>9207.67</v>
      </c>
      <c r="I9" s="86">
        <f>($D$9*(I4-8))*0.7</f>
        <v>60.60</v>
      </c>
      <c r="J9" s="91">
        <f t="shared" si="12"/>
        <v>6803.45</v>
      </c>
      <c r="K9" s="86">
        <v>51.04</v>
      </c>
      <c r="L9" s="135">
        <v>5890.49</v>
      </c>
      <c r="M9" s="137">
        <v>50.53</v>
      </c>
      <c r="N9" s="87">
        <f>M9*C9</f>
        <v>5672.58</v>
      </c>
      <c r="O9" s="86">
        <v>19.37</v>
      </c>
      <c r="P9" s="87">
        <v>2427.88</v>
      </c>
      <c r="Q9" s="86">
        <v>76.33</v>
      </c>
      <c r="R9" s="87">
        <v>8707.16</v>
      </c>
      <c r="S9" s="86">
        <v>54.68</v>
      </c>
      <c r="T9" s="87">
        <v>6237.97</v>
      </c>
      <c r="U9" s="86">
        <v>60.78</v>
      </c>
      <c r="V9" s="87">
        <v>6934.17</v>
      </c>
      <c r="W9" s="95">
        <v>73.97</v>
      </c>
      <c r="X9" s="87">
        <v>8437.96</v>
      </c>
      <c r="Y9" s="86">
        <v>104.80</v>
      </c>
      <c r="Z9" s="87">
        <v>11956.10</v>
      </c>
      <c r="AA9" s="86">
        <v>0</v>
      </c>
      <c r="AB9" s="87">
        <v>0</v>
      </c>
      <c r="AC9" s="86">
        <v>79.66</v>
      </c>
      <c r="AD9" s="87">
        <f t="shared" si="13"/>
        <v>8942.77</v>
      </c>
      <c r="AE9" s="86">
        <f>((AE4-16)*D9)*0.8</f>
        <v>76.55</v>
      </c>
      <c r="AF9" s="87">
        <f t="shared" si="14"/>
        <v>8593.83</v>
      </c>
      <c r="AG9" s="86">
        <f>($D$9*(AG4-12)*0.8)</f>
        <v>67.44</v>
      </c>
      <c r="AH9" s="87">
        <f t="shared" si="15"/>
        <v>7570.75</v>
      </c>
      <c r="AI9" s="86">
        <v>53.30</v>
      </c>
      <c r="AJ9" s="87">
        <f t="shared" si="16"/>
        <v>5983.16</v>
      </c>
      <c r="AK9" s="86">
        <f>($AK$4*D9)*0.8</f>
        <v>65.62</v>
      </c>
      <c r="AL9" s="87">
        <f t="shared" si="9"/>
        <v>7366.14</v>
      </c>
      <c r="AM9" s="86">
        <f>($AM$4*D9)*0.8</f>
        <v>72.91</v>
      </c>
      <c r="AN9" s="87">
        <f t="shared" si="10"/>
        <v>8184.60</v>
      </c>
      <c r="AO9" s="86">
        <f>((AO4-40)*D9)*0.8</f>
        <v>61.97</v>
      </c>
      <c r="AP9" s="91">
        <f t="shared" si="17"/>
        <v>6956.91</v>
      </c>
      <c r="AQ9" s="86">
        <f>(($AQ$4-8)*D9)*0.8</f>
        <v>72.91</v>
      </c>
      <c r="AR9" s="87">
        <f t="shared" si="11"/>
        <v>8184.60</v>
      </c>
      <c r="AS9" s="86">
        <f>($AS$4*D9)*0.8</f>
        <v>72.91</v>
      </c>
      <c r="AT9" s="87">
        <v>8184.60</v>
      </c>
      <c r="AU9" s="86">
        <v>62.00</v>
      </c>
      <c r="AV9" s="87">
        <f t="shared" si="18"/>
        <v>6960.56</v>
      </c>
      <c r="AW9" s="86">
        <f>($AW$4*D9)*0.8</f>
        <v>83.84</v>
      </c>
      <c r="AX9" s="87">
        <f t="shared" si="19"/>
        <v>9412.29</v>
      </c>
      <c r="AY9" s="234">
        <f>(8*D9)*0.8</f>
        <v>3.65</v>
      </c>
      <c r="AZ9" s="87">
        <f t="shared" si="20"/>
        <v>409.23</v>
      </c>
      <c r="BA9" s="95">
        <f>($BA$4*D9)*0.8</f>
        <v>80.20</v>
      </c>
      <c r="BB9" s="95">
        <f t="shared" si="22"/>
        <v>9003.06</v>
      </c>
      <c r="BC9" s="86">
        <f>($BC$4*D9)*0.8</f>
        <v>80.20</v>
      </c>
      <c r="BD9" s="91">
        <f t="shared" si="24"/>
        <v>9003.06</v>
      </c>
      <c r="BE9" s="86">
        <f>($BE$4*D9)*0.8</f>
        <v>76.55</v>
      </c>
      <c r="BF9" s="135">
        <f t="shared" si="26"/>
        <v>8593.83</v>
      </c>
      <c r="BG9" s="86">
        <f>($BG$4*D9)*0.8</f>
        <v>58.33</v>
      </c>
      <c r="BH9" s="87">
        <f t="shared" si="28"/>
        <v>6547.68</v>
      </c>
      <c r="BI9" s="86">
        <f>($BI$4*D9)*0.8</f>
        <v>76.55</v>
      </c>
      <c r="BJ9" s="87">
        <f t="shared" si="30"/>
        <v>8593.83</v>
      </c>
      <c r="BK9" s="86">
        <f>($BK$4*D9)*0.8</f>
        <v>72.91</v>
      </c>
      <c r="BL9" s="87">
        <f t="shared" si="32"/>
        <v>8184.60</v>
      </c>
      <c r="BM9" s="86">
        <f>($BM$4*D9)*0.8</f>
        <v>83.84</v>
      </c>
      <c r="BN9" s="87">
        <f t="shared" si="34"/>
        <v>9412.29</v>
      </c>
      <c r="BO9" s="79"/>
      <c r="BP9" s="80"/>
      <c r="BQ9" s="79"/>
      <c r="BR9" s="80"/>
      <c r="BS9" s="79"/>
      <c r="BT9" s="80"/>
      <c r="BU9" s="79"/>
      <c r="BV9" s="80"/>
      <c r="BW9" s="79"/>
      <c r="BX9" s="80"/>
    </row>
    <row r="10" spans="2:76" ht="13.5" customHeight="1">
      <c r="B10" s="22" t="s">
        <v>109</v>
      </c>
      <c r="C10" s="3">
        <v>43.50</v>
      </c>
      <c r="D10" s="92">
        <v>0.875</v>
      </c>
      <c r="E10" s="86">
        <f>(E4-40)*D10</f>
        <v>112</v>
      </c>
      <c r="F10" s="87">
        <f>E10*C10</f>
        <v>4872.05</v>
      </c>
      <c r="G10" s="86">
        <f>($G$4-4)*D10</f>
        <v>128.16</v>
      </c>
      <c r="H10" s="87">
        <f>G10*C10</f>
        <v>6851.31</v>
      </c>
      <c r="I10" s="86">
        <f>D10*($I$4-40)</f>
        <v>105</v>
      </c>
      <c r="J10" s="91">
        <f t="shared" si="12"/>
        <v>4567.54</v>
      </c>
      <c r="K10" s="86">
        <v>84.01</v>
      </c>
      <c r="L10" s="91">
        <v>3849.55</v>
      </c>
      <c r="M10" s="137">
        <f>D10*$M$4</f>
        <v>133</v>
      </c>
      <c r="N10" s="87">
        <v>4994</v>
      </c>
      <c r="O10" s="86">
        <v>112.45</v>
      </c>
      <c r="P10" s="87">
        <v>5188.60</v>
      </c>
      <c r="Q10" s="86">
        <v>111.07</v>
      </c>
      <c r="R10" s="87">
        <v>5124.77</v>
      </c>
      <c r="S10" s="86">
        <v>112</v>
      </c>
      <c r="T10" s="87">
        <v>4204.94</v>
      </c>
      <c r="U10" s="86">
        <v>123</v>
      </c>
      <c r="V10" s="87">
        <v>4617.93</v>
      </c>
      <c r="W10" s="95">
        <v>140</v>
      </c>
      <c r="X10" s="87">
        <v>5256.18</v>
      </c>
      <c r="Y10" s="86">
        <v>118.19</v>
      </c>
      <c r="Z10" s="87">
        <v>5453.28</v>
      </c>
      <c r="AA10" s="86">
        <v>48.42</v>
      </c>
      <c r="AB10" s="87">
        <v>2233.88</v>
      </c>
      <c r="AC10" s="86">
        <f>($AC$4*D10)*0.5</f>
        <v>77</v>
      </c>
      <c r="AD10" s="87">
        <f t="shared" si="13"/>
        <v>3349.53</v>
      </c>
      <c r="AE10" s="86">
        <f>($AE$4*D10)*0.5</f>
        <v>65.50</v>
      </c>
      <c r="AF10" s="87">
        <f t="shared" si="14"/>
        <v>3501.78</v>
      </c>
      <c r="AG10" s="86">
        <f>(($AG$4-36)*D10)*0.5</f>
        <v>44.14</v>
      </c>
      <c r="AH10" s="87">
        <f t="shared" si="15"/>
        <v>2359.90</v>
      </c>
      <c r="AI10" s="86">
        <v>44.83</v>
      </c>
      <c r="AJ10" s="87">
        <f t="shared" si="16"/>
        <v>2396.87</v>
      </c>
      <c r="AK10" s="86">
        <f>($AK$4*D10)*0.5</f>
        <v>63</v>
      </c>
      <c r="AL10" s="87">
        <f t="shared" si="9"/>
        <v>2740.53</v>
      </c>
      <c r="AM10" s="86">
        <f>($AM$4*D10)*0.5</f>
        <v>70</v>
      </c>
      <c r="AN10" s="87">
        <f t="shared" si="10"/>
        <v>3045.03</v>
      </c>
      <c r="AO10" s="86">
        <v>75</v>
      </c>
      <c r="AP10" s="91">
        <f t="shared" si="17"/>
        <v>3262.53</v>
      </c>
      <c r="AQ10" s="86">
        <f>(($AQ$4-8)*D10)*0.5</f>
        <v>70</v>
      </c>
      <c r="AR10" s="87">
        <f t="shared" si="11"/>
        <v>3045.03</v>
      </c>
      <c r="AS10" s="86">
        <f>(($AS$4-14)*D10)*0.5</f>
        <v>51.98</v>
      </c>
      <c r="AT10" s="87">
        <v>2546.26</v>
      </c>
      <c r="AU10" s="86">
        <f>($AU$4*D10)*0.5</f>
        <v>70</v>
      </c>
      <c r="AV10" s="87">
        <f t="shared" si="18"/>
        <v>3045.03</v>
      </c>
      <c r="AW10" s="86">
        <f>(($AW$4-2)*D10)*0.5</f>
        <v>64.79</v>
      </c>
      <c r="AX10" s="87">
        <f t="shared" si="19"/>
        <v>3463.72</v>
      </c>
      <c r="AY10" s="330">
        <f>($AY$4*D10)*0.5</f>
        <v>35</v>
      </c>
      <c r="AZ10" s="87">
        <f t="shared" si="20"/>
        <v>1522.51</v>
      </c>
      <c r="BA10" s="95">
        <f>(($BA$4*D10)*0.5)-16</f>
        <v>61</v>
      </c>
      <c r="BB10" s="95">
        <f t="shared" si="22"/>
        <v>2653.52</v>
      </c>
      <c r="BC10" s="86">
        <f>($BC$4*D10)*0.5</f>
        <v>77</v>
      </c>
      <c r="BD10" s="91">
        <f t="shared" si="24"/>
        <v>3349.53</v>
      </c>
      <c r="BE10" s="86">
        <f>($BE$4*D10)*0.5</f>
        <v>59.81</v>
      </c>
      <c r="BF10" s="135">
        <f t="shared" si="26"/>
        <v>3197.28</v>
      </c>
      <c r="BG10" s="86">
        <f>($BG$4*D10)*0.5</f>
        <v>56</v>
      </c>
      <c r="BH10" s="87">
        <f t="shared" si="28"/>
        <v>2436.02</v>
      </c>
      <c r="BI10" s="86">
        <f>($BI$4*D10)*0.5</f>
        <v>59.81</v>
      </c>
      <c r="BJ10" s="87">
        <f t="shared" si="30"/>
        <v>3197.28</v>
      </c>
      <c r="BK10" s="86">
        <f>($BK$4*D10)*0.5</f>
        <v>70</v>
      </c>
      <c r="BL10" s="87">
        <f t="shared" si="32"/>
        <v>3045.03</v>
      </c>
      <c r="BM10" s="86">
        <f>($BM$4*D10)*0.5</f>
        <v>65.50</v>
      </c>
      <c r="BN10" s="87">
        <f t="shared" si="34"/>
        <v>3501.78</v>
      </c>
      <c r="BO10" s="79"/>
      <c r="BP10" s="80"/>
      <c r="BQ10" s="79"/>
      <c r="BR10" s="80"/>
      <c r="BS10" s="79"/>
      <c r="BT10" s="80"/>
      <c r="BU10" s="79"/>
      <c r="BV10" s="80"/>
      <c r="BW10" s="79"/>
      <c r="BX10" s="80"/>
    </row>
    <row r="11" spans="2:76" ht="15" customHeight="1">
      <c r="B11" s="22" t="s">
        <v>143</v>
      </c>
      <c r="C11" s="3">
        <v>33.35</v>
      </c>
      <c r="D11" s="85">
        <v>0.89</v>
      </c>
      <c r="E11" s="86">
        <f>(E4-8-16)*D11</f>
        <v>104.28</v>
      </c>
      <c r="F11" s="87">
        <f>E11*C11</f>
        <v>4273.55</v>
      </c>
      <c r="G11" s="86">
        <f>(G4-2)*D11</f>
        <v>131.80</v>
      </c>
      <c r="H11" s="87">
        <f>G11*C11</f>
        <v>5401.29</v>
      </c>
      <c r="I11" s="86">
        <f>$D$11*(I4-12)</f>
        <v>107.18</v>
      </c>
      <c r="J11" s="91">
        <f t="shared" si="12"/>
        <v>4392.26</v>
      </c>
      <c r="K11" s="86">
        <v>80.39</v>
      </c>
      <c r="L11" s="135">
        <v>2439.94</v>
      </c>
      <c r="M11" s="137">
        <f>D11*($M$4-28)+7.5</f>
        <v>95.90</v>
      </c>
      <c r="N11" s="87">
        <f>M11*C11</f>
        <v>3930.09</v>
      </c>
      <c r="O11" s="86">
        <v>115.87</v>
      </c>
      <c r="P11" s="87">
        <v>3597.79</v>
      </c>
      <c r="Q11" s="86">
        <v>100.25</v>
      </c>
      <c r="R11" s="87">
        <v>3112.70</v>
      </c>
      <c r="S11" s="86">
        <v>98.49</v>
      </c>
      <c r="T11" s="87">
        <v>3058.12</v>
      </c>
      <c r="U11" s="86">
        <v>113.70</v>
      </c>
      <c r="V11" s="87">
        <v>3530.33</v>
      </c>
      <c r="W11" s="95">
        <v>112.97</v>
      </c>
      <c r="X11" s="87">
        <v>3585.80</v>
      </c>
      <c r="Y11" s="86">
        <v>132.47</v>
      </c>
      <c r="Z11" s="87">
        <v>4204.61</v>
      </c>
      <c r="AA11" s="86">
        <v>34.76</v>
      </c>
      <c r="AB11" s="87">
        <v>1103.32</v>
      </c>
      <c r="AC11" s="86">
        <f>(($AC$4-28)*D11)*0.5</f>
        <v>53.59</v>
      </c>
      <c r="AD11" s="87">
        <f t="shared" si="13"/>
        <v>2196.13</v>
      </c>
      <c r="AE11" s="86">
        <f>(($AE$4-16)*D11)*0.3</f>
        <v>36.50</v>
      </c>
      <c r="AF11" s="87">
        <f t="shared" si="14"/>
        <v>1495.74</v>
      </c>
      <c r="AG11" s="86">
        <v>42</v>
      </c>
      <c r="AH11" s="87">
        <f t="shared" si="15"/>
        <v>1400.51</v>
      </c>
      <c r="AI11" s="86">
        <f>(($AI$4-9)*D11)*0.3</f>
        <v>25.85</v>
      </c>
      <c r="AJ11" s="87">
        <v>821.29</v>
      </c>
      <c r="AK11" s="86">
        <v>28.40</v>
      </c>
      <c r="AL11" s="87">
        <f t="shared" si="9"/>
        <v>1163.76</v>
      </c>
      <c r="AM11" s="86">
        <f>(($AM$4-40.5)*D11)*0.35</f>
        <v>30.29</v>
      </c>
      <c r="AN11" s="87">
        <f t="shared" si="10"/>
        <v>1241.26</v>
      </c>
      <c r="AO11" s="86">
        <f>($AO$4*D11)*0.5</f>
        <v>63.73</v>
      </c>
      <c r="AP11" s="91">
        <f t="shared" si="17"/>
        <v>2611.61</v>
      </c>
      <c r="AQ11" s="86">
        <f>(($AQ$4-18.5)*D11)*0.5</f>
        <v>54.13</v>
      </c>
      <c r="AR11" s="87">
        <f t="shared" si="11"/>
        <v>2218.39</v>
      </c>
      <c r="AS11" s="86">
        <f>(($AS$4-14.5)*D11)*0.5</f>
        <v>52.69</v>
      </c>
      <c r="AT11" s="87">
        <v>1829.22</v>
      </c>
      <c r="AU11" s="86">
        <v>53.95</v>
      </c>
      <c r="AV11" s="87">
        <f t="shared" si="18"/>
        <v>2210.80</v>
      </c>
      <c r="AW11" s="86">
        <f>(($AW$4-6)*D11)*0.5</f>
        <v>64.45</v>
      </c>
      <c r="AX11" s="87">
        <f t="shared" si="19"/>
        <v>2641.29</v>
      </c>
      <c r="AY11" s="234">
        <f>((6*8)*D11)*0.5</f>
        <v>17.38</v>
      </c>
      <c r="AZ11" s="87">
        <f t="shared" si="20"/>
        <v>712.26</v>
      </c>
      <c r="BA11" s="95">
        <f t="shared" ref="BA11:BA13" si="35">($BA$4*D11)*0.5</f>
        <v>63.73</v>
      </c>
      <c r="BB11" s="95">
        <f t="shared" si="22"/>
        <v>2611.61</v>
      </c>
      <c r="BC11" s="86">
        <f>($BC$4*D11)*0.5</f>
        <v>63.73</v>
      </c>
      <c r="BD11" s="91">
        <f t="shared" si="24"/>
        <v>2611.61</v>
      </c>
      <c r="BE11" s="86">
        <f>($BE$4*D11)*0.5</f>
        <v>60.83</v>
      </c>
      <c r="BF11" s="135">
        <f t="shared" si="26"/>
        <v>2492.90</v>
      </c>
      <c r="BG11" s="86">
        <f t="shared" ref="BG11:BG13" si="36">($BG$4*D11)*0.5</f>
        <v>46.35</v>
      </c>
      <c r="BH11" s="87">
        <f t="shared" si="28"/>
        <v>1899.36</v>
      </c>
      <c r="BI11" s="86">
        <f t="shared" ref="BI11:BI13" si="37">($BI$4*D11)*0.5</f>
        <v>60.83</v>
      </c>
      <c r="BJ11" s="87">
        <f t="shared" si="30"/>
        <v>2492.90</v>
      </c>
      <c r="BK11" s="86">
        <f t="shared" ref="BK11:BK13" si="38">($BK$4*D11)*0.5</f>
        <v>57.94</v>
      </c>
      <c r="BL11" s="87">
        <f t="shared" si="32"/>
        <v>2374.19</v>
      </c>
      <c r="BM11" s="86">
        <f t="shared" ref="BM11:BM13" si="39">($BM$4*D11)*0.5</f>
        <v>66.63</v>
      </c>
      <c r="BN11" s="87">
        <f t="shared" si="34"/>
        <v>2730.32</v>
      </c>
      <c r="BO11" s="79"/>
      <c r="BP11" s="80"/>
      <c r="BQ11" s="79"/>
      <c r="BR11" s="80"/>
      <c r="BS11" s="79"/>
      <c r="BT11" s="80"/>
      <c r="BU11" s="79"/>
      <c r="BV11" s="80"/>
      <c r="BW11" s="79"/>
      <c r="BX11" s="80"/>
    </row>
    <row r="12" spans="2:76">
      <c r="B12" s="22" t="s">
        <v>142</v>
      </c>
      <c r="C12" s="3">
        <v>33.35</v>
      </c>
      <c r="D12" s="85">
        <v>0.89</v>
      </c>
      <c r="E12" s="86">
        <f>($D$12)*(E4-16)</f>
        <v>110.08</v>
      </c>
      <c r="F12" s="87">
        <f>E12*C12</f>
        <v>4510.97</v>
      </c>
      <c r="G12" s="86">
        <f>($G$4-20)*D12</f>
        <v>118.77</v>
      </c>
      <c r="H12" s="87">
        <f>G12*C12</f>
        <v>4867.10</v>
      </c>
      <c r="I12" s="86">
        <f>$D$12*(I4-13)</f>
        <v>106.46</v>
      </c>
      <c r="J12" s="91">
        <f>I12*$C$12</f>
        <v>4362.58</v>
      </c>
      <c r="K12" s="86">
        <v>81.92</v>
      </c>
      <c r="L12" s="135">
        <v>2486.87</v>
      </c>
      <c r="M12" s="137">
        <f>D12*($M$4)</f>
        <v>110.08</v>
      </c>
      <c r="N12" s="87">
        <v>3415.88</v>
      </c>
      <c r="O12" s="86">
        <v>115.87</v>
      </c>
      <c r="P12" s="87">
        <v>3597.79</v>
      </c>
      <c r="Q12" s="86">
        <v>95.53</v>
      </c>
      <c r="R12" s="87">
        <v>2966.16</v>
      </c>
      <c r="S12" s="86">
        <v>107.90</v>
      </c>
      <c r="T12" s="87">
        <v>3350.44</v>
      </c>
      <c r="U12" s="86">
        <v>113.70</v>
      </c>
      <c r="V12" s="87">
        <v>3530.33</v>
      </c>
      <c r="W12" s="95">
        <v>113.70</v>
      </c>
      <c r="X12" s="87">
        <v>3608.78</v>
      </c>
      <c r="Y12" s="86">
        <v>133.25</v>
      </c>
      <c r="Z12" s="87">
        <v>4229.40</v>
      </c>
      <c r="AA12" s="86">
        <v>34.76</v>
      </c>
      <c r="AB12" s="87">
        <v>1103.32</v>
      </c>
      <c r="AC12" s="86">
        <v>61.52</v>
      </c>
      <c r="AD12" s="87">
        <f t="shared" si="13"/>
        <v>2520.91</v>
      </c>
      <c r="AE12" s="86">
        <f>((AE4-3)*D12)*0.5</f>
        <v>65.54</v>
      </c>
      <c r="AF12" s="87">
        <f t="shared" si="14"/>
        <v>2685.81</v>
      </c>
      <c r="AG12" s="86">
        <f>(($AG$4-6)*D12)*0.5</f>
        <v>55.76</v>
      </c>
      <c r="AH12" s="87">
        <f t="shared" si="15"/>
        <v>2285.16</v>
      </c>
      <c r="AI12" s="86">
        <f>(($AI$4-8)*D12)*0.5</f>
        <v>43.45</v>
      </c>
      <c r="AJ12" s="87">
        <f>AI12*C12</f>
        <v>1780.65</v>
      </c>
      <c r="AK12" s="86">
        <v>28.72</v>
      </c>
      <c r="AL12" s="87">
        <f t="shared" si="9"/>
        <v>1177.09</v>
      </c>
      <c r="AM12" s="86">
        <f>(($AM$4-19)*D12)*0.5</f>
        <v>51.06</v>
      </c>
      <c r="AN12" s="87">
        <f t="shared" si="10"/>
        <v>2092.26</v>
      </c>
      <c r="AO12" s="86">
        <f>(($AO$4-8)*D12)*0.5</f>
        <v>60.83</v>
      </c>
      <c r="AP12" s="91">
        <f t="shared" si="17"/>
        <v>2492.90</v>
      </c>
      <c r="AQ12" s="86">
        <f>(($AQ$4-19)*D12)*0.5</f>
        <v>53.95</v>
      </c>
      <c r="AR12" s="87">
        <f t="shared" si="11"/>
        <v>2210.97</v>
      </c>
      <c r="AS12" s="86">
        <f>(($AS$4-8)*D12)*0.5</f>
        <v>55.04</v>
      </c>
      <c r="AT12" s="87">
        <v>1910.94</v>
      </c>
      <c r="AU12" s="86">
        <f>($AU$4*D12)*0.5</f>
        <v>57.94</v>
      </c>
      <c r="AV12" s="87">
        <f t="shared" si="18"/>
        <v>2374.19</v>
      </c>
      <c r="AW12" s="86">
        <f>(($AW$4-7)*D12)*0.5</f>
        <v>64.09</v>
      </c>
      <c r="AX12" s="87">
        <f t="shared" si="19"/>
        <v>2626.45</v>
      </c>
      <c r="AY12" s="234">
        <f>((6*8)*D12)*0.5</f>
        <v>17.38</v>
      </c>
      <c r="AZ12" s="87">
        <f t="shared" si="20"/>
        <v>712.26</v>
      </c>
      <c r="BA12" s="95">
        <f t="shared" si="35"/>
        <v>63.73</v>
      </c>
      <c r="BB12" s="95">
        <f t="shared" si="22"/>
        <v>2611.61</v>
      </c>
      <c r="BC12" s="86">
        <f>($BC$4*D12)*0.5</f>
        <v>63.73</v>
      </c>
      <c r="BD12" s="91">
        <f t="shared" si="24"/>
        <v>2611.61</v>
      </c>
      <c r="BE12" s="86">
        <f>($BE$4*D12)*0.5</f>
        <v>60.83</v>
      </c>
      <c r="BF12" s="135">
        <f t="shared" si="26"/>
        <v>2492.90</v>
      </c>
      <c r="BG12" s="86">
        <f t="shared" si="36"/>
        <v>46.35</v>
      </c>
      <c r="BH12" s="87">
        <f t="shared" si="28"/>
        <v>1899.36</v>
      </c>
      <c r="BI12" s="86">
        <f t="shared" si="37"/>
        <v>60.83</v>
      </c>
      <c r="BJ12" s="87">
        <f t="shared" si="30"/>
        <v>2492.90</v>
      </c>
      <c r="BK12" s="86">
        <f t="shared" si="38"/>
        <v>57.94</v>
      </c>
      <c r="BL12" s="87">
        <f t="shared" si="32"/>
        <v>2374.19</v>
      </c>
      <c r="BM12" s="86">
        <f t="shared" si="39"/>
        <v>66.63</v>
      </c>
      <c r="BN12" s="87">
        <f t="shared" si="34"/>
        <v>2730.32</v>
      </c>
      <c r="BO12" s="79"/>
      <c r="BP12" s="80"/>
      <c r="BQ12" s="79"/>
      <c r="BR12" s="80"/>
      <c r="BS12" s="79"/>
      <c r="BT12" s="80"/>
      <c r="BU12" s="79"/>
      <c r="BV12" s="80"/>
      <c r="BW12" s="79"/>
      <c r="BX12" s="80"/>
    </row>
    <row r="13" spans="2:76">
      <c r="B13" s="22" t="s">
        <v>177</v>
      </c>
      <c r="C13" s="3">
        <v>33.35</v>
      </c>
      <c r="D13" s="85">
        <v>0.89</v>
      </c>
      <c r="E13" s="95"/>
      <c r="F13" s="87"/>
      <c r="G13" s="95"/>
      <c r="H13" s="87"/>
      <c r="I13" s="86">
        <v>25</v>
      </c>
      <c r="J13" s="91">
        <f>I13*$C$13</f>
        <v>833.64</v>
      </c>
      <c r="K13" s="86">
        <v>33.77</v>
      </c>
      <c r="L13" s="135">
        <v>1380.80</v>
      </c>
      <c r="M13" s="137">
        <f>52-1</f>
        <v>51</v>
      </c>
      <c r="N13" s="87">
        <f>M13*C13</f>
        <v>1700.62</v>
      </c>
      <c r="O13" s="86">
        <v>106.35</v>
      </c>
      <c r="P13" s="87">
        <v>4304.01</v>
      </c>
      <c r="Q13" s="86">
        <v>95.77</v>
      </c>
      <c r="R13" s="87">
        <v>3875.91</v>
      </c>
      <c r="S13" s="86">
        <v>129</v>
      </c>
      <c r="T13" s="87">
        <v>4248.03</v>
      </c>
      <c r="U13" s="86">
        <v>103.56</v>
      </c>
      <c r="V13" s="87">
        <v>4191.06</v>
      </c>
      <c r="W13" s="95">
        <v>84.71</v>
      </c>
      <c r="X13" s="87">
        <v>3428.06</v>
      </c>
      <c r="Y13" s="86">
        <v>123.11</v>
      </c>
      <c r="Z13" s="87">
        <v>3907.60</v>
      </c>
      <c r="AA13" s="86">
        <v>32.63</v>
      </c>
      <c r="AB13" s="87">
        <v>1320.51</v>
      </c>
      <c r="AC13" s="86">
        <v>117.25</v>
      </c>
      <c r="AD13" s="87">
        <f>AC13*C13</f>
        <v>4805.08</v>
      </c>
      <c r="AE13" s="86">
        <v>117.25</v>
      </c>
      <c r="AF13" s="87">
        <f>AE13*C13</f>
        <v>4805.08</v>
      </c>
      <c r="AG13" s="86">
        <f>($AG$4-15)*D13</f>
        <v>105.01</v>
      </c>
      <c r="AH13" s="87">
        <f t="shared" si="15"/>
        <v>4303.23</v>
      </c>
      <c r="AI13" s="86">
        <v>97</v>
      </c>
      <c r="AJ13" s="87">
        <f>AI13*C13</f>
        <v>3234.51</v>
      </c>
      <c r="AK13" s="86">
        <v>87.55</v>
      </c>
      <c r="AL13" s="87">
        <f>AK13*C13</f>
        <v>3587.97</v>
      </c>
      <c r="AM13" s="86">
        <f>($AM$4-20)*D13</f>
        <v>101.39</v>
      </c>
      <c r="AN13" s="87">
        <f>AM13*C13</f>
        <v>4154.84</v>
      </c>
      <c r="AO13" s="86">
        <f>($AO$4-34)*D13</f>
        <v>102.84</v>
      </c>
      <c r="AP13" s="91">
        <f t="shared" ref="AP13:AP17" si="40">AO13*C13</f>
        <v>4214.19</v>
      </c>
      <c r="AQ13" s="86">
        <v>20.59</v>
      </c>
      <c r="AR13" s="87">
        <f t="shared" ref="AR13:AR17" si="41">AQ13*C13</f>
        <v>843.64</v>
      </c>
      <c r="AS13" s="86">
        <f>(($AS$4-43)*D13)*0.5</f>
        <v>42.37</v>
      </c>
      <c r="AT13" s="87">
        <v>1736.13</v>
      </c>
      <c r="AU13" s="86">
        <v>47.44</v>
      </c>
      <c r="AV13" s="87">
        <f t="shared" ref="AV13:AV17" si="42">AU13*C13</f>
        <v>1944.04</v>
      </c>
      <c r="AW13" s="86">
        <f>(($AW$4-7.5)*D13)*0.5</f>
        <v>63.91</v>
      </c>
      <c r="AX13" s="87">
        <f t="shared" ref="AX13:AX17" si="43">AW13*C13</f>
        <v>2619.03</v>
      </c>
      <c r="AY13" s="234">
        <f>((6*8)*D13)*0.5</f>
        <v>17.38</v>
      </c>
      <c r="AZ13" s="87">
        <f t="shared" ref="AZ13:AZ17" si="44">AY13*C13</f>
        <v>712.26</v>
      </c>
      <c r="BA13" s="95">
        <f t="shared" si="35"/>
        <v>63.73</v>
      </c>
      <c r="BB13" s="95">
        <f t="shared" si="22"/>
        <v>2611.61</v>
      </c>
      <c r="BC13" s="86">
        <f>($BC$4*D13)*0.5</f>
        <v>63.73</v>
      </c>
      <c r="BD13" s="91">
        <f t="shared" si="24"/>
        <v>2611.61</v>
      </c>
      <c r="BE13" s="86">
        <f>($BE$4*D13)*0.5</f>
        <v>60.83</v>
      </c>
      <c r="BF13" s="135">
        <f t="shared" si="26"/>
        <v>2492.90</v>
      </c>
      <c r="BG13" s="86">
        <f t="shared" si="36"/>
        <v>46.35</v>
      </c>
      <c r="BH13" s="87">
        <f t="shared" si="28"/>
        <v>1899.36</v>
      </c>
      <c r="BI13" s="86">
        <f t="shared" si="37"/>
        <v>60.83</v>
      </c>
      <c r="BJ13" s="87">
        <f t="shared" si="30"/>
        <v>2492.90</v>
      </c>
      <c r="BK13" s="86">
        <f t="shared" si="38"/>
        <v>57.94</v>
      </c>
      <c r="BL13" s="87">
        <f t="shared" si="32"/>
        <v>2374.19</v>
      </c>
      <c r="BM13" s="86">
        <f t="shared" si="39"/>
        <v>66.63</v>
      </c>
      <c r="BN13" s="87">
        <f t="shared" si="34"/>
        <v>2730.32</v>
      </c>
      <c r="BO13" s="79"/>
      <c r="BP13" s="80"/>
      <c r="BQ13" s="79"/>
      <c r="BR13" s="80"/>
      <c r="BS13" s="79"/>
      <c r="BT13" s="80"/>
      <c r="BU13" s="79"/>
      <c r="BV13" s="80"/>
      <c r="BW13" s="79"/>
      <c r="BX13" s="80"/>
    </row>
    <row r="14" spans="2:76">
      <c r="B14" s="22" t="s">
        <v>256</v>
      </c>
      <c r="C14" s="3">
        <v>29.14</v>
      </c>
      <c r="D14" s="85">
        <v>0.89</v>
      </c>
      <c r="E14" s="95"/>
      <c r="F14" s="87"/>
      <c r="G14" s="95"/>
      <c r="H14" s="87"/>
      <c r="I14" s="95"/>
      <c r="J14" s="91"/>
      <c r="K14" s="95"/>
      <c r="L14" s="135"/>
      <c r="M14" s="137"/>
      <c r="N14" s="87"/>
      <c r="O14" s="95">
        <v>110.09</v>
      </c>
      <c r="P14" s="87">
        <v>3416.20</v>
      </c>
      <c r="Q14" s="86">
        <v>118.72</v>
      </c>
      <c r="R14" s="87">
        <v>3683.85</v>
      </c>
      <c r="S14" s="86">
        <v>96.32</v>
      </c>
      <c r="T14" s="87">
        <v>2988.74</v>
      </c>
      <c r="U14" s="86">
        <v>114.42</v>
      </c>
      <c r="V14" s="87">
        <v>3550.53</v>
      </c>
      <c r="W14" s="95">
        <v>115.87</v>
      </c>
      <c r="X14" s="87">
        <v>4050.85</v>
      </c>
      <c r="Y14" s="86">
        <v>75.32</v>
      </c>
      <c r="Z14" s="87">
        <v>2633.05</v>
      </c>
      <c r="AA14" s="79">
        <v>116.52</v>
      </c>
      <c r="AB14" s="87">
        <v>4073.60</v>
      </c>
      <c r="AC14" s="86">
        <v>118.72</v>
      </c>
      <c r="AD14" s="87">
        <f>AC14*$C$14</f>
        <v>4251.32</v>
      </c>
      <c r="AE14" s="86">
        <v>133.28</v>
      </c>
      <c r="AF14" s="87">
        <f>AE14*$C$14</f>
        <v>4772.90</v>
      </c>
      <c r="AG14" s="86">
        <f>$AG$4*D14</f>
        <v>115.87</v>
      </c>
      <c r="AH14" s="87">
        <f>AG14*$C$14</f>
        <v>4149.34</v>
      </c>
      <c r="AI14" s="86">
        <v>97.73</v>
      </c>
      <c r="AJ14" s="87">
        <f>AI14*$C$14</f>
        <v>3499.55</v>
      </c>
      <c r="AK14" s="86">
        <v>109.28</v>
      </c>
      <c r="AL14" s="87">
        <f>AK14*C14</f>
        <v>3913.31</v>
      </c>
      <c r="AM14" s="86">
        <f>($AM$4-8)*D14</f>
        <v>110.08</v>
      </c>
      <c r="AN14" s="87">
        <f>AM14*C14</f>
        <v>3941.87</v>
      </c>
      <c r="AO14" s="86">
        <f>($AO$4-8)*D14</f>
        <v>121.66</v>
      </c>
      <c r="AP14" s="91">
        <f t="shared" si="40"/>
        <v>4356.80</v>
      </c>
      <c r="AQ14" s="86">
        <f>($AQ$4-8)*D14</f>
        <v>115.87</v>
      </c>
      <c r="AR14" s="87">
        <f t="shared" si="41"/>
        <v>4149.34</v>
      </c>
      <c r="AS14" s="86">
        <f>$AS$4*D14</f>
        <v>115.87</v>
      </c>
      <c r="AT14" s="87">
        <v>4149.34</v>
      </c>
      <c r="AU14" s="86">
        <f>$AU$4*D14</f>
        <v>115.87</v>
      </c>
      <c r="AV14" s="87">
        <f t="shared" si="42"/>
        <v>4149.34</v>
      </c>
      <c r="AW14" s="86">
        <f>($AW$4-17)*D14</f>
        <v>120.94</v>
      </c>
      <c r="AX14" s="87">
        <f t="shared" si="43"/>
        <v>4330.87</v>
      </c>
      <c r="AY14" s="234">
        <v>67.29</v>
      </c>
      <c r="AZ14" s="87">
        <f t="shared" si="44"/>
        <v>2409.76</v>
      </c>
      <c r="BA14" s="95">
        <f t="shared" si="21"/>
        <v>127.46</v>
      </c>
      <c r="BB14" s="95">
        <f t="shared" si="22"/>
        <v>4564.27</v>
      </c>
      <c r="BC14" s="86">
        <f t="shared" si="23"/>
        <v>127.46</v>
      </c>
      <c r="BD14" s="91">
        <f t="shared" si="24"/>
        <v>4564.27</v>
      </c>
      <c r="BE14" s="86">
        <f t="shared" si="25"/>
        <v>121.66</v>
      </c>
      <c r="BF14" s="135">
        <f t="shared" si="26"/>
        <v>4356.80</v>
      </c>
      <c r="BG14" s="86">
        <f t="shared" si="27"/>
        <v>92.70</v>
      </c>
      <c r="BH14" s="87">
        <f t="shared" si="28"/>
        <v>3319.47</v>
      </c>
      <c r="BI14" s="86">
        <f t="shared" si="29"/>
        <v>121.66</v>
      </c>
      <c r="BJ14" s="87">
        <f t="shared" si="30"/>
        <v>4356.80</v>
      </c>
      <c r="BK14" s="86">
        <f t="shared" si="31"/>
        <v>115.87</v>
      </c>
      <c r="BL14" s="87">
        <f t="shared" si="32"/>
        <v>4149.34</v>
      </c>
      <c r="BM14" s="86">
        <f t="shared" si="33"/>
        <v>133.25</v>
      </c>
      <c r="BN14" s="87">
        <f t="shared" si="34"/>
        <v>4771.74</v>
      </c>
      <c r="BO14" s="79"/>
      <c r="BP14" s="80"/>
      <c r="BQ14" s="79"/>
      <c r="BR14" s="80"/>
      <c r="BS14" s="79"/>
      <c r="BT14" s="80"/>
      <c r="BU14" s="79"/>
      <c r="BV14" s="80"/>
      <c r="BW14" s="79"/>
      <c r="BX14" s="80"/>
    </row>
    <row r="15" spans="2:76">
      <c r="B15" s="22" t="s">
        <v>265</v>
      </c>
      <c r="C15" s="3">
        <v>26.48</v>
      </c>
      <c r="D15" s="85">
        <v>0.89</v>
      </c>
      <c r="E15" s="95"/>
      <c r="F15" s="87"/>
      <c r="G15" s="95"/>
      <c r="H15" s="87"/>
      <c r="I15" s="95"/>
      <c r="J15" s="91"/>
      <c r="K15" s="95"/>
      <c r="L15" s="135"/>
      <c r="M15" s="137"/>
      <c r="N15" s="87"/>
      <c r="O15" s="95">
        <v>115.87</v>
      </c>
      <c r="P15" s="87">
        <v>3614.01</v>
      </c>
      <c r="Q15" s="86">
        <v>110.09</v>
      </c>
      <c r="R15" s="87">
        <v>3433.82</v>
      </c>
      <c r="S15" s="86">
        <v>98.49</v>
      </c>
      <c r="T15" s="87">
        <v>3071.91</v>
      </c>
      <c r="U15" s="86">
        <v>92.70</v>
      </c>
      <c r="V15" s="87">
        <v>2891.21</v>
      </c>
      <c r="W15" s="95">
        <v>80.80</v>
      </c>
      <c r="X15" s="87">
        <v>2520.16</v>
      </c>
      <c r="Y15" s="86">
        <v>81.04</v>
      </c>
      <c r="Z15">
        <f>'FCST 8874098591 35%'!J51</f>
        <v>52279.54</v>
      </c>
      <c r="AA15">
        <v>114.89</v>
      </c>
      <c r="AB15" s="87">
        <v>3583.56</v>
      </c>
      <c r="AC15" s="86">
        <f>($AC$4)*D15</f>
        <v>127.46</v>
      </c>
      <c r="AD15" s="87">
        <f>AC15*C15</f>
        <v>4147.48</v>
      </c>
      <c r="AE15" s="86">
        <v>133.20</v>
      </c>
      <c r="AF15" s="87">
        <f>AE15*C15</f>
        <v>4334.42</v>
      </c>
      <c r="AG15" s="86">
        <f>$AG$4*D15</f>
        <v>115.87</v>
      </c>
      <c r="AH15" s="87">
        <f>AG15*C15</f>
        <v>3770.44</v>
      </c>
      <c r="AI15" s="86">
        <f>(14*8)*D15</f>
        <v>81.11</v>
      </c>
      <c r="AJ15" s="87">
        <f t="shared" ref="AJ15:AJ22" si="45">AI15*C15</f>
        <v>2639.31</v>
      </c>
      <c r="AK15" s="86">
        <v>101.31</v>
      </c>
      <c r="AL15" s="87">
        <f t="shared" ref="AL15:AL22" si="46">AK15*C15</f>
        <v>3296.49</v>
      </c>
      <c r="AM15" s="86">
        <v>80.47</v>
      </c>
      <c r="AN15" s="87">
        <f t="shared" ref="AN15:AN22" si="47">AM15*C15</f>
        <v>2618.65</v>
      </c>
      <c r="AO15" s="86">
        <f>$AO$4*D15</f>
        <v>127.46</v>
      </c>
      <c r="AP15" s="91">
        <f t="shared" si="40"/>
        <v>4147.48</v>
      </c>
      <c r="AQ15" s="86">
        <f>(($AQ$4-4)*D15)</f>
        <v>118.77</v>
      </c>
      <c r="AR15" s="87">
        <f t="shared" si="41"/>
        <v>3864.70</v>
      </c>
      <c r="AS15" s="86">
        <f>($AS$4*D15)</f>
        <v>115.87</v>
      </c>
      <c r="AT15" s="87">
        <v>3770.44</v>
      </c>
      <c r="AU15" s="86">
        <v>110.01</v>
      </c>
      <c r="AV15" s="87">
        <f>AU15*C15</f>
        <v>3579.80</v>
      </c>
      <c r="AW15" s="86">
        <f>(($AW$4-80)*D15)</f>
        <v>75.32</v>
      </c>
      <c r="AX15" s="87">
        <f>AW15*C15</f>
        <v>2450.78</v>
      </c>
      <c r="AY15" s="330">
        <f>(20*8)*D15</f>
        <v>115.87</v>
      </c>
      <c r="AZ15" s="87">
        <f>AY15*C15</f>
        <v>3770.44</v>
      </c>
      <c r="BA15" s="95">
        <f t="shared" si="21"/>
        <v>127.46</v>
      </c>
      <c r="BB15" s="95">
        <f t="shared" si="22"/>
        <v>4147.48</v>
      </c>
      <c r="BC15" s="86">
        <f t="shared" si="23"/>
        <v>127.46</v>
      </c>
      <c r="BD15" s="91">
        <f t="shared" si="24"/>
        <v>4147.48</v>
      </c>
      <c r="BE15" s="86">
        <f t="shared" si="25"/>
        <v>121.66</v>
      </c>
      <c r="BF15" s="135">
        <f t="shared" si="26"/>
        <v>3958.96</v>
      </c>
      <c r="BG15" s="86">
        <f t="shared" si="27"/>
        <v>92.70</v>
      </c>
      <c r="BH15" s="87">
        <f t="shared" si="28"/>
        <v>3016.35</v>
      </c>
      <c r="BI15" s="86">
        <f t="shared" si="29"/>
        <v>121.66</v>
      </c>
      <c r="BJ15" s="87">
        <f t="shared" si="30"/>
        <v>3958.96</v>
      </c>
      <c r="BK15" s="86">
        <f t="shared" si="31"/>
        <v>115.87</v>
      </c>
      <c r="BL15" s="87">
        <f t="shared" si="32"/>
        <v>3770.44</v>
      </c>
      <c r="BM15" s="86">
        <f t="shared" si="33"/>
        <v>133.25</v>
      </c>
      <c r="BN15" s="87">
        <f t="shared" si="34"/>
        <v>4336.00</v>
      </c>
      <c r="BO15" s="79"/>
      <c r="BP15" s="80"/>
      <c r="BQ15" s="79"/>
      <c r="BR15" s="80"/>
      <c r="BS15" s="79"/>
      <c r="BT15" s="80"/>
      <c r="BU15" s="79"/>
      <c r="BV15" s="80"/>
      <c r="BW15" s="79"/>
      <c r="BX15" s="80"/>
    </row>
    <row r="16" spans="2:76">
      <c r="B16" s="22" t="s">
        <v>266</v>
      </c>
      <c r="C16" s="3">
        <v>79.64</v>
      </c>
      <c r="D16" s="85">
        <v>0.47</v>
      </c>
      <c r="E16" s="95"/>
      <c r="F16" s="87"/>
      <c r="G16" s="95"/>
      <c r="H16" s="87"/>
      <c r="I16" s="95"/>
      <c r="J16" s="91"/>
      <c r="K16" s="95"/>
      <c r="L16" s="135"/>
      <c r="M16" s="137"/>
      <c r="N16" s="87"/>
      <c r="O16" s="95">
        <v>72</v>
      </c>
      <c r="P16" s="87">
        <v>5080.61</v>
      </c>
      <c r="Q16" s="86">
        <v>72</v>
      </c>
      <c r="R16" s="87">
        <v>5080.61</v>
      </c>
      <c r="S16" s="86">
        <v>51</v>
      </c>
      <c r="T16" s="87">
        <v>3598.77</v>
      </c>
      <c r="U16" s="86">
        <v>72</v>
      </c>
      <c r="V16" s="87">
        <v>5080.61</v>
      </c>
      <c r="W16" s="95">
        <v>72</v>
      </c>
      <c r="X16" s="87">
        <v>5080.61</v>
      </c>
      <c r="Y16" s="86">
        <v>67.37</v>
      </c>
      <c r="Z16" s="87"/>
      <c r="AA16" s="79">
        <v>48</v>
      </c>
      <c r="AB16" s="87">
        <v>3387.08</v>
      </c>
      <c r="AC16" s="86">
        <f>(($AC$4-40)*D16)</f>
        <v>52.01</v>
      </c>
      <c r="AD16" s="87">
        <f>AC16*C16</f>
        <v>5090.39</v>
      </c>
      <c r="AE16" s="86">
        <f>((AE4-8)*D16)*0.47</f>
        <v>31.64</v>
      </c>
      <c r="AF16" s="87">
        <f>AE16*C16</f>
        <v>3096.15</v>
      </c>
      <c r="AG16" s="86">
        <f>($AG$4*D16)*0.47</f>
        <v>28.76</v>
      </c>
      <c r="AH16" s="87">
        <f>AG16*C16</f>
        <v>2814.68</v>
      </c>
      <c r="AI16" s="86">
        <f>35.7+15</f>
        <v>41.25</v>
      </c>
      <c r="AJ16" s="87">
        <f t="shared" si="45"/>
        <v>4037.59</v>
      </c>
      <c r="AK16" s="86">
        <f>($AK$4*D16)*0.47</f>
        <v>25.88</v>
      </c>
      <c r="AL16" s="87">
        <f t="shared" si="46"/>
        <v>2533.22</v>
      </c>
      <c r="AM16" s="86">
        <v>61.19</v>
      </c>
      <c r="AN16" s="87">
        <f t="shared" si="47"/>
        <v>5988.69</v>
      </c>
      <c r="AO16" s="86">
        <f>(($AO$4*D16)-16)*0.47</f>
        <v>25.52</v>
      </c>
      <c r="AP16" s="91">
        <f t="shared" si="40"/>
        <v>2497.28</v>
      </c>
      <c r="AQ16" s="86">
        <f>(($AQ$4-8)*D16)*0.47</f>
        <v>28.76</v>
      </c>
      <c r="AR16" s="87">
        <f t="shared" si="41"/>
        <v>2814.68</v>
      </c>
      <c r="AS16" s="86">
        <f>($AS$4*D16)*0.47</f>
        <v>28.76</v>
      </c>
      <c r="AT16" s="87">
        <v>5988.69</v>
      </c>
      <c r="AU16" s="86">
        <f>($AU$4*D16)*0.47</f>
        <v>28.76</v>
      </c>
      <c r="AV16" s="87">
        <f t="shared" si="42"/>
        <v>2814.68</v>
      </c>
      <c r="AW16" s="86">
        <v>63.88</v>
      </c>
      <c r="AX16" s="87">
        <f t="shared" si="43"/>
        <v>6251.49</v>
      </c>
      <c r="AY16" s="330">
        <v>18.39</v>
      </c>
      <c r="AZ16" s="87">
        <f t="shared" si="44"/>
        <v>1799.79</v>
      </c>
      <c r="BA16" s="95">
        <f t="shared" si="21"/>
        <v>67.31</v>
      </c>
      <c r="BB16" s="95">
        <f t="shared" si="22"/>
        <v>6587.56</v>
      </c>
      <c r="BC16" s="86">
        <f t="shared" si="23"/>
        <v>67.31</v>
      </c>
      <c r="BD16" s="91">
        <f t="shared" si="24"/>
        <v>6587.56</v>
      </c>
      <c r="BE16" s="86">
        <f t="shared" si="25"/>
        <v>64.25</v>
      </c>
      <c r="BF16" s="135">
        <f t="shared" si="26"/>
        <v>6288.12</v>
      </c>
      <c r="BG16" s="86">
        <f t="shared" si="27"/>
        <v>48.95</v>
      </c>
      <c r="BH16" s="87">
        <f t="shared" si="28"/>
        <v>4790.95</v>
      </c>
      <c r="BI16" s="86">
        <f t="shared" si="29"/>
        <v>64.25</v>
      </c>
      <c r="BJ16" s="87">
        <f t="shared" si="30"/>
        <v>6288.12</v>
      </c>
      <c r="BK16" s="86">
        <f t="shared" si="31"/>
        <v>61.19</v>
      </c>
      <c r="BL16" s="87">
        <f t="shared" si="32"/>
        <v>5988.69</v>
      </c>
      <c r="BM16" s="86">
        <f t="shared" si="33"/>
        <v>70.37</v>
      </c>
      <c r="BN16" s="87">
        <f t="shared" si="34"/>
        <v>6886.99</v>
      </c>
      <c r="BO16" s="79"/>
      <c r="BP16" s="80"/>
      <c r="BQ16" s="79"/>
      <c r="BR16" s="80"/>
      <c r="BS16" s="79"/>
      <c r="BT16" s="80"/>
      <c r="BU16" s="79"/>
      <c r="BV16" s="80"/>
      <c r="BW16" s="79"/>
      <c r="BX16" s="80"/>
    </row>
    <row r="17" spans="2:76">
      <c r="B17" s="22" t="s">
        <v>286</v>
      </c>
      <c r="C17" s="3">
        <v>29.14</v>
      </c>
      <c r="D17" s="85">
        <v>0.89</v>
      </c>
      <c r="E17" s="95"/>
      <c r="F17" s="87"/>
      <c r="G17" s="95"/>
      <c r="H17" s="87"/>
      <c r="I17" s="95"/>
      <c r="J17" s="91"/>
      <c r="K17" s="95"/>
      <c r="L17" s="135"/>
      <c r="M17" s="137"/>
      <c r="N17" s="87"/>
      <c r="O17" s="95"/>
      <c r="P17" s="87"/>
      <c r="Q17" s="86">
        <v>4</v>
      </c>
      <c r="R17" s="87">
        <v>113.79</v>
      </c>
      <c r="S17" s="86">
        <v>65</v>
      </c>
      <c r="T17" s="87">
        <v>1849.05</v>
      </c>
      <c r="U17" s="86">
        <v>57.94</v>
      </c>
      <c r="V17" s="87">
        <v>2025.42</v>
      </c>
      <c r="W17" s="95">
        <v>52.14</v>
      </c>
      <c r="X17" s="87">
        <v>1822.88</v>
      </c>
      <c r="Y17" s="86">
        <v>66.63</v>
      </c>
      <c r="Z17" s="87"/>
      <c r="AA17" s="79">
        <v>31.90</v>
      </c>
      <c r="AB17" s="87">
        <v>1115.12</v>
      </c>
      <c r="AC17" s="86">
        <v>63.79</v>
      </c>
      <c r="AD17" s="87">
        <f>AC17*C17</f>
        <v>2284.47</v>
      </c>
      <c r="AE17" s="86">
        <f>($AE$4*D17)*50%</f>
        <v>66.63</v>
      </c>
      <c r="AF17" s="87">
        <f>AE17*C17</f>
        <v>2385.87</v>
      </c>
      <c r="AG17" s="86">
        <f>($AG$4*D17)*50%</f>
        <v>57.94</v>
      </c>
      <c r="AH17" s="87">
        <f>AG17*C17</f>
        <v>2074.67</v>
      </c>
      <c r="AI17" s="86">
        <v>40.52</v>
      </c>
      <c r="AJ17" s="87">
        <f t="shared" si="45"/>
        <v>1451.10</v>
      </c>
      <c r="AK17" s="86">
        <v>47.52</v>
      </c>
      <c r="AL17" s="87">
        <f t="shared" si="46"/>
        <v>1701.69</v>
      </c>
      <c r="AM17" s="86">
        <f>($AM$4*D17)*0.5</f>
        <v>57.94</v>
      </c>
      <c r="AN17" s="87">
        <f t="shared" si="47"/>
        <v>2074.67</v>
      </c>
      <c r="AO17" s="86">
        <f>($AO$4*D17)</f>
        <v>127.46</v>
      </c>
      <c r="AP17" s="91">
        <f t="shared" si="40"/>
        <v>4564.27</v>
      </c>
      <c r="AQ17" s="86">
        <f>(($AQ$4-24)*D17)</f>
        <v>104.28</v>
      </c>
      <c r="AR17" s="87">
        <f t="shared" si="41"/>
        <v>3734.40</v>
      </c>
      <c r="AS17" s="86">
        <f>($AS$4*D17)</f>
        <v>115.87</v>
      </c>
      <c r="AT17" s="87">
        <v>4149.34</v>
      </c>
      <c r="AU17" s="86">
        <v>121</v>
      </c>
      <c r="AV17" s="87">
        <f t="shared" si="42"/>
        <v>3525.77</v>
      </c>
      <c r="AW17" s="86">
        <f>($AW$4-36)*D17</f>
        <v>107.18</v>
      </c>
      <c r="AX17" s="87">
        <f t="shared" si="43"/>
        <v>3838.14</v>
      </c>
      <c r="AY17" s="330">
        <f>($AY$4*D17)</f>
        <v>57.94</v>
      </c>
      <c r="AZ17" s="87">
        <f t="shared" si="44"/>
        <v>2074.67</v>
      </c>
      <c r="BA17" s="95">
        <f t="shared" si="21"/>
        <v>127.46</v>
      </c>
      <c r="BB17" s="95">
        <f t="shared" si="22"/>
        <v>4564.27</v>
      </c>
      <c r="BC17" s="86">
        <f t="shared" si="23"/>
        <v>127.46</v>
      </c>
      <c r="BD17" s="91">
        <f t="shared" si="24"/>
        <v>4564.27</v>
      </c>
      <c r="BE17" s="86">
        <f t="shared" si="25"/>
        <v>121.66</v>
      </c>
      <c r="BF17" s="135">
        <f t="shared" si="26"/>
        <v>4356.80</v>
      </c>
      <c r="BG17" s="86">
        <f t="shared" si="27"/>
        <v>92.70</v>
      </c>
      <c r="BH17" s="87">
        <f t="shared" si="28"/>
        <v>3319.47</v>
      </c>
      <c r="BI17" s="86">
        <f t="shared" si="29"/>
        <v>121.66</v>
      </c>
      <c r="BJ17" s="87">
        <f t="shared" si="30"/>
        <v>4356.80</v>
      </c>
      <c r="BK17" s="86">
        <f t="shared" si="31"/>
        <v>115.87</v>
      </c>
      <c r="BL17" s="87">
        <f t="shared" si="32"/>
        <v>4149.34</v>
      </c>
      <c r="BM17" s="86">
        <f t="shared" si="33"/>
        <v>133.25</v>
      </c>
      <c r="BN17" s="87">
        <f t="shared" si="34"/>
        <v>4771.74</v>
      </c>
      <c r="BO17" s="79"/>
      <c r="BP17" s="80"/>
      <c r="BQ17" s="79"/>
      <c r="BR17" s="80"/>
      <c r="BS17" s="79"/>
      <c r="BT17" s="80"/>
      <c r="BU17" s="79"/>
      <c r="BV17" s="80"/>
      <c r="BW17" s="79"/>
      <c r="BX17" s="80"/>
    </row>
    <row r="18" spans="2:76">
      <c r="B18" s="22" t="s">
        <v>255</v>
      </c>
      <c r="C18" s="3">
        <v>28.25</v>
      </c>
      <c r="D18" s="85">
        <v>0.89</v>
      </c>
      <c r="E18" s="95"/>
      <c r="F18" s="87"/>
      <c r="G18" s="95"/>
      <c r="H18" s="87"/>
      <c r="I18" s="95"/>
      <c r="J18" s="87"/>
      <c r="K18" s="95"/>
      <c r="L18" s="91"/>
      <c r="M18" s="86"/>
      <c r="N18" s="87"/>
      <c r="O18" s="95"/>
      <c r="P18" s="87"/>
      <c r="Q18" s="86"/>
      <c r="R18" s="87">
        <v>959.79</v>
      </c>
      <c r="S18" s="86"/>
      <c r="T18" s="87"/>
      <c r="U18" s="86"/>
      <c r="V18" s="87"/>
      <c r="W18" s="95"/>
      <c r="X18" s="87"/>
      <c r="Y18" s="86"/>
      <c r="Z18" s="87"/>
      <c r="AA18" s="79"/>
      <c r="AB18" s="87"/>
      <c r="AC18" s="86"/>
      <c r="AD18" s="87"/>
      <c r="AE18" s="79">
        <f>40*D18</f>
        <v>28.97</v>
      </c>
      <c r="AF18" s="87">
        <f t="shared" ref="AF18:AF22" si="48">AE18*C18</f>
        <v>1005.76</v>
      </c>
      <c r="AG18" s="86">
        <v>106.68</v>
      </c>
      <c r="AH18" s="87">
        <f t="shared" ref="AH18:AH22" si="49">AG18*C18</f>
        <v>3703.79</v>
      </c>
      <c r="AI18" s="86">
        <v>138</v>
      </c>
      <c r="AJ18" s="87">
        <f t="shared" si="45"/>
        <v>3898.73</v>
      </c>
      <c r="AK18" s="86">
        <v>94.80</v>
      </c>
      <c r="AL18" s="87">
        <f t="shared" si="46"/>
        <v>3291.32</v>
      </c>
      <c r="AM18" s="86">
        <f>($AM$4-20)*D18</f>
        <v>101.39</v>
      </c>
      <c r="AN18" s="87">
        <f t="shared" si="47"/>
        <v>3520.16</v>
      </c>
      <c r="AO18" s="86">
        <f>($AO$4-10)*D18</f>
        <v>120.22</v>
      </c>
      <c r="AP18" s="91">
        <f>AO18*C18</f>
        <v>4173.90</v>
      </c>
      <c r="AQ18" s="86">
        <f>($AQ$4-11)*D18</f>
        <v>113.70</v>
      </c>
      <c r="AR18" s="87">
        <f>AQ18*C18</f>
        <v>3947.61</v>
      </c>
      <c r="AS18" s="86">
        <f>($AS$4-8)*D18</f>
        <v>110.08</v>
      </c>
      <c r="AT18" s="87">
        <v>3305.62</v>
      </c>
      <c r="AU18" s="86">
        <v>114.41</v>
      </c>
      <c r="AV18" s="87">
        <f>AU18*C18</f>
        <v>3972.18</v>
      </c>
      <c r="AW18" s="86">
        <f>($AW$4-11)*D18</f>
        <v>125.29</v>
      </c>
      <c r="AX18" s="87">
        <f>AW18*C18</f>
        <v>4349.91</v>
      </c>
      <c r="AY18" s="234">
        <v>83.97</v>
      </c>
      <c r="AZ18" s="87">
        <f t="shared" ref="AZ18:AZ22" si="50">AY18*C18</f>
        <v>2915.57</v>
      </c>
      <c r="BA18" s="376">
        <f>($BA$4-64)*D18</f>
        <v>81.11</v>
      </c>
      <c r="BB18" s="95">
        <f t="shared" si="22"/>
        <v>2816.13</v>
      </c>
      <c r="BC18" s="86">
        <f t="shared" si="23"/>
        <v>127.46</v>
      </c>
      <c r="BD18" s="91">
        <f t="shared" si="24"/>
        <v>4425.34</v>
      </c>
      <c r="BE18" s="86">
        <f t="shared" si="25"/>
        <v>121.66</v>
      </c>
      <c r="BF18" s="135">
        <f t="shared" si="26"/>
        <v>4224.19</v>
      </c>
      <c r="BG18" s="86">
        <f t="shared" si="27"/>
        <v>92.70</v>
      </c>
      <c r="BH18" s="87">
        <f t="shared" si="28"/>
        <v>3218.43</v>
      </c>
      <c r="BI18" s="86">
        <f t="shared" si="29"/>
        <v>121.66</v>
      </c>
      <c r="BJ18" s="87">
        <f t="shared" si="30"/>
        <v>4224.19</v>
      </c>
      <c r="BK18" s="86">
        <f t="shared" si="31"/>
        <v>115.87</v>
      </c>
      <c r="BL18" s="87">
        <f t="shared" si="32"/>
        <v>4023.04</v>
      </c>
      <c r="BM18" s="86">
        <f t="shared" si="33"/>
        <v>133.25</v>
      </c>
      <c r="BN18" s="87">
        <f t="shared" si="34"/>
        <v>4626.49</v>
      </c>
      <c r="BO18" s="79"/>
      <c r="BP18" s="80"/>
      <c r="BQ18" s="79"/>
      <c r="BR18" s="80"/>
      <c r="BS18" s="79"/>
      <c r="BT18" s="80"/>
      <c r="BU18" s="79"/>
      <c r="BV18" s="80"/>
      <c r="BW18" s="79"/>
      <c r="BX18" s="80"/>
    </row>
    <row r="19" spans="2:76">
      <c r="B19" s="22" t="s">
        <v>291</v>
      </c>
      <c r="C19" s="3">
        <v>79.64</v>
      </c>
      <c r="D19" s="85">
        <v>0.5</v>
      </c>
      <c r="E19" s="95"/>
      <c r="F19" s="87"/>
      <c r="G19" s="95"/>
      <c r="H19" s="87"/>
      <c r="I19" s="95"/>
      <c r="J19" s="87"/>
      <c r="K19" s="95"/>
      <c r="L19" s="91"/>
      <c r="M19" s="86"/>
      <c r="N19" s="87"/>
      <c r="O19" s="95"/>
      <c r="P19" s="87"/>
      <c r="Q19" s="86"/>
      <c r="R19" s="87"/>
      <c r="S19" s="86"/>
      <c r="T19" s="87"/>
      <c r="U19" s="86">
        <v>72</v>
      </c>
      <c r="V19" s="87">
        <v>6102.36</v>
      </c>
      <c r="W19" s="95">
        <v>72</v>
      </c>
      <c r="X19" s="87">
        <v>6102.36</v>
      </c>
      <c r="Y19" s="86">
        <v>52.73</v>
      </c>
      <c r="Z19" s="87">
        <v>5492.12</v>
      </c>
      <c r="AA19" s="79">
        <v>17.58</v>
      </c>
      <c r="AB19" s="87">
        <v>1830.71</v>
      </c>
      <c r="AC19" s="86">
        <f>(AC4-40)*D19</f>
        <v>68</v>
      </c>
      <c r="AD19" s="87">
        <f>AC19*C19</f>
        <v>5415.30</v>
      </c>
      <c r="AE19" s="79">
        <v>62.49</v>
      </c>
      <c r="AF19" s="87">
        <f t="shared" si="48"/>
        <v>6116.11</v>
      </c>
      <c r="AG19" s="86">
        <v>66.40</v>
      </c>
      <c r="AH19" s="87">
        <f>AG19*C19</f>
        <v>6498.36</v>
      </c>
      <c r="AI19" s="86">
        <v>52</v>
      </c>
      <c r="AJ19" s="87">
        <f t="shared" si="45"/>
        <v>4141.11</v>
      </c>
      <c r="AK19" s="86">
        <v>72</v>
      </c>
      <c r="AL19" s="87">
        <f t="shared" si="46"/>
        <v>5733.85</v>
      </c>
      <c r="AM19" s="86">
        <f>$AM$4*D19</f>
        <v>80</v>
      </c>
      <c r="AN19" s="87">
        <f t="shared" si="47"/>
        <v>6370.95</v>
      </c>
      <c r="AO19" s="86">
        <f>($AO$4-10)*D19</f>
        <v>83</v>
      </c>
      <c r="AP19" s="91">
        <f>AO19*C19</f>
        <v>6609.86</v>
      </c>
      <c r="AQ19" s="86">
        <f>($AQ$4-8)*D19</f>
        <v>80</v>
      </c>
      <c r="AR19" s="87">
        <f>AQ19*C19</f>
        <v>6370.95</v>
      </c>
      <c r="AS19" s="79">
        <f>$AS$4*D19</f>
        <v>80</v>
      </c>
      <c r="AT19" s="87">
        <v>6370.95</v>
      </c>
      <c r="AU19" s="86">
        <v>41.91</v>
      </c>
      <c r="AV19" s="87">
        <f>AU19*C19</f>
        <v>4101.30</v>
      </c>
      <c r="AW19" s="86">
        <f>($AW$4-28)*D19</f>
        <v>78</v>
      </c>
      <c r="AX19" s="87">
        <f>AW19*C19</f>
        <v>6211.67</v>
      </c>
      <c r="AY19" s="330">
        <f>$AY$4*D19</f>
        <v>40</v>
      </c>
      <c r="AZ19" s="87">
        <f t="shared" si="50"/>
        <v>3185.47</v>
      </c>
      <c r="BA19" s="95">
        <f t="shared" si="21"/>
        <v>88</v>
      </c>
      <c r="BB19" s="95">
        <f t="shared" si="22"/>
        <v>7008.04</v>
      </c>
      <c r="BC19" s="86">
        <f t="shared" si="23"/>
        <v>88</v>
      </c>
      <c r="BD19" s="91">
        <f t="shared" si="24"/>
        <v>7008.04</v>
      </c>
      <c r="BE19" s="86">
        <f t="shared" si="25"/>
        <v>84</v>
      </c>
      <c r="BF19" s="135">
        <f t="shared" si="26"/>
        <v>6689.49</v>
      </c>
      <c r="BG19" s="86">
        <f t="shared" si="27"/>
        <v>64</v>
      </c>
      <c r="BH19" s="87">
        <f t="shared" si="28"/>
        <v>5096.76</v>
      </c>
      <c r="BI19" s="86">
        <f t="shared" si="29"/>
        <v>84</v>
      </c>
      <c r="BJ19" s="87">
        <f t="shared" si="30"/>
        <v>6689.49</v>
      </c>
      <c r="BK19" s="86">
        <f t="shared" si="31"/>
        <v>80</v>
      </c>
      <c r="BL19" s="87">
        <f t="shared" si="32"/>
        <v>6370.95</v>
      </c>
      <c r="BM19" s="86">
        <f t="shared" si="33"/>
        <v>92</v>
      </c>
      <c r="BN19" s="87">
        <f t="shared" si="34"/>
        <v>7326.59</v>
      </c>
      <c r="BO19" s="79"/>
      <c r="BP19" s="80"/>
      <c r="BQ19" s="79"/>
      <c r="BR19" s="80"/>
      <c r="BS19" s="79"/>
      <c r="BT19" s="80"/>
      <c r="BU19" s="79"/>
      <c r="BV19" s="80"/>
      <c r="BW19" s="79"/>
      <c r="BX19" s="80"/>
    </row>
    <row r="20" spans="2:76">
      <c r="B20" s="22" t="s">
        <v>292</v>
      </c>
      <c r="C20" s="3">
        <v>25.58</v>
      </c>
      <c r="D20" s="85">
        <v>0.95</v>
      </c>
      <c r="E20" s="95"/>
      <c r="F20" s="87"/>
      <c r="G20" s="95"/>
      <c r="H20" s="87"/>
      <c r="I20" s="95"/>
      <c r="J20" s="87"/>
      <c r="K20" s="95"/>
      <c r="L20" s="91"/>
      <c r="M20" s="86"/>
      <c r="N20" s="87"/>
      <c r="O20" s="95"/>
      <c r="P20" s="87"/>
      <c r="Q20" s="86"/>
      <c r="R20" s="87"/>
      <c r="S20" s="86"/>
      <c r="T20" s="87"/>
      <c r="U20" s="86">
        <v>152</v>
      </c>
      <c r="V20" s="87">
        <v>3919.50</v>
      </c>
      <c r="W20" s="95">
        <v>80.39</v>
      </c>
      <c r="X20" s="87">
        <v>2547.67</v>
      </c>
      <c r="Y20" s="123">
        <v>133.77</v>
      </c>
      <c r="Z20" s="138">
        <v>4239.24</v>
      </c>
      <c r="AA20" s="79">
        <v>98.95</v>
      </c>
      <c r="AB20" s="87">
        <v>3135.60</v>
      </c>
      <c r="AC20" s="86">
        <f>($AC$4-12)*D20</f>
        <v>126.77</v>
      </c>
      <c r="AD20" s="87">
        <f>AC20*C20</f>
        <v>3985.79</v>
      </c>
      <c r="AE20" s="79">
        <f>($AE$4-10)*D20</f>
        <v>134.50</v>
      </c>
      <c r="AF20" s="87">
        <f t="shared" si="48"/>
        <v>4228.82</v>
      </c>
      <c r="AG20" s="86">
        <f>($AG$4-14)*D20</f>
        <v>112.86</v>
      </c>
      <c r="AH20" s="87">
        <f t="shared" si="49"/>
        <v>3548.32</v>
      </c>
      <c r="AI20" s="86">
        <f>($AI$4-4)*D20</f>
        <v>95.85</v>
      </c>
      <c r="AJ20" s="87">
        <f t="shared" si="45"/>
        <v>3013.65</v>
      </c>
      <c r="AK20" s="86">
        <f>($AK$4-2)*D20</f>
        <v>109.77</v>
      </c>
      <c r="AL20" s="87">
        <f t="shared" si="46"/>
        <v>3451.11</v>
      </c>
      <c r="AM20" s="86">
        <f>($AM$4-16)*D20</f>
        <v>111.31</v>
      </c>
      <c r="AN20" s="87">
        <f t="shared" si="47"/>
        <v>3499.72</v>
      </c>
      <c r="AO20" s="86">
        <f>($AO$4-4)*D20</f>
        <v>132.96</v>
      </c>
      <c r="AP20" s="91">
        <f>AO20*C20</f>
        <v>4180.22</v>
      </c>
      <c r="AQ20" s="86">
        <f>($AQ$4-2)*D20</f>
        <v>128.32</v>
      </c>
      <c r="AR20" s="87">
        <f>AQ20*C20</f>
        <v>4034.40</v>
      </c>
      <c r="AS20" s="79">
        <f>$AS$4*D20</f>
        <v>152</v>
      </c>
      <c r="AT20" s="87">
        <v>3883.63</v>
      </c>
      <c r="AU20" s="86">
        <v>98.95</v>
      </c>
      <c r="AV20" s="87">
        <f>AU20*C20</f>
        <v>3110.86</v>
      </c>
      <c r="AW20" s="86">
        <f>($AW$4-10.5)*D20</f>
        <v>134.12</v>
      </c>
      <c r="AX20" s="87">
        <f>AW20*C20</f>
        <v>4216.67</v>
      </c>
      <c r="AY20" s="330">
        <v>49.47</v>
      </c>
      <c r="AZ20" s="87">
        <f t="shared" si="50"/>
        <v>1555.43</v>
      </c>
      <c r="BA20" s="95">
        <f t="shared" si="21"/>
        <v>136.05</v>
      </c>
      <c r="BB20" s="95">
        <f t="shared" si="22"/>
        <v>4277.43</v>
      </c>
      <c r="BC20" s="86">
        <f t="shared" si="23"/>
        <v>136.05</v>
      </c>
      <c r="BD20" s="91">
        <f t="shared" si="24"/>
        <v>4277.43</v>
      </c>
      <c r="BE20" s="86">
        <f t="shared" si="25"/>
        <v>129.87</v>
      </c>
      <c r="BF20" s="135">
        <f t="shared" si="26"/>
        <v>4083.00</v>
      </c>
      <c r="BG20" s="86">
        <f t="shared" si="27"/>
        <v>98.95</v>
      </c>
      <c r="BH20" s="87">
        <f t="shared" si="28"/>
        <v>3110.86</v>
      </c>
      <c r="BI20" s="86">
        <f t="shared" si="29"/>
        <v>129.87</v>
      </c>
      <c r="BJ20" s="87">
        <f t="shared" si="30"/>
        <v>4083.00</v>
      </c>
      <c r="BK20" s="86">
        <f t="shared" si="31"/>
        <v>152</v>
      </c>
      <c r="BL20" s="87">
        <f t="shared" si="32"/>
        <v>3888.57</v>
      </c>
      <c r="BM20" s="86">
        <f t="shared" si="33"/>
        <v>142.23</v>
      </c>
      <c r="BN20" s="87">
        <f t="shared" si="34"/>
        <v>4471.86</v>
      </c>
      <c r="BO20" s="79"/>
      <c r="BP20" s="80"/>
      <c r="BQ20" s="79"/>
      <c r="BR20" s="80"/>
      <c r="BS20" s="79"/>
      <c r="BT20" s="80"/>
      <c r="BU20" s="79"/>
      <c r="BV20" s="80"/>
      <c r="BW20" s="79"/>
      <c r="BX20" s="80"/>
    </row>
    <row r="21" spans="2:76" ht="16" customHeight="1">
      <c r="B21" s="22" t="s">
        <v>394</v>
      </c>
      <c r="C21" s="3">
        <v>29.14</v>
      </c>
      <c r="D21" s="85">
        <v>0.89</v>
      </c>
      <c r="E21" s="95"/>
      <c r="F21" s="87"/>
      <c r="G21" s="95"/>
      <c r="H21" s="87"/>
      <c r="I21" s="95"/>
      <c r="J21" s="87"/>
      <c r="K21" s="95"/>
      <c r="L21" s="91"/>
      <c r="M21" s="86"/>
      <c r="N21" s="87"/>
      <c r="O21" s="95"/>
      <c r="P21" s="87"/>
      <c r="Q21" s="86"/>
      <c r="R21" s="87"/>
      <c r="S21" s="86"/>
      <c r="T21" s="87"/>
      <c r="U21" s="86"/>
      <c r="V21" s="95"/>
      <c r="W21" s="95"/>
      <c r="X21" s="95"/>
      <c r="Y21" s="86"/>
      <c r="Z21" s="95"/>
      <c r="AA21" s="95"/>
      <c r="AB21" s="95"/>
      <c r="AC21" s="86"/>
      <c r="AD21" s="87"/>
      <c r="AE21" s="86">
        <v>32</v>
      </c>
      <c r="AF21" s="87">
        <f t="shared" si="48"/>
        <v>932.44</v>
      </c>
      <c r="AG21" s="86">
        <f>(AG4*D21)*0.5</f>
        <v>57.94</v>
      </c>
      <c r="AH21" s="87">
        <f>AG21*C21</f>
        <v>2074.67</v>
      </c>
      <c r="AI21" s="86">
        <v>57</v>
      </c>
      <c r="AJ21" s="87">
        <f t="shared" si="45"/>
        <v>1660.90</v>
      </c>
      <c r="AK21" s="86">
        <v>43.45</v>
      </c>
      <c r="AL21" s="87">
        <f t="shared" si="46"/>
        <v>1556.00</v>
      </c>
      <c r="AM21" s="86">
        <f>($AM$4*D21)*0.5</f>
        <v>57.94</v>
      </c>
      <c r="AN21" s="87">
        <f t="shared" si="47"/>
        <v>2074.67</v>
      </c>
      <c r="AO21" s="86">
        <v>92.71</v>
      </c>
      <c r="AP21" s="91">
        <f t="shared" ref="AP21:AP22" si="51">AO21*C21</f>
        <v>3320.05</v>
      </c>
      <c r="AQ21" s="86">
        <f>(($AQ$4-4)*D21)</f>
        <v>118.77</v>
      </c>
      <c r="AR21" s="87">
        <f t="shared" ref="AR21:AR22" si="52">AQ21*C21</f>
        <v>4253.07</v>
      </c>
      <c r="AS21" s="86">
        <f>($AS$4*D21)</f>
        <v>115.87</v>
      </c>
      <c r="AT21" s="87">
        <v>4149.34</v>
      </c>
      <c r="AU21" s="86">
        <f>($AU$4-8)*D21</f>
        <v>110.08</v>
      </c>
      <c r="AV21" s="87">
        <f t="shared" ref="AV21:AV22" si="53">AU21*C21</f>
        <v>3941.87</v>
      </c>
      <c r="AW21" s="86">
        <f>($AW$4*D21)</f>
        <v>133.25</v>
      </c>
      <c r="AX21" s="87">
        <f>AW21*C21</f>
        <v>4771.74</v>
      </c>
      <c r="AY21" s="330">
        <f>($AY$4*D21)</f>
        <v>57.94</v>
      </c>
      <c r="AZ21" s="87">
        <f t="shared" si="50"/>
        <v>2074.67</v>
      </c>
      <c r="BA21" s="95">
        <f t="shared" si="21"/>
        <v>127.46</v>
      </c>
      <c r="BB21" s="95">
        <f t="shared" si="22"/>
        <v>4564.27</v>
      </c>
      <c r="BC21" s="86">
        <f t="shared" si="23"/>
        <v>127.46</v>
      </c>
      <c r="BD21" s="91">
        <f t="shared" si="24"/>
        <v>4564.27</v>
      </c>
      <c r="BE21" s="86">
        <f t="shared" si="25"/>
        <v>121.66</v>
      </c>
      <c r="BF21" s="135">
        <f t="shared" si="26"/>
        <v>4356.80</v>
      </c>
      <c r="BG21" s="86">
        <f t="shared" si="27"/>
        <v>92.70</v>
      </c>
      <c r="BH21" s="87">
        <f t="shared" si="28"/>
        <v>3319.47</v>
      </c>
      <c r="BI21" s="86">
        <f t="shared" si="29"/>
        <v>121.66</v>
      </c>
      <c r="BJ21" s="87">
        <f t="shared" si="30"/>
        <v>4356.80</v>
      </c>
      <c r="BK21" s="86">
        <f t="shared" si="31"/>
        <v>115.87</v>
      </c>
      <c r="BL21" s="87">
        <f t="shared" si="32"/>
        <v>4149.34</v>
      </c>
      <c r="BM21" s="86">
        <f t="shared" si="33"/>
        <v>133.25</v>
      </c>
      <c r="BN21" s="87">
        <f t="shared" si="34"/>
        <v>4771.74</v>
      </c>
      <c r="BO21" s="79"/>
      <c r="BP21" s="80"/>
      <c r="BQ21" s="79"/>
      <c r="BR21" s="80"/>
      <c r="BS21" s="79"/>
      <c r="BT21" s="80"/>
      <c r="BU21" s="79"/>
      <c r="BV21" s="80"/>
      <c r="BW21" s="79"/>
      <c r="BX21" s="80"/>
    </row>
    <row r="22" spans="2:76">
      <c r="B22" s="22" t="s">
        <v>412</v>
      </c>
      <c r="C22" s="3">
        <v>28.25</v>
      </c>
      <c r="D22" s="85">
        <v>0.89</v>
      </c>
      <c r="E22" s="95"/>
      <c r="F22" s="87"/>
      <c r="G22" s="95"/>
      <c r="H22" s="87"/>
      <c r="I22" s="95"/>
      <c r="J22" s="87"/>
      <c r="K22" s="95"/>
      <c r="L22" s="91"/>
      <c r="M22" s="86"/>
      <c r="N22" s="87"/>
      <c r="O22" s="95"/>
      <c r="P22" s="87"/>
      <c r="Q22" s="86"/>
      <c r="R22" s="87"/>
      <c r="S22" s="86"/>
      <c r="T22" s="87"/>
      <c r="U22" s="86"/>
      <c r="V22" s="95"/>
      <c r="W22" s="95"/>
      <c r="X22" s="95"/>
      <c r="Y22" s="86"/>
      <c r="Z22" s="95"/>
      <c r="AA22" s="95"/>
      <c r="AB22" s="95"/>
      <c r="AC22" s="86"/>
      <c r="AD22" s="87"/>
      <c r="AE22" s="95">
        <v>57.94</v>
      </c>
      <c r="AF22" s="87">
        <f t="shared" si="48"/>
        <v>2011.52</v>
      </c>
      <c r="AG22" s="86">
        <f>(AG4*D22)*0.25</f>
        <v>28.97</v>
      </c>
      <c r="AH22" s="87">
        <f t="shared" si="49"/>
        <v>1005.76</v>
      </c>
      <c r="AI22" s="86">
        <v>28.97</v>
      </c>
      <c r="AJ22" s="87">
        <f t="shared" si="45"/>
        <v>1005.76</v>
      </c>
      <c r="AK22" s="86">
        <v>28.32</v>
      </c>
      <c r="AL22" s="87">
        <f t="shared" si="46"/>
        <v>983.16</v>
      </c>
      <c r="AM22" s="86">
        <f>($AM$4*D22)*0.25</f>
        <v>28.97</v>
      </c>
      <c r="AN22" s="87">
        <f t="shared" si="47"/>
        <v>1005.76</v>
      </c>
      <c r="AO22" s="86">
        <f>($AO$4*D22)*0.25</f>
        <v>31.86</v>
      </c>
      <c r="AP22" s="91">
        <f t="shared" si="51"/>
        <v>1106.34</v>
      </c>
      <c r="AQ22" s="86">
        <v>30.43</v>
      </c>
      <c r="AR22" s="87">
        <f t="shared" si="52"/>
        <v>1056.61</v>
      </c>
      <c r="AS22" s="86">
        <f>($AS$4*D22)*0.25</f>
        <v>28.97</v>
      </c>
      <c r="AT22" s="87">
        <v>869.90</v>
      </c>
      <c r="AU22" s="86">
        <f>($AU$4*D22)*0.25</f>
        <v>28.97</v>
      </c>
      <c r="AV22" s="87">
        <f t="shared" si="53"/>
        <v>1005.76</v>
      </c>
      <c r="AW22" s="86">
        <f>($AW$4*D22)*0.25</f>
        <v>33.31</v>
      </c>
      <c r="AX22" s="87">
        <f>AW22*C22</f>
        <v>1156.62</v>
      </c>
      <c r="AY22" s="330">
        <v>23.19</v>
      </c>
      <c r="AZ22" s="87">
        <f t="shared" si="50"/>
        <v>805.17</v>
      </c>
      <c r="BA22" s="95">
        <f>($BA$4*D22)*0.25</f>
        <v>31.86</v>
      </c>
      <c r="BB22" s="95">
        <f t="shared" si="22"/>
        <v>1106.34</v>
      </c>
      <c r="BC22" s="86">
        <f>($BC$4*D22)*0.25</f>
        <v>31.86</v>
      </c>
      <c r="BD22" s="91">
        <f t="shared" si="24"/>
        <v>1106.34</v>
      </c>
      <c r="BE22" s="86">
        <f>($BE$4*D22)*0.25</f>
        <v>30.42</v>
      </c>
      <c r="BF22" s="135">
        <f t="shared" si="26"/>
        <v>1056.05</v>
      </c>
      <c r="BG22" s="86">
        <f>($BG$4*D22)*0.25</f>
        <v>23.17</v>
      </c>
      <c r="BH22" s="87">
        <f t="shared" si="28"/>
        <v>804.61</v>
      </c>
      <c r="BI22" s="86">
        <f>($BI$4*D22)*0.25</f>
        <v>30.42</v>
      </c>
      <c r="BJ22" s="87">
        <f t="shared" si="30"/>
        <v>1056.05</v>
      </c>
      <c r="BK22" s="86">
        <f>($BK$4*D22)*0.25</f>
        <v>28.97</v>
      </c>
      <c r="BL22" s="87">
        <f t="shared" si="32"/>
        <v>1005.76</v>
      </c>
      <c r="BM22" s="86">
        <f>($BM$4*D22)*0.25</f>
        <v>33.31</v>
      </c>
      <c r="BN22" s="87">
        <f t="shared" si="34"/>
        <v>1156.62</v>
      </c>
      <c r="BO22" s="79"/>
      <c r="BP22" s="80"/>
      <c r="BQ22" s="79"/>
      <c r="BR22" s="80"/>
      <c r="BS22" s="79"/>
      <c r="BT22" s="80"/>
      <c r="BU22" s="79"/>
      <c r="BV22" s="80"/>
      <c r="BW22" s="79"/>
      <c r="BX22" s="80"/>
    </row>
    <row r="23" spans="2:76" ht="13.5" customHeight="1">
      <c r="B23" s="22" t="s">
        <v>648</v>
      </c>
      <c r="C23" s="250">
        <v>33.81</v>
      </c>
      <c r="D23" s="85"/>
      <c r="E23" s="95"/>
      <c r="F23" s="87"/>
      <c r="G23" s="95"/>
      <c r="H23" s="87"/>
      <c r="I23" s="95"/>
      <c r="J23" s="87"/>
      <c r="K23" s="95"/>
      <c r="L23" s="91"/>
      <c r="M23" s="95"/>
      <c r="N23" s="87"/>
      <c r="O23" s="95"/>
      <c r="P23" s="87"/>
      <c r="Q23" s="95"/>
      <c r="R23" s="87"/>
      <c r="S23" s="95"/>
      <c r="T23" s="87"/>
      <c r="U23" s="86"/>
      <c r="V23" s="95"/>
      <c r="W23" s="95"/>
      <c r="X23" s="95"/>
      <c r="Y23" s="86"/>
      <c r="Z23" s="95"/>
      <c r="AA23" s="95"/>
      <c r="AB23" s="95"/>
      <c r="AC23" s="86"/>
      <c r="AD23" s="87"/>
      <c r="AE23" s="95"/>
      <c r="AF23" s="87"/>
      <c r="AG23" s="95"/>
      <c r="AH23" s="87"/>
      <c r="AI23" s="95"/>
      <c r="AJ23" s="87"/>
      <c r="AK23" s="95"/>
      <c r="AL23" s="87"/>
      <c r="AM23" s="95"/>
      <c r="AN23" s="95"/>
      <c r="AO23" s="86"/>
      <c r="AP23" s="135"/>
      <c r="AQ23" s="86"/>
      <c r="AR23" s="95"/>
      <c r="AS23" s="86"/>
      <c r="AT23" s="95"/>
      <c r="AU23" s="86"/>
      <c r="AV23" s="95"/>
      <c r="AW23" s="95"/>
      <c r="AX23" s="416">
        <v>3255</v>
      </c>
      <c r="AZ23" s="416">
        <v>1627</v>
      </c>
      <c r="BA23" s="95"/>
      <c r="BB23" s="95">
        <v>3255</v>
      </c>
      <c r="BC23" s="79"/>
      <c r="BD23" s="80"/>
      <c r="BE23" s="86"/>
      <c r="BG23" s="79"/>
      <c r="BH23" s="80"/>
      <c r="BI23" s="79"/>
      <c r="BJ23" s="80"/>
      <c r="BK23" s="79"/>
      <c r="BL23" s="80"/>
      <c r="BM23" s="79"/>
      <c r="BN23" s="80"/>
      <c r="BO23" s="79"/>
      <c r="BP23" s="80"/>
      <c r="BQ23" s="79"/>
      <c r="BR23" s="80"/>
      <c r="BS23" s="79"/>
      <c r="BT23" s="80"/>
      <c r="BU23" s="79"/>
      <c r="BV23" s="80"/>
      <c r="BW23" s="79"/>
      <c r="BX23" s="80"/>
    </row>
    <row r="24" spans="2:76">
      <c r="B24" s="22" t="s">
        <v>432</v>
      </c>
      <c r="C24" s="261">
        <f>SUM(AL24:AZ24)</f>
        <v>133447</v>
      </c>
      <c r="D24" s="85"/>
      <c r="E24" s="95"/>
      <c r="F24" s="87"/>
      <c r="G24" s="95"/>
      <c r="H24" s="87"/>
      <c r="I24" s="95"/>
      <c r="J24" s="87"/>
      <c r="K24" s="95"/>
      <c r="L24" s="91"/>
      <c r="M24" s="95"/>
      <c r="N24" s="87"/>
      <c r="O24" s="95"/>
      <c r="P24" s="87"/>
      <c r="Q24" s="95"/>
      <c r="R24" s="87"/>
      <c r="S24" s="95"/>
      <c r="T24" s="87"/>
      <c r="U24" s="86"/>
      <c r="V24" s="80"/>
      <c r="Y24" s="86"/>
      <c r="AC24" s="86"/>
      <c r="AD24" s="197"/>
      <c r="AE24" s="197"/>
      <c r="AF24" s="197"/>
      <c r="AG24" s="228"/>
      <c r="AH24" s="87"/>
      <c r="AI24" s="87"/>
      <c r="AJ24" s="87"/>
      <c r="AK24" s="87"/>
      <c r="AL24" s="87"/>
      <c r="AO24" s="86"/>
      <c r="AP24" s="135">
        <v>78115</v>
      </c>
      <c r="AQ24" s="86"/>
      <c r="AR24">
        <v>26852</v>
      </c>
      <c r="AS24" s="79"/>
      <c r="AU24" s="86"/>
      <c r="AW24" s="95"/>
      <c r="AX24" s="417">
        <v>28480</v>
      </c>
      <c r="AZ24" s="87"/>
      <c r="BA24" s="95"/>
      <c r="BB24" s="95"/>
      <c r="BC24" s="79"/>
      <c r="BD24" s="80"/>
      <c r="BE24" s="86"/>
      <c r="BG24" s="79"/>
      <c r="BH24" s="80"/>
      <c r="BI24" s="79"/>
      <c r="BJ24" s="80"/>
      <c r="BK24" s="79"/>
      <c r="BL24" s="80"/>
      <c r="BM24" s="79"/>
      <c r="BN24" s="80"/>
      <c r="BO24" s="79"/>
      <c r="BP24" s="80"/>
      <c r="BQ24" s="79"/>
      <c r="BR24" s="80"/>
      <c r="BS24" s="79"/>
      <c r="BT24" s="80"/>
      <c r="BU24" s="79"/>
      <c r="BV24" s="80"/>
      <c r="BW24" s="79"/>
      <c r="BX24" s="80"/>
    </row>
    <row r="25" spans="2:76" hidden="1">
      <c r="B25" s="22" t="s">
        <v>613</v>
      </c>
      <c r="C25" s="261">
        <f>SUM(AL25:AZ25)</f>
        <v>23435</v>
      </c>
      <c r="D25" s="85"/>
      <c r="E25" s="95"/>
      <c r="F25" s="87"/>
      <c r="G25" s="95"/>
      <c r="H25" s="87"/>
      <c r="I25" s="95"/>
      <c r="J25" s="87"/>
      <c r="K25" s="95"/>
      <c r="L25" s="91"/>
      <c r="M25" s="95"/>
      <c r="N25" s="87"/>
      <c r="O25" s="95"/>
      <c r="P25" s="87"/>
      <c r="Q25" s="95"/>
      <c r="R25" s="87"/>
      <c r="S25" s="95"/>
      <c r="T25" s="87"/>
      <c r="U25" s="86"/>
      <c r="V25" s="80"/>
      <c r="Y25" s="86"/>
      <c r="AC25" s="86"/>
      <c r="AD25" s="197"/>
      <c r="AE25" s="197"/>
      <c r="AF25" s="197"/>
      <c r="AG25" s="228"/>
      <c r="AH25" s="87"/>
      <c r="AI25" s="87"/>
      <c r="AJ25" s="87"/>
      <c r="AK25" s="87"/>
      <c r="AL25" s="87"/>
      <c r="AO25" s="86"/>
      <c r="AP25" s="135"/>
      <c r="AQ25" s="95"/>
      <c r="AU25" s="95"/>
      <c r="AV25">
        <v>23435</v>
      </c>
      <c r="AW25" s="95"/>
      <c r="AZ25" s="416"/>
      <c r="BA25" s="95"/>
      <c r="BB25" s="95"/>
      <c r="BC25" s="79"/>
      <c r="BD25" s="80"/>
      <c r="BE25" s="86"/>
      <c r="BG25" s="79"/>
      <c r="BH25" s="80"/>
      <c r="BI25" s="79"/>
      <c r="BJ25" s="80"/>
      <c r="BK25" s="79"/>
      <c r="BL25" s="80"/>
      <c r="BM25" s="79"/>
      <c r="BN25" s="80"/>
      <c r="BO25" s="79"/>
      <c r="BP25" s="80"/>
      <c r="BQ25" s="79"/>
      <c r="BR25" s="80"/>
      <c r="BS25" s="79"/>
      <c r="BT25" s="80"/>
      <c r="BU25" s="79"/>
      <c r="BV25" s="80"/>
      <c r="BW25" s="79"/>
      <c r="BX25" s="80"/>
    </row>
    <row r="26" spans="2:76">
      <c r="B26" s="22" t="s">
        <v>526</v>
      </c>
      <c r="C26" s="261">
        <v>47195</v>
      </c>
      <c r="D26" s="85"/>
      <c r="E26" s="95"/>
      <c r="F26" s="87"/>
      <c r="G26" s="95"/>
      <c r="H26" s="87"/>
      <c r="I26" s="95"/>
      <c r="J26" s="87"/>
      <c r="K26" s="95"/>
      <c r="L26" s="91"/>
      <c r="M26" s="95"/>
      <c r="N26" s="87"/>
      <c r="O26" s="95"/>
      <c r="P26" s="87"/>
      <c r="Q26" s="95"/>
      <c r="R26" s="87"/>
      <c r="S26" s="95"/>
      <c r="T26" s="87"/>
      <c r="U26" s="86"/>
      <c r="V26" s="80"/>
      <c r="Y26" s="86"/>
      <c r="AC26" s="86"/>
      <c r="AD26" s="197"/>
      <c r="AE26" s="197"/>
      <c r="AF26" s="197"/>
      <c r="AG26" s="228"/>
      <c r="AH26" s="87"/>
      <c r="AI26" s="87"/>
      <c r="AJ26" s="87"/>
      <c r="AK26" s="87"/>
      <c r="AL26" s="87"/>
      <c r="AN26" s="121">
        <v>7411.71</v>
      </c>
      <c r="AO26" s="86"/>
      <c r="AP26" s="87">
        <v>4619.21</v>
      </c>
      <c r="AQ26" s="87"/>
      <c r="AR26" s="87">
        <v>7037.17</v>
      </c>
      <c r="AS26" s="87"/>
      <c r="AT26" s="87">
        <v>6541.46</v>
      </c>
      <c r="AU26" s="87"/>
      <c r="AV26" s="87">
        <v>7324.14</v>
      </c>
      <c r="AW26" s="87"/>
      <c r="AX26" s="87">
        <v>4882</v>
      </c>
      <c r="AY26" s="87"/>
      <c r="AZ26" s="416">
        <v>4882</v>
      </c>
      <c r="BA26" s="95"/>
      <c r="BE26" s="86"/>
      <c r="BG26" s="79"/>
      <c r="BH26" s="80"/>
      <c r="BI26" s="79"/>
      <c r="BJ26" s="80"/>
      <c r="BK26" s="79"/>
      <c r="BL26" s="80"/>
      <c r="BM26" s="79"/>
      <c r="BN26" s="80"/>
      <c r="BO26" s="79"/>
      <c r="BP26" s="80"/>
      <c r="BQ26" s="79"/>
      <c r="BR26" s="80"/>
      <c r="BS26" s="79"/>
      <c r="BT26" s="80"/>
      <c r="BU26" s="79"/>
      <c r="BV26" s="80"/>
      <c r="BW26" s="79"/>
      <c r="BX26" s="80"/>
    </row>
    <row r="27" spans="2:76">
      <c r="B27" s="22" t="s">
        <v>697</v>
      </c>
      <c r="C27" s="261"/>
      <c r="D27" s="85"/>
      <c r="E27" s="95"/>
      <c r="F27" s="87"/>
      <c r="G27" s="95"/>
      <c r="H27" s="87"/>
      <c r="I27" s="95"/>
      <c r="J27" s="87"/>
      <c r="K27" s="95"/>
      <c r="L27" s="91"/>
      <c r="M27" s="95"/>
      <c r="N27" s="87"/>
      <c r="O27" s="95"/>
      <c r="P27" s="87"/>
      <c r="Q27" s="95"/>
      <c r="R27" s="87"/>
      <c r="S27" s="95"/>
      <c r="T27" s="87"/>
      <c r="U27" s="86"/>
      <c r="V27" s="80"/>
      <c r="Y27" s="86"/>
      <c r="AC27" s="86"/>
      <c r="AD27" s="197"/>
      <c r="AE27" s="197"/>
      <c r="AF27" s="197"/>
      <c r="AG27" s="228"/>
      <c r="AH27" s="87"/>
      <c r="AI27" s="87"/>
      <c r="AJ27" s="87"/>
      <c r="AK27" s="87"/>
      <c r="AL27" s="87"/>
      <c r="AN27" s="121"/>
      <c r="AO27" s="86"/>
      <c r="AP27" s="95"/>
      <c r="AQ27" s="95"/>
      <c r="AR27" s="95"/>
      <c r="AS27" s="95"/>
      <c r="AT27" s="95"/>
      <c r="AU27" s="95"/>
      <c r="AV27" s="87"/>
      <c r="AW27" s="95"/>
      <c r="AX27" s="87"/>
      <c r="AY27" s="95"/>
      <c r="AZ27" s="87"/>
      <c r="BA27" s="95"/>
      <c r="BB27" s="423">
        <v>8137</v>
      </c>
      <c r="BC27" s="423"/>
      <c r="BD27" s="423">
        <v>8137</v>
      </c>
      <c r="BE27" s="123"/>
      <c r="BF27" s="423">
        <v>8137</v>
      </c>
      <c r="BG27" s="424"/>
      <c r="BH27" s="423">
        <v>8137</v>
      </c>
      <c r="BI27" s="79"/>
      <c r="BJ27" s="80"/>
      <c r="BK27" s="79"/>
      <c r="BL27" s="80"/>
      <c r="BM27" s="79"/>
      <c r="BN27" s="80"/>
      <c r="BO27" s="79"/>
      <c r="BP27" s="80"/>
      <c r="BQ27" s="79"/>
      <c r="BR27" s="80"/>
      <c r="BS27" s="79"/>
      <c r="BT27" s="80"/>
      <c r="BU27" s="79"/>
      <c r="BV27" s="80"/>
      <c r="BW27" s="79"/>
      <c r="BX27" s="80"/>
    </row>
    <row r="28" spans="2:76">
      <c r="B28" s="22" t="s">
        <v>530</v>
      </c>
      <c r="C28" s="261">
        <v>4475</v>
      </c>
      <c r="D28" s="85"/>
      <c r="E28" s="95"/>
      <c r="F28" s="87"/>
      <c r="G28" s="95"/>
      <c r="H28" s="87"/>
      <c r="I28" s="95"/>
      <c r="J28" s="87"/>
      <c r="K28" s="95"/>
      <c r="L28" s="91"/>
      <c r="M28" s="95"/>
      <c r="N28" s="87"/>
      <c r="O28" s="95"/>
      <c r="P28" s="87"/>
      <c r="Q28" s="95"/>
      <c r="R28" s="87"/>
      <c r="S28" s="95"/>
      <c r="T28" s="87"/>
      <c r="U28" s="86"/>
      <c r="V28" s="80"/>
      <c r="Y28" s="86"/>
      <c r="AC28" s="86"/>
      <c r="AD28" s="197"/>
      <c r="AE28" s="197"/>
      <c r="AF28" s="197"/>
      <c r="AG28" s="228"/>
      <c r="AH28" s="87"/>
      <c r="AI28" s="87"/>
      <c r="AJ28" s="87"/>
      <c r="AK28" s="87"/>
      <c r="AL28" s="87"/>
      <c r="AN28" s="95">
        <v>1592.74</v>
      </c>
      <c r="AO28" s="86"/>
      <c r="AP28" s="135">
        <f>1957.4/2</f>
        <v>796.37</v>
      </c>
      <c r="AQ28" s="86"/>
      <c r="AS28" s="79"/>
      <c r="AU28" s="86"/>
      <c r="AV28" s="87"/>
      <c r="AW28" s="95"/>
      <c r="AX28" s="87">
        <v>796.37</v>
      </c>
      <c r="AY28">
        <f>AZ28/C19</f>
        <v>13.26</v>
      </c>
      <c r="AZ28" s="416">
        <v>1298.08</v>
      </c>
      <c r="BA28" s="95"/>
      <c r="BB28" s="95"/>
      <c r="BC28" s="79"/>
      <c r="BD28" s="80"/>
      <c r="BE28" s="86"/>
      <c r="BG28" s="79"/>
      <c r="BH28" s="80"/>
      <c r="BI28" s="79"/>
      <c r="BJ28" s="80"/>
      <c r="BK28" s="79"/>
      <c r="BL28" s="80"/>
      <c r="BM28" s="79"/>
      <c r="BN28" s="80"/>
      <c r="BO28" s="79"/>
      <c r="BP28" s="80"/>
      <c r="BQ28" s="79"/>
      <c r="BR28" s="80"/>
      <c r="BS28" s="79"/>
      <c r="BT28" s="80"/>
      <c r="BU28" s="79"/>
      <c r="BV28" s="80"/>
      <c r="BW28" s="79"/>
      <c r="BX28" s="80"/>
    </row>
    <row r="29" spans="2:76">
      <c r="B29" s="22" t="s">
        <v>585</v>
      </c>
      <c r="C29" s="261">
        <v>20342</v>
      </c>
      <c r="D29" s="85"/>
      <c r="E29" s="95"/>
      <c r="F29" s="87"/>
      <c r="G29" s="95"/>
      <c r="H29" s="87"/>
      <c r="I29" s="95"/>
      <c r="J29" s="87"/>
      <c r="K29" s="95"/>
      <c r="L29" s="91"/>
      <c r="M29" s="95"/>
      <c r="N29" s="87"/>
      <c r="O29" s="95"/>
      <c r="P29" s="87"/>
      <c r="Q29" s="95"/>
      <c r="R29" s="87"/>
      <c r="S29" s="95"/>
      <c r="T29" s="87"/>
      <c r="U29" s="86"/>
      <c r="V29" s="80"/>
      <c r="Y29" s="86"/>
      <c r="AC29" s="86"/>
      <c r="AD29" s="197"/>
      <c r="AE29" s="197"/>
      <c r="AF29" s="197"/>
      <c r="AG29" s="228"/>
      <c r="AH29" s="87"/>
      <c r="AI29" s="87"/>
      <c r="AJ29" s="87"/>
      <c r="AK29" s="87"/>
      <c r="AL29" s="87"/>
      <c r="AN29" s="95"/>
      <c r="AP29" s="135"/>
      <c r="AQ29" s="95"/>
      <c r="AU29" s="95"/>
      <c r="AV29">
        <v>8137</v>
      </c>
      <c r="AW29" s="95"/>
      <c r="AX29">
        <v>4068</v>
      </c>
      <c r="BB29">
        <v>4068</v>
      </c>
      <c r="BC29" s="79"/>
      <c r="BD29" s="80">
        <v>4068</v>
      </c>
      <c r="BE29" s="86"/>
      <c r="BG29" s="86"/>
      <c r="BH29" s="80"/>
      <c r="BI29" s="79"/>
      <c r="BJ29" s="80"/>
      <c r="BK29" s="79"/>
      <c r="BL29" s="80"/>
      <c r="BM29" s="79"/>
      <c r="BN29" s="80"/>
      <c r="BO29" s="79"/>
      <c r="BP29" s="80"/>
      <c r="BQ29" s="79"/>
      <c r="BR29" s="80"/>
      <c r="BS29" s="79"/>
      <c r="BT29" s="80"/>
      <c r="BU29" s="79"/>
      <c r="BV29" s="80"/>
      <c r="BW29" s="79"/>
      <c r="BX29" s="80"/>
    </row>
    <row r="30" spans="2:76" hidden="1">
      <c r="B30" s="22" t="s">
        <v>647</v>
      </c>
      <c r="C30" s="282">
        <v>2197</v>
      </c>
      <c r="D30" s="85"/>
      <c r="E30" s="95"/>
      <c r="F30" s="87"/>
      <c r="G30" s="95"/>
      <c r="H30" s="87"/>
      <c r="I30" s="95"/>
      <c r="J30" s="87"/>
      <c r="K30" s="95"/>
      <c r="L30" s="91"/>
      <c r="M30" s="95"/>
      <c r="N30" s="87"/>
      <c r="O30" s="95"/>
      <c r="P30" s="87"/>
      <c r="Q30" s="95"/>
      <c r="R30" s="87"/>
      <c r="S30" s="95"/>
      <c r="T30" s="87"/>
      <c r="U30" s="86"/>
      <c r="V30" s="80"/>
      <c r="Y30" s="86"/>
      <c r="AC30" s="86"/>
      <c r="AD30" s="197"/>
      <c r="AE30" s="197"/>
      <c r="AF30" s="197"/>
      <c r="AG30" s="228"/>
      <c r="AH30" s="87"/>
      <c r="AI30" s="87"/>
      <c r="AJ30" s="87"/>
      <c r="AK30" s="87"/>
      <c r="AL30" s="87"/>
      <c r="AN30" s="95"/>
      <c r="AP30" s="135"/>
      <c r="AQ30" s="95"/>
      <c r="AU30" s="95"/>
      <c r="AV30">
        <v>2197</v>
      </c>
      <c r="AW30" s="95"/>
      <c r="BC30" s="79"/>
      <c r="BD30" s="80"/>
      <c r="BE30" s="86"/>
      <c r="BG30" s="86"/>
      <c r="BH30" s="80"/>
      <c r="BI30" s="79"/>
      <c r="BJ30" s="80"/>
      <c r="BK30" s="79"/>
      <c r="BL30" s="80"/>
      <c r="BM30" s="79"/>
      <c r="BN30" s="80"/>
      <c r="BO30" s="79"/>
      <c r="BP30" s="80"/>
      <c r="BQ30" s="79"/>
      <c r="BR30" s="80"/>
      <c r="BS30" s="79"/>
      <c r="BT30" s="80"/>
      <c r="BU30" s="79"/>
      <c r="BV30" s="80"/>
      <c r="BW30" s="79"/>
      <c r="BX30" s="80"/>
    </row>
    <row r="31" spans="2:76">
      <c r="B31" s="22" t="s">
        <v>625</v>
      </c>
      <c r="C31" s="261">
        <f>SUM(AL31:BY31)</f>
        <v>10578</v>
      </c>
      <c r="D31" s="85"/>
      <c r="E31" s="95"/>
      <c r="F31" s="87"/>
      <c r="G31" s="95"/>
      <c r="H31" s="87"/>
      <c r="I31" s="95"/>
      <c r="J31" s="87"/>
      <c r="K31" s="95"/>
      <c r="L31" s="91"/>
      <c r="M31" s="95"/>
      <c r="N31" s="87"/>
      <c r="O31" s="95"/>
      <c r="P31" s="87"/>
      <c r="Q31" s="95"/>
      <c r="R31" s="87"/>
      <c r="S31" s="95"/>
      <c r="T31" s="87"/>
      <c r="U31" s="86"/>
      <c r="V31" s="80"/>
      <c r="Y31" s="86"/>
      <c r="AC31" s="86"/>
      <c r="AD31" s="197"/>
      <c r="AE31" s="197"/>
      <c r="AF31" s="197"/>
      <c r="AG31" s="228"/>
      <c r="AH31" s="87"/>
      <c r="AI31" s="87"/>
      <c r="AJ31" s="87"/>
      <c r="AK31" s="87"/>
      <c r="AL31" s="87"/>
      <c r="AN31" s="95"/>
      <c r="AP31" s="135"/>
      <c r="AQ31" s="95"/>
      <c r="AU31" s="95"/>
      <c r="AW31" s="95"/>
      <c r="AZ31" s="417">
        <v>814</v>
      </c>
      <c r="BB31">
        <v>814</v>
      </c>
      <c r="BC31" s="79"/>
      <c r="BD31" s="80">
        <v>814</v>
      </c>
      <c r="BE31" s="86"/>
      <c r="BF31">
        <v>814</v>
      </c>
      <c r="BG31" s="86"/>
      <c r="BH31" s="80">
        <v>814</v>
      </c>
      <c r="BI31" s="79"/>
      <c r="BJ31" s="80">
        <v>814</v>
      </c>
      <c r="BK31" s="79"/>
      <c r="BL31" s="80">
        <v>814</v>
      </c>
      <c r="BM31" s="79"/>
      <c r="BN31" s="80">
        <v>814</v>
      </c>
      <c r="BO31" s="79"/>
      <c r="BP31">
        <v>814</v>
      </c>
      <c r="BQ31" s="79"/>
      <c r="BR31">
        <v>814</v>
      </c>
      <c r="BS31" s="79"/>
      <c r="BT31">
        <v>814</v>
      </c>
      <c r="BU31" s="79"/>
      <c r="BV31">
        <v>814</v>
      </c>
      <c r="BW31" s="79"/>
      <c r="BX31">
        <v>814</v>
      </c>
    </row>
    <row r="32" spans="2:76">
      <c r="B32" s="96" t="s">
        <v>197</v>
      </c>
      <c r="C32" s="538"/>
      <c r="D32" s="538"/>
      <c r="E32" s="97"/>
      <c r="F32" s="97">
        <f>SUM(F5:F12)</f>
        <v>46837.45</v>
      </c>
      <c r="G32" s="97"/>
      <c r="H32" s="97">
        <f>SUM(H5:H12)</f>
        <v>51283.60</v>
      </c>
      <c r="I32" s="97"/>
      <c r="J32" s="97">
        <f>SUM(J5:J22)</f>
        <v>43150.05</v>
      </c>
      <c r="K32" s="97"/>
      <c r="L32" s="97">
        <v>40400.98</v>
      </c>
      <c r="M32" s="97"/>
      <c r="N32" s="97">
        <f>SUM(N5:N22)</f>
        <v>30876.28</v>
      </c>
      <c r="O32" s="97"/>
      <c r="P32" s="97">
        <v>64096.40</v>
      </c>
      <c r="Q32" s="97"/>
      <c r="R32" s="97">
        <v>68839.34</v>
      </c>
      <c r="S32" s="97"/>
      <c r="T32" s="97">
        <v>64844.72</v>
      </c>
      <c r="U32" s="162"/>
      <c r="V32" s="97">
        <v>77776.73</v>
      </c>
      <c r="W32" s="97"/>
      <c r="X32" s="97">
        <f>SUM(X5:X22)</f>
        <v>56487.46</v>
      </c>
      <c r="Y32" s="162"/>
      <c r="Z32" s="97">
        <f>SUM(Z5:Z22)</f>
        <v>103740.06</v>
      </c>
      <c r="AA32" s="162"/>
      <c r="AB32" s="97">
        <f>SUM(AB5:AB22)</f>
        <v>29839.46</v>
      </c>
      <c r="AC32" s="162"/>
      <c r="AD32" s="97">
        <f>SUM(AD5:AD22)</f>
        <v>57738.18</v>
      </c>
      <c r="AE32" s="162"/>
      <c r="AF32" s="97">
        <f>SUM(AF5:AF22)</f>
        <v>58868.56</v>
      </c>
      <c r="AG32" s="248"/>
      <c r="AH32" s="97">
        <f>SUM(AH5:AH24)</f>
        <v>58004.68</v>
      </c>
      <c r="AI32" s="97"/>
      <c r="AJ32" s="97">
        <f>SUM(AJ5:AJ24)</f>
        <v>46305.90</v>
      </c>
      <c r="AK32" s="97"/>
      <c r="AL32" s="97">
        <f>SUM(AL5:AL24)</f>
        <v>61789.26</v>
      </c>
      <c r="AM32" s="97"/>
      <c r="AN32" s="97">
        <v>83889.47</v>
      </c>
      <c r="AO32" s="97"/>
      <c r="AP32" s="97">
        <v>168195.02</v>
      </c>
      <c r="AQ32" s="97"/>
      <c r="AR32" s="97">
        <v>111170.41</v>
      </c>
      <c r="AS32" s="97"/>
      <c r="AT32" s="390">
        <f>SUM(AT5:AT31)</f>
        <v>77352.47</v>
      </c>
      <c r="AU32" s="391"/>
      <c r="AV32" s="391">
        <v>109888.00</v>
      </c>
      <c r="AW32" s="391"/>
      <c r="AX32" s="391">
        <f>SUM(AX5:AX31)</f>
        <v>118410.92</v>
      </c>
      <c r="AY32" s="391"/>
      <c r="AZ32" s="391">
        <f>SUM(AZ5:AZ31)</f>
        <v>42222.90</v>
      </c>
      <c r="BA32" s="391"/>
      <c r="BB32" s="391">
        <f>SUM(BB5:BB31)</f>
        <v>94261.36</v>
      </c>
      <c r="BC32" s="391"/>
      <c r="BD32" s="391">
        <f>SUM(BD5:BD31)</f>
        <v>99186.59</v>
      </c>
      <c r="BE32" s="391"/>
      <c r="BF32" s="391">
        <f>SUM(BF5:BF31)</f>
        <v>91294.66</v>
      </c>
      <c r="BG32" s="391"/>
      <c r="BH32" s="391">
        <f>SUM(BH5:BH31)</f>
        <v>72177.49</v>
      </c>
      <c r="BI32" s="391"/>
      <c r="BJ32" s="391">
        <f>SUM(BJ5:BJ31)</f>
        <v>83157.66</v>
      </c>
      <c r="BK32" s="391"/>
      <c r="BL32" s="391">
        <f>SUM(BL5:BL31)</f>
        <v>79334.22</v>
      </c>
      <c r="BM32" s="391"/>
      <c r="BN32" s="391">
        <f>SUM(BN5:BN31)</f>
        <v>90804.53</v>
      </c>
      <c r="BO32" s="391"/>
      <c r="BP32" s="391">
        <f>SUM(BP5:BP31)</f>
        <v>814</v>
      </c>
      <c r="BQ32" s="391"/>
      <c r="BR32" s="391">
        <f>SUM(BR5:BR31)</f>
        <v>814</v>
      </c>
      <c r="BS32" s="391"/>
      <c r="BT32" s="391">
        <f>SUM(BT5:BT31)</f>
        <v>814</v>
      </c>
      <c r="BU32" s="391"/>
      <c r="BV32" s="391">
        <f>SUM(BV5:BV31)</f>
        <v>814</v>
      </c>
      <c r="BW32" s="391"/>
      <c r="BX32" s="391">
        <f>SUM(BX5:BX31)</f>
        <v>814</v>
      </c>
    </row>
    <row r="33" spans="1:68" ht="16">
      <c r="B33" s="164"/>
      <c r="C33" s="139"/>
      <c r="D33" s="151"/>
      <c r="H33" s="23"/>
      <c r="P33" s="23"/>
      <c r="AG33" s="173"/>
      <c r="AJ33" s="288"/>
      <c r="AL33" s="95"/>
      <c r="AP33" s="135"/>
      <c r="AR33" s="95"/>
      <c r="AV33" s="23"/>
      <c r="BA33" s="95"/>
    </row>
    <row r="34" spans="1:68" ht="16">
      <c r="B34" s="139"/>
      <c r="J34" s="133"/>
      <c r="M34" s="23"/>
      <c r="N34" s="23"/>
      <c r="O34" s="23"/>
      <c r="P34" s="23"/>
      <c r="R34" s="23"/>
      <c r="T34" s="147"/>
      <c r="V34" s="172"/>
      <c r="W34" s="171"/>
      <c r="X34" s="76"/>
      <c r="Y34" s="171"/>
      <c r="Z34" s="205"/>
      <c r="AA34" s="164"/>
      <c r="AB34" s="23"/>
      <c r="AD34" s="133"/>
      <c r="AH34" s="145"/>
      <c r="AJ34" s="168"/>
      <c r="AL34" s="302"/>
      <c r="AM34" s="95"/>
      <c r="AP34" s="135"/>
      <c r="AQ34" s="135"/>
      <c r="AR34" s="117"/>
      <c r="AX34" s="151"/>
      <c r="AZ34" s="151"/>
      <c r="BB34" s="23"/>
    </row>
    <row r="35" spans="1:68">
      <c r="B35" s="98" t="s">
        <v>198</v>
      </c>
      <c r="C35" s="175" t="s">
        <v>39</v>
      </c>
      <c r="D35" s="175" t="s">
        <v>199</v>
      </c>
      <c r="L35" s="133"/>
      <c r="M35" s="133"/>
      <c r="N35" s="146"/>
      <c r="O35" s="23"/>
      <c r="P35" s="23"/>
      <c r="Z35" s="133"/>
      <c r="AA35" s="133"/>
      <c r="AD35" s="133"/>
      <c r="AF35" s="151"/>
      <c r="AG35" s="151"/>
      <c r="AH35" s="151"/>
      <c r="AI35" s="151"/>
      <c r="AP35" s="121"/>
      <c r="BB35" s="23"/>
    </row>
    <row r="36" spans="1:68">
      <c r="A36">
        <v>1</v>
      </c>
      <c r="B36" s="99" t="s">
        <v>200</v>
      </c>
      <c r="C36" s="100">
        <f>D36-SUM(E36:AS36)</f>
        <v>51336.51</v>
      </c>
      <c r="D36" s="101">
        <f>SUM(E36:AZ36)</f>
        <v>482400.20</v>
      </c>
      <c r="E36" s="104"/>
      <c r="F36" s="103">
        <f>(10685.8+22173/2)*(1-34%)+1320</f>
        <v>12766.72</v>
      </c>
      <c r="G36" s="105"/>
      <c r="H36" s="104">
        <f>11086.5*(1-34%)</f>
        <v>5953.92</v>
      </c>
      <c r="I36" s="104"/>
      <c r="J36" s="104">
        <v>13587.16</v>
      </c>
      <c r="K36" s="104"/>
      <c r="L36" s="104"/>
      <c r="M36" s="102"/>
      <c r="N36" s="142">
        <v>11838.82</v>
      </c>
      <c r="O36" s="102"/>
      <c r="P36" s="142">
        <v>11838.82</v>
      </c>
      <c r="Q36" s="102"/>
      <c r="R36" s="142">
        <v>32306.62</v>
      </c>
      <c r="S36" s="142"/>
      <c r="T36" s="142">
        <v>32306.62</v>
      </c>
      <c r="U36" s="102"/>
      <c r="V36" s="142">
        <v>61272.41</v>
      </c>
      <c r="W36" s="142"/>
      <c r="X36" s="100">
        <v>58343.15</v>
      </c>
      <c r="Y36" s="102"/>
      <c r="Z36" s="108">
        <v>12435.28</v>
      </c>
      <c r="AA36" s="102"/>
      <c r="AB36" s="102"/>
      <c r="AC36" s="102"/>
      <c r="AD36" s="100">
        <v>3963.71</v>
      </c>
      <c r="AE36" s="99"/>
      <c r="AF36" s="233">
        <v>8702.38</v>
      </c>
      <c r="AG36" s="233"/>
      <c r="AH36" s="233">
        <v>20232.30</v>
      </c>
      <c r="AI36" s="233"/>
      <c r="AJ36" s="233">
        <v>35157.35</v>
      </c>
      <c r="AK36" s="102"/>
      <c r="AL36" s="106">
        <v>15077.00</v>
      </c>
      <c r="AM36" s="102"/>
      <c r="AN36" s="106">
        <v>24411</v>
      </c>
      <c r="AO36" s="242"/>
      <c r="AP36" s="326">
        <v>38855.95</v>
      </c>
      <c r="AQ36" s="102"/>
      <c r="AR36" s="102">
        <v>32014.47</v>
      </c>
      <c r="AS36" s="102"/>
      <c r="AT36" s="106">
        <v>45974.88</v>
      </c>
      <c r="AU36" s="102"/>
      <c r="AV36" s="100">
        <v>5361.62</v>
      </c>
      <c r="AW36" s="100"/>
      <c r="AX36" s="100"/>
      <c r="AY36" s="100"/>
      <c r="AZ36" s="100"/>
      <c r="BA36" s="102"/>
      <c r="BB36" s="102"/>
      <c r="BC36" s="102"/>
      <c r="BD36" s="100"/>
      <c r="BE36" s="100"/>
      <c r="BF36" s="375"/>
      <c r="BG36" s="375"/>
      <c r="BH36" s="375"/>
      <c r="BI36" s="375"/>
      <c r="BJ36" s="102"/>
      <c r="BK36" s="102"/>
      <c r="BL36" s="102"/>
    </row>
    <row r="37" spans="1:68">
      <c r="A37">
        <v>2</v>
      </c>
      <c r="B37" s="99" t="s">
        <v>201</v>
      </c>
      <c r="C37" s="100">
        <f t="shared" ref="C37:C42" si="54">D37-SUM(E37:AS37)</f>
        <v>152210.99</v>
      </c>
      <c r="D37" s="101">
        <f t="shared" ref="D37:D42" si="55">SUM(E37:AZ37)</f>
        <v>871206.71</v>
      </c>
      <c r="E37" s="104"/>
      <c r="F37" s="106">
        <f>37620/3</f>
        <v>10204</v>
      </c>
      <c r="G37" s="107"/>
      <c r="H37" s="104">
        <f>37620/3+33633.6</f>
        <v>37571.46</v>
      </c>
      <c r="I37" s="106"/>
      <c r="J37" s="104">
        <f>11727.5983295866+19071.7296</f>
        <v>25061.41</v>
      </c>
      <c r="K37" s="104"/>
      <c r="L37" s="104">
        <f>812.401670413383+19071.7296</f>
        <v>16179.72</v>
      </c>
      <c r="M37" s="102"/>
      <c r="N37" s="23">
        <v>13460.93</v>
      </c>
      <c r="O37" s="100"/>
      <c r="P37" s="100">
        <v>24293.66</v>
      </c>
      <c r="Q37" s="100"/>
      <c r="R37" s="100">
        <v>29654.15</v>
      </c>
      <c r="S37" s="102"/>
      <c r="T37" s="102"/>
      <c r="U37" s="102"/>
      <c r="V37" s="142">
        <v>8482.11</v>
      </c>
      <c r="W37" s="102"/>
      <c r="X37" s="100">
        <v>6771.61</v>
      </c>
      <c r="Y37" s="102"/>
      <c r="Z37" s="108">
        <v>23821.52</v>
      </c>
      <c r="AB37" s="108">
        <v>40574.91</v>
      </c>
      <c r="AC37" s="102"/>
      <c r="AD37" s="100">
        <v>69479.54</v>
      </c>
      <c r="AE37" s="99"/>
      <c r="AF37" s="233">
        <v>68459.36</v>
      </c>
      <c r="AG37" s="233"/>
      <c r="AH37" s="233">
        <v>70546.91</v>
      </c>
      <c r="AI37" s="233"/>
      <c r="AJ37" s="233">
        <v>31904.65</v>
      </c>
      <c r="AK37" s="233"/>
      <c r="AL37" s="117">
        <v>58820.58</v>
      </c>
      <c r="AM37" s="233"/>
      <c r="AN37" s="106">
        <v>64846.76</v>
      </c>
      <c r="AO37" s="233"/>
      <c r="AP37" s="233">
        <v>64790.57</v>
      </c>
      <c r="AQ37" s="233"/>
      <c r="AR37" s="233">
        <v>54072.07</v>
      </c>
      <c r="AS37" s="233"/>
      <c r="AT37" s="233">
        <v>42184.11</v>
      </c>
      <c r="AU37" s="233"/>
      <c r="AV37" s="100">
        <v>67066.95</v>
      </c>
      <c r="AW37" s="100"/>
      <c r="AX37" s="100">
        <v>36377.10</v>
      </c>
      <c r="AY37" s="100"/>
      <c r="AZ37" s="100">
        <v>6583</v>
      </c>
      <c r="BA37" s="102"/>
      <c r="BB37" s="100">
        <v>6583</v>
      </c>
      <c r="BC37" s="102"/>
      <c r="BD37" s="100">
        <v>6583</v>
      </c>
      <c r="BE37" s="100"/>
      <c r="BF37" s="100">
        <v>6583</v>
      </c>
      <c r="BG37" s="102"/>
      <c r="BH37" s="100">
        <v>6583</v>
      </c>
      <c r="BI37" s="102"/>
      <c r="BJ37" s="100">
        <v>6583</v>
      </c>
      <c r="BK37" s="102"/>
      <c r="BL37" s="100">
        <v>6583</v>
      </c>
    </row>
    <row r="38" spans="1:68">
      <c r="B38" s="115" t="s">
        <v>72</v>
      </c>
      <c r="C38" s="100">
        <f t="shared" si="54"/>
        <v>6213.71</v>
      </c>
      <c r="D38" s="101">
        <f t="shared" si="55"/>
        <v>17087.70</v>
      </c>
      <c r="E38" s="117"/>
      <c r="F38" s="117"/>
      <c r="G38" s="117"/>
      <c r="H38" s="148"/>
      <c r="I38" s="133"/>
      <c r="J38" s="149"/>
      <c r="K38" s="133"/>
      <c r="L38" s="149"/>
      <c r="N38" s="149"/>
      <c r="O38" s="102"/>
      <c r="P38" s="100"/>
      <c r="Q38" s="102"/>
      <c r="R38" s="100"/>
      <c r="S38" s="102"/>
      <c r="T38" s="202"/>
      <c r="U38" s="102"/>
      <c r="V38" s="108"/>
      <c r="W38" s="102"/>
      <c r="X38" s="108"/>
      <c r="Y38" s="102"/>
      <c r="Z38" s="108"/>
      <c r="AA38" s="102"/>
      <c r="AB38" s="108"/>
      <c r="AC38" s="102"/>
      <c r="AD38" s="108"/>
      <c r="AE38" s="99"/>
      <c r="AF38" s="233">
        <v>1553.43</v>
      </c>
      <c r="AG38" s="233"/>
      <c r="AH38" s="262">
        <v>1553.43</v>
      </c>
      <c r="AI38" s="233"/>
      <c r="AJ38" s="233">
        <v>1553.43</v>
      </c>
      <c r="AK38" s="233"/>
      <c r="AL38" s="233">
        <v>1553.43</v>
      </c>
      <c r="AM38" s="233"/>
      <c r="AN38" s="233">
        <v>1553.43</v>
      </c>
      <c r="AO38" s="233"/>
      <c r="AP38" s="233">
        <v>1553.43</v>
      </c>
      <c r="AQ38" s="233"/>
      <c r="AR38" s="233">
        <v>1553.43</v>
      </c>
      <c r="AS38" s="233"/>
      <c r="AT38" s="233">
        <v>1553.43</v>
      </c>
      <c r="AU38" s="233"/>
      <c r="AV38" s="100">
        <v>1553.43</v>
      </c>
      <c r="AW38" s="100"/>
      <c r="AX38" s="100">
        <v>1553.43</v>
      </c>
      <c r="AY38" s="100"/>
      <c r="AZ38" s="100">
        <v>1553.43</v>
      </c>
      <c r="BA38" s="102"/>
      <c r="BB38" s="279">
        <v>1553.43</v>
      </c>
      <c r="BC38" s="280"/>
      <c r="BD38" s="279">
        <v>1553.43</v>
      </c>
      <c r="BE38" s="279"/>
      <c r="BF38" s="279">
        <v>1553.43</v>
      </c>
      <c r="BG38" s="279"/>
      <c r="BH38" s="279">
        <v>1553.43</v>
      </c>
      <c r="BI38" s="280"/>
      <c r="BJ38" s="279">
        <v>1553.43</v>
      </c>
      <c r="BK38" s="280"/>
      <c r="BL38" s="279">
        <v>1553.43</v>
      </c>
    </row>
    <row r="39" spans="1:68" hidden="1">
      <c r="B39" s="115" t="s">
        <v>390</v>
      </c>
      <c r="C39" s="100">
        <f t="shared" si="54"/>
        <v>0</v>
      </c>
      <c r="D39" s="101">
        <f t="shared" si="55"/>
        <v>812.14</v>
      </c>
      <c r="E39" s="106"/>
      <c r="F39" s="106"/>
      <c r="G39" s="106"/>
      <c r="H39" s="110"/>
      <c r="I39" s="104"/>
      <c r="J39" s="109"/>
      <c r="K39" s="104"/>
      <c r="L39" s="109"/>
      <c r="M39" s="102"/>
      <c r="N39" s="109"/>
      <c r="O39" s="102"/>
      <c r="P39" s="112"/>
      <c r="Q39" s="102"/>
      <c r="R39" s="108"/>
      <c r="S39" s="102"/>
      <c r="T39" s="108"/>
      <c r="U39" s="102"/>
      <c r="V39" s="102"/>
      <c r="W39" s="102"/>
      <c r="X39" s="108"/>
      <c r="Y39" s="102"/>
      <c r="Z39" s="108"/>
      <c r="AA39" s="102"/>
      <c r="AB39" s="108"/>
      <c r="AC39" s="102"/>
      <c r="AD39" s="102"/>
      <c r="AE39" s="99"/>
      <c r="AF39" s="233">
        <v>812.14</v>
      </c>
      <c r="AG39" s="233"/>
      <c r="AH39" s="263"/>
      <c r="AI39" s="233"/>
      <c r="AJ39" s="233"/>
      <c r="AK39" s="233"/>
      <c r="AL39" s="233"/>
      <c r="AM39" s="233"/>
      <c r="AN39" s="233"/>
      <c r="AO39" s="233"/>
      <c r="AP39" s="233"/>
      <c r="AQ39" s="233"/>
      <c r="AR39" s="233"/>
      <c r="AS39" s="233"/>
      <c r="AT39" s="233"/>
      <c r="AU39" s="233"/>
      <c r="AV39" s="100"/>
      <c r="AW39" s="100"/>
      <c r="AX39" s="100"/>
      <c r="AY39" s="100"/>
      <c r="AZ39" s="100"/>
      <c r="BA39" s="102"/>
      <c r="BB39" s="102"/>
      <c r="BC39" s="102"/>
      <c r="BD39" s="100"/>
      <c r="BE39" s="100"/>
      <c r="BF39" s="100"/>
      <c r="BG39" s="102"/>
      <c r="BH39" s="102"/>
      <c r="BI39" s="102"/>
      <c r="BJ39" s="102"/>
      <c r="BK39" s="102"/>
      <c r="BL39" s="102"/>
    </row>
    <row r="40" spans="1:68" hidden="1">
      <c r="B40" s="115" t="s">
        <v>575</v>
      </c>
      <c r="C40" s="100">
        <f t="shared" si="54"/>
        <v>21970</v>
      </c>
      <c r="D40" s="101">
        <f t="shared" si="55"/>
        <v>82997</v>
      </c>
      <c r="E40" s="117"/>
      <c r="F40" s="117"/>
      <c r="G40" s="117"/>
      <c r="H40" s="148"/>
      <c r="I40" s="133"/>
      <c r="J40" s="149"/>
      <c r="K40" s="133"/>
      <c r="L40" s="149"/>
      <c r="N40" s="149"/>
      <c r="P40" s="121"/>
      <c r="R40" s="202"/>
      <c r="T40" s="202"/>
      <c r="X40" s="202"/>
      <c r="Z40" s="202"/>
      <c r="AB40" s="202"/>
      <c r="AF40" s="327"/>
      <c r="AG40" s="327"/>
      <c r="AH40" s="328"/>
      <c r="AI40" s="327"/>
      <c r="AJ40" s="327"/>
      <c r="AK40" s="327"/>
      <c r="AL40" s="327"/>
      <c r="AM40" s="327"/>
      <c r="AN40" s="327"/>
      <c r="AO40" s="233"/>
      <c r="AP40" s="329">
        <v>40685</v>
      </c>
      <c r="AQ40" s="233"/>
      <c r="AR40" s="233">
        <v>20342</v>
      </c>
      <c r="AS40" s="233"/>
      <c r="AT40" s="233"/>
      <c r="AU40" s="233"/>
      <c r="AV40" s="100">
        <v>21970</v>
      </c>
      <c r="AW40" s="100"/>
      <c r="AX40" s="100"/>
      <c r="AY40" s="100"/>
      <c r="AZ40" s="100"/>
      <c r="BA40" s="102"/>
      <c r="BB40" s="102"/>
      <c r="BC40" s="102"/>
      <c r="BD40" s="100"/>
      <c r="BE40" s="100"/>
      <c r="BF40" s="100"/>
      <c r="BG40" s="102"/>
      <c r="BH40" s="102"/>
      <c r="BI40" s="102"/>
      <c r="BJ40" s="102"/>
      <c r="BK40" s="102"/>
      <c r="BL40" s="102"/>
    </row>
    <row r="41" spans="1:68" hidden="1">
      <c r="B41" s="311" t="s">
        <v>576</v>
      </c>
      <c r="C41" s="100">
        <f t="shared" si="54"/>
        <v>0</v>
      </c>
      <c r="D41" s="101">
        <f t="shared" si="55"/>
        <v>16274</v>
      </c>
      <c r="E41" s="117"/>
      <c r="F41" s="117"/>
      <c r="G41" s="117"/>
      <c r="H41" s="148"/>
      <c r="I41" s="133"/>
      <c r="J41" s="149"/>
      <c r="K41" s="133"/>
      <c r="L41" s="149"/>
      <c r="N41" s="149"/>
      <c r="P41" s="121"/>
      <c r="R41" s="202"/>
      <c r="T41" s="202"/>
      <c r="X41" s="202"/>
      <c r="Z41" s="202"/>
      <c r="AB41" s="202"/>
      <c r="AF41" s="327"/>
      <c r="AG41" s="327"/>
      <c r="AH41" s="328"/>
      <c r="AI41" s="327"/>
      <c r="AJ41" s="327"/>
      <c r="AK41" s="327"/>
      <c r="AL41" s="327"/>
      <c r="AM41" s="327"/>
      <c r="AN41" s="327"/>
      <c r="AO41" s="362"/>
      <c r="AP41" s="363">
        <v>16274</v>
      </c>
      <c r="AQ41" s="362"/>
      <c r="AR41" s="362"/>
      <c r="AS41" s="362"/>
      <c r="AT41" s="362"/>
      <c r="AU41" s="362"/>
      <c r="AV41" s="362"/>
      <c r="AW41" s="362"/>
      <c r="AX41" s="362"/>
      <c r="AY41" s="362"/>
      <c r="AZ41" s="362"/>
      <c r="BD41" s="151"/>
      <c r="BE41" s="151"/>
      <c r="BF41" s="151"/>
    </row>
    <row r="42" spans="1:68" hidden="1">
      <c r="B42" s="115" t="s">
        <v>576</v>
      </c>
      <c r="C42" s="100">
        <f t="shared" si="54"/>
        <v>0</v>
      </c>
      <c r="D42" s="100">
        <f t="shared" si="55"/>
        <v>4068</v>
      </c>
      <c r="E42" s="106"/>
      <c r="F42" s="106"/>
      <c r="G42" s="106"/>
      <c r="H42" s="110"/>
      <c r="I42" s="104"/>
      <c r="J42" s="109"/>
      <c r="K42" s="104"/>
      <c r="L42" s="109"/>
      <c r="M42" s="102"/>
      <c r="N42" s="109"/>
      <c r="O42" s="102"/>
      <c r="P42" s="112"/>
      <c r="Q42" s="102"/>
      <c r="R42" s="396"/>
      <c r="S42" s="102"/>
      <c r="T42" s="396"/>
      <c r="U42" s="102"/>
      <c r="V42" s="102"/>
      <c r="W42" s="102"/>
      <c r="X42" s="396"/>
      <c r="Y42" s="102"/>
      <c r="Z42" s="396"/>
      <c r="AA42" s="102"/>
      <c r="AB42" s="396"/>
      <c r="AC42" s="102"/>
      <c r="AD42" s="102"/>
      <c r="AE42" s="102"/>
      <c r="AF42" s="233"/>
      <c r="AG42" s="233"/>
      <c r="AH42" s="233"/>
      <c r="AI42" s="233"/>
      <c r="AJ42" s="233"/>
      <c r="AK42" s="233"/>
      <c r="AL42" s="233"/>
      <c r="AM42" s="233"/>
      <c r="AN42" s="233"/>
      <c r="AO42" s="233"/>
      <c r="AP42" s="329"/>
      <c r="AQ42" s="233"/>
      <c r="AR42" s="233">
        <v>4068</v>
      </c>
      <c r="AS42" s="233"/>
      <c r="AT42" s="233"/>
      <c r="AU42" s="233"/>
      <c r="AV42" s="233"/>
      <c r="AW42" s="233"/>
      <c r="AX42" s="233"/>
      <c r="AY42" s="233"/>
      <c r="AZ42" s="233"/>
      <c r="BD42" s="151"/>
      <c r="BE42" s="151"/>
      <c r="BF42" s="151"/>
    </row>
    <row r="43" spans="1:68">
      <c r="B43" s="116" t="s">
        <v>207</v>
      </c>
      <c r="C43" s="120">
        <f>SUM(C36:C38)</f>
        <v>209761.21</v>
      </c>
      <c r="D43" s="120">
        <f>SUM(D36:D38)</f>
        <v>1370694.60</v>
      </c>
      <c r="E43" s="120">
        <f t="shared" ref="E43:O43" si="56">SUM(E36:E37)</f>
        <v>0</v>
      </c>
      <c r="F43" s="120">
        <f t="shared" si="56"/>
        <v>22970.52</v>
      </c>
      <c r="G43" s="120">
        <f t="shared" si="56"/>
        <v>0</v>
      </c>
      <c r="H43" s="120">
        <f t="shared" si="56"/>
        <v>43525.37</v>
      </c>
      <c r="I43" s="120">
        <f t="shared" si="56"/>
        <v>0</v>
      </c>
      <c r="J43" s="120">
        <f t="shared" si="56"/>
        <v>38648.58</v>
      </c>
      <c r="K43" s="120">
        <f t="shared" si="56"/>
        <v>0</v>
      </c>
      <c r="L43" s="120">
        <f t="shared" si="56"/>
        <v>16179.72</v>
      </c>
      <c r="M43" s="120">
        <f t="shared" si="56"/>
        <v>0</v>
      </c>
      <c r="N43" s="120">
        <f t="shared" si="56"/>
        <v>25299.75</v>
      </c>
      <c r="O43" s="120">
        <f t="shared" si="56"/>
        <v>0</v>
      </c>
      <c r="P43" s="120">
        <f>SUM(P36:P38)</f>
        <v>36132.48</v>
      </c>
      <c r="Q43" s="120"/>
      <c r="R43" s="120">
        <f>SUM(R36:R38)</f>
        <v>61960.76</v>
      </c>
      <c r="S43" s="120"/>
      <c r="T43" s="120">
        <f>SUM(T36:T38)</f>
        <v>32306.62</v>
      </c>
      <c r="U43" s="120"/>
      <c r="V43" s="120">
        <f>SUM(V36:V38)</f>
        <v>69754.51</v>
      </c>
      <c r="W43" s="120"/>
      <c r="X43" s="120">
        <f>SUM(X36:X38)</f>
        <v>65114.76</v>
      </c>
      <c r="Y43" s="120"/>
      <c r="Z43" s="120">
        <f>SUM(Z36:Z38)</f>
        <v>36256.80</v>
      </c>
      <c r="AA43" s="120"/>
      <c r="AB43" s="120">
        <f>SUM(AB36:AB38)</f>
        <v>40574.91</v>
      </c>
      <c r="AC43" s="120"/>
      <c r="AD43" s="120">
        <f>SUM(AD36:AD38)</f>
        <v>73443.26</v>
      </c>
      <c r="AE43" s="120"/>
      <c r="AF43" s="120">
        <f>SUM(AF36:AF39)</f>
        <v>79527.31</v>
      </c>
      <c r="AG43" s="120"/>
      <c r="AH43" s="120">
        <f>SUM(AH36:AH39)</f>
        <v>92332.64</v>
      </c>
      <c r="AI43" s="120"/>
      <c r="AJ43" s="120">
        <f>SUM(AJ36:AJ39)</f>
        <v>68615.43</v>
      </c>
      <c r="AK43" s="120"/>
      <c r="AL43" s="120">
        <f>SUM(AL36:AL39)</f>
        <v>75451.00</v>
      </c>
      <c r="AM43" s="120"/>
      <c r="AN43" s="120">
        <f>SUM(AN36:AN39)</f>
        <v>90811.18</v>
      </c>
      <c r="AO43" s="120"/>
      <c r="AP43" s="120">
        <f>SUM(AP36:AP41)</f>
        <v>162158.95</v>
      </c>
      <c r="AQ43" s="120"/>
      <c r="AR43" s="120">
        <f>SUM(AR36:AR42)</f>
        <v>112050.97</v>
      </c>
      <c r="AS43" s="120"/>
      <c r="AT43" s="120">
        <f>SUM(AT36:AT42)</f>
        <v>89712.42</v>
      </c>
      <c r="AU43" s="120"/>
      <c r="AV43" s="120">
        <f>SUM(AV36:AV42)</f>
        <v>95951.90</v>
      </c>
      <c r="AW43" s="120"/>
      <c r="AX43" s="120">
        <f>SUM(AX36:AX42)</f>
        <v>37930.53</v>
      </c>
      <c r="AY43" s="120"/>
      <c r="AZ43" s="120">
        <f>SUM(AZ36:AZ42)</f>
        <v>8136.26</v>
      </c>
      <c r="BA43" s="120"/>
      <c r="BB43" s="120">
        <f t="shared" ref="BB43:BL43" si="57">SUM(BB36:BB42)</f>
        <v>8136.26</v>
      </c>
      <c r="BC43" s="120"/>
      <c r="BD43" s="120">
        <f t="shared" si="57"/>
        <v>8136.26</v>
      </c>
      <c r="BE43" s="120"/>
      <c r="BF43" s="120">
        <f t="shared" si="57"/>
        <v>8136.26</v>
      </c>
      <c r="BG43" s="120"/>
      <c r="BH43" s="120">
        <f t="shared" si="57"/>
        <v>8136.26</v>
      </c>
      <c r="BI43" s="120"/>
      <c r="BJ43" s="120">
        <f t="shared" si="57"/>
        <v>8136.26</v>
      </c>
      <c r="BK43" s="120"/>
      <c r="BL43" s="120">
        <f t="shared" si="57"/>
        <v>8136.26</v>
      </c>
    </row>
    <row r="44" spans="1:68">
      <c r="D44" s="23"/>
      <c r="M44" s="95"/>
      <c r="AH44" s="135"/>
      <c r="AL44" s="202"/>
      <c r="AM44" s="202"/>
      <c r="AP44" s="151"/>
      <c r="AZ44" s="23"/>
      <c r="BG44" s="151"/>
    </row>
    <row r="45" spans="1:68">
      <c r="B45" s="113" t="s">
        <v>202</v>
      </c>
      <c r="C45" s="176" t="s">
        <v>203</v>
      </c>
      <c r="D45" s="176" t="s">
        <v>204</v>
      </c>
      <c r="E45" s="114"/>
      <c r="F45" s="114"/>
      <c r="G45" s="114"/>
      <c r="H45" s="114"/>
      <c r="I45" s="114"/>
      <c r="J45" s="114"/>
      <c r="K45" s="114"/>
      <c r="L45" s="114"/>
      <c r="M45" s="114"/>
      <c r="N45" s="114"/>
      <c r="O45" s="156"/>
      <c r="P45" s="114"/>
      <c r="T45" s="23"/>
      <c r="V45" s="23"/>
      <c r="Z45" s="133"/>
      <c r="AA45" s="133"/>
      <c r="AB45" s="23"/>
      <c r="AN45" s="117"/>
      <c r="AP45" s="151"/>
      <c r="AQ45" s="23"/>
      <c r="AR45" s="23"/>
      <c r="AV45" s="117"/>
      <c r="BE45" s="151"/>
      <c r="BF45" s="151"/>
      <c r="BG45" s="151"/>
      <c r="BH45" s="151"/>
      <c r="BI45" s="151"/>
    </row>
    <row r="46" spans="1:68">
      <c r="B46" s="567" t="s">
        <v>658</v>
      </c>
      <c r="C46" s="568">
        <v>116787.42</v>
      </c>
      <c r="D46" s="269">
        <f>C46*(1-36%)</f>
        <v>60819.15</v>
      </c>
      <c r="E46" s="569"/>
      <c r="F46" s="569"/>
      <c r="G46" s="569"/>
      <c r="H46" s="569"/>
      <c r="I46" s="569"/>
      <c r="J46" s="569"/>
      <c r="K46" s="569"/>
      <c r="L46" s="569"/>
      <c r="M46" s="569"/>
      <c r="N46" s="570"/>
      <c r="O46" s="569"/>
      <c r="P46" s="570"/>
      <c r="Q46" s="569"/>
      <c r="R46" s="570"/>
      <c r="S46" s="569"/>
      <c r="T46" s="570"/>
      <c r="U46" s="569"/>
      <c r="V46" s="570"/>
      <c r="W46" s="569"/>
      <c r="X46" s="570"/>
      <c r="Y46" s="571"/>
      <c r="Z46" s="570"/>
      <c r="AA46" s="571"/>
      <c r="AB46" s="570"/>
      <c r="AC46" s="571"/>
      <c r="AD46" s="570"/>
      <c r="AE46" s="571"/>
      <c r="AF46" s="570"/>
      <c r="AG46" s="566"/>
      <c r="AH46" s="565"/>
      <c r="AI46" s="566"/>
      <c r="AJ46" s="565"/>
      <c r="AK46" s="565"/>
      <c r="AL46" s="565"/>
      <c r="AM46" s="565"/>
      <c r="AN46" s="572"/>
      <c r="AO46" s="565"/>
      <c r="AP46" s="565"/>
      <c r="AQ46" s="565"/>
      <c r="AR46" s="565"/>
      <c r="AS46" s="565"/>
      <c r="AT46" s="565"/>
      <c r="AU46" s="565"/>
      <c r="AV46" s="101"/>
      <c r="AW46" s="101"/>
      <c r="AX46" s="269"/>
      <c r="AY46" s="269"/>
      <c r="AZ46" s="269">
        <v>60819.15</v>
      </c>
      <c r="BA46" s="101"/>
      <c r="BB46" s="101"/>
      <c r="BC46" s="101"/>
      <c r="BD46" s="101"/>
      <c r="BE46" s="101"/>
      <c r="BF46" s="101"/>
      <c r="BG46" s="101"/>
      <c r="BH46" s="101"/>
      <c r="BI46" s="101"/>
      <c r="BJ46" s="101"/>
      <c r="BK46" s="566"/>
      <c r="BL46" s="566"/>
      <c r="BM46" s="102"/>
      <c r="BN46" s="102"/>
      <c r="BO46" s="102"/>
      <c r="BP46" s="102"/>
    </row>
    <row r="47" spans="1:68">
      <c r="B47" s="560"/>
      <c r="C47" s="147"/>
      <c r="D47" s="227"/>
      <c r="E47" s="265"/>
      <c r="F47" s="265"/>
      <c r="G47" s="265"/>
      <c r="H47" s="265"/>
      <c r="I47" s="265"/>
      <c r="J47" s="265"/>
      <c r="K47" s="265"/>
      <c r="L47" s="265"/>
      <c r="M47" s="265"/>
      <c r="N47" s="266"/>
      <c r="O47" s="265"/>
      <c r="P47" s="266"/>
      <c r="Q47" s="265"/>
      <c r="R47" s="266"/>
      <c r="S47" s="265"/>
      <c r="T47" s="266"/>
      <c r="U47" s="265"/>
      <c r="V47" s="266"/>
      <c r="W47" s="265"/>
      <c r="X47" s="266"/>
      <c r="Y47" s="267"/>
      <c r="Z47" s="266"/>
      <c r="AA47" s="267"/>
      <c r="AB47" s="266"/>
      <c r="AC47" s="267"/>
      <c r="AD47" s="266"/>
      <c r="AE47" s="267"/>
      <c r="AF47" s="266"/>
      <c r="AG47" s="561"/>
      <c r="AH47" s="562"/>
      <c r="AI47" s="561"/>
      <c r="AJ47" s="562"/>
      <c r="AK47" s="562"/>
      <c r="AL47" s="562"/>
      <c r="AM47" s="563"/>
      <c r="AN47" s="563"/>
      <c r="AO47" s="563"/>
      <c r="AP47" s="563"/>
      <c r="AQ47" s="563"/>
      <c r="AR47" s="563"/>
      <c r="AS47" s="563"/>
      <c r="AT47" s="563"/>
      <c r="AU47" s="563"/>
      <c r="AV47" s="147"/>
      <c r="AW47" s="147"/>
      <c r="AX47" s="173"/>
      <c r="AY47" s="173"/>
      <c r="AZ47" s="173"/>
      <c r="BA47" s="147"/>
      <c r="BB47" s="147"/>
      <c r="BC47" s="147"/>
      <c r="BD47" s="147"/>
      <c r="BE47" s="147"/>
      <c r="BF47" s="147"/>
      <c r="BG47" s="147"/>
      <c r="BH47" s="147"/>
      <c r="BI47" s="147"/>
      <c r="BJ47" s="147"/>
      <c r="BK47" s="564"/>
      <c r="BL47" s="564"/>
      <c r="BM47" s="564"/>
      <c r="BN47" s="564"/>
      <c r="BO47" s="564"/>
      <c r="BP47" s="564"/>
    </row>
    <row r="48" spans="1:68">
      <c r="B48" s="127"/>
      <c r="D48" s="173"/>
      <c r="N48" s="174"/>
      <c r="P48" s="174"/>
      <c r="R48" s="174"/>
      <c r="T48" s="174"/>
      <c r="X48" s="174"/>
      <c r="Z48" s="117"/>
      <c r="AA48" s="117"/>
      <c r="AB48" s="117"/>
      <c r="AC48" s="117"/>
      <c r="AD48" s="117"/>
      <c r="AE48" s="117"/>
      <c r="AF48" s="117"/>
      <c r="AG48" s="117"/>
      <c r="AH48" s="117"/>
      <c r="AI48" s="117"/>
      <c r="AJ48" s="117">
        <f ca="1">SUM(AJ48:AJ60)</f>
        <v>0</v>
      </c>
      <c r="AK48" s="117">
        <f ca="1">SUM(AK48:AK1048576)</f>
        <v>0</v>
      </c>
      <c r="AL48" s="117">
        <f ca="1">SUM(AL46:AL64)</f>
        <v>0</v>
      </c>
      <c r="AM48" s="117">
        <f ca="1">SUM(AM46:AM64)</f>
        <v>0</v>
      </c>
      <c r="AN48" s="117">
        <f ca="1">SUM(AN46:AN64)</f>
        <v>0</v>
      </c>
      <c r="AO48" s="117">
        <f ca="1">SUM(AO46:AO60)</f>
        <v>0</v>
      </c>
      <c r="AP48" s="308"/>
      <c r="AQ48" s="308"/>
      <c r="AR48" s="308"/>
      <c r="AS48" s="308"/>
      <c r="AT48" s="308"/>
      <c r="AU48" s="308"/>
      <c r="AV48" s="151"/>
      <c r="AW48" s="151"/>
      <c r="AX48" s="151">
        <f>SUM(AX50:AX72)</f>
        <v>0</v>
      </c>
      <c r="AY48" s="151"/>
      <c r="AZ48" s="151">
        <f>SUM(AZ50:AZ72)</f>
        <v>75339.07</v>
      </c>
      <c r="BA48" s="151"/>
      <c r="BB48" s="151">
        <f>SUM(BB50:BB72)</f>
        <v>92929.32</v>
      </c>
      <c r="BC48" s="151"/>
      <c r="BD48" s="151">
        <f>SUM(BD50:BD72)</f>
        <v>54520.50</v>
      </c>
      <c r="BE48" s="151"/>
      <c r="BF48" s="151">
        <f>SUM(BF50:BF72)</f>
        <v>54520.50</v>
      </c>
      <c r="BG48" s="151"/>
      <c r="BH48" s="151">
        <f>SUM(BH50:BH72)</f>
        <v>54520.50</v>
      </c>
      <c r="BI48" s="151"/>
      <c r="BJ48" s="151"/>
    </row>
    <row r="49" spans="2:68" ht="15.65" customHeight="1">
      <c r="B49" s="118" t="s">
        <v>206</v>
      </c>
      <c r="C49" s="177" t="s">
        <v>203</v>
      </c>
      <c r="D49" s="177" t="s">
        <v>204</v>
      </c>
      <c r="E49" s="114"/>
      <c r="F49" s="114"/>
      <c r="G49" s="119" t="s">
        <v>203</v>
      </c>
      <c r="H49" s="119" t="s">
        <v>204</v>
      </c>
      <c r="I49" s="119"/>
      <c r="J49" s="119" t="s">
        <v>204</v>
      </c>
      <c r="K49" s="119"/>
      <c r="L49" s="119" t="s">
        <v>204</v>
      </c>
      <c r="M49" s="119"/>
      <c r="N49" s="119" t="s">
        <v>204</v>
      </c>
      <c r="O49" s="119"/>
      <c r="P49" s="119" t="s">
        <v>204</v>
      </c>
      <c r="Q49" s="119"/>
      <c r="R49" s="119" t="s">
        <v>204</v>
      </c>
      <c r="S49" s="119"/>
      <c r="T49" s="119" t="s">
        <v>204</v>
      </c>
      <c r="U49" s="119"/>
      <c r="V49" s="119"/>
      <c r="W49" s="119"/>
      <c r="X49" s="119"/>
      <c r="Y49" s="119"/>
      <c r="Z49" s="119"/>
      <c r="AA49" s="119"/>
      <c r="AB49" s="119"/>
      <c r="AC49" s="119"/>
      <c r="AD49" s="119"/>
      <c r="AE49" s="119"/>
      <c r="AF49" s="119"/>
      <c r="AG49" s="119"/>
      <c r="AH49" s="119"/>
      <c r="AI49" s="119"/>
      <c r="AJ49" s="119"/>
      <c r="AK49" s="119"/>
      <c r="AL49" s="119"/>
      <c r="AM49" s="119"/>
      <c r="AN49" s="119"/>
      <c r="AO49" s="243"/>
      <c r="AP49" s="119"/>
      <c r="AQ49" s="119"/>
      <c r="AR49" s="119"/>
      <c r="AS49" s="119"/>
      <c r="AT49" s="119"/>
      <c r="AU49" s="119"/>
      <c r="AV49" s="394"/>
      <c r="AW49" s="394"/>
      <c r="AX49" s="394"/>
      <c r="AY49" s="394"/>
      <c r="AZ49" s="394"/>
      <c r="BA49" s="394"/>
      <c r="BB49" s="394"/>
      <c r="BC49" s="394"/>
      <c r="BD49" s="394"/>
      <c r="BE49" s="394"/>
      <c r="BF49" s="394"/>
      <c r="BG49" s="394"/>
      <c r="BH49" s="394"/>
      <c r="BI49" s="394"/>
      <c r="BJ49" s="394"/>
      <c r="BK49" s="119"/>
      <c r="BL49" s="119"/>
      <c r="BM49" s="119"/>
      <c r="BN49" s="119"/>
      <c r="BO49" s="119"/>
      <c r="BP49" s="119"/>
    </row>
    <row r="50" spans="2:68">
      <c r="B50" s="331" t="s">
        <v>583</v>
      </c>
      <c r="C50" s="222">
        <v>162742</v>
      </c>
      <c r="D50" s="269">
        <v>48822</v>
      </c>
      <c r="N50" s="174"/>
      <c r="P50" s="174"/>
      <c r="R50" s="174"/>
      <c r="T50" s="174"/>
      <c r="V50" s="174"/>
      <c r="X50" s="174"/>
      <c r="Y50" s="117"/>
      <c r="Z50" s="174"/>
      <c r="AA50" s="117"/>
      <c r="AB50" s="174"/>
      <c r="AC50" s="117"/>
      <c r="AD50" s="174"/>
      <c r="AE50" s="117"/>
      <c r="AF50" s="174"/>
      <c r="AG50" s="102"/>
      <c r="AH50" s="111"/>
      <c r="AI50" s="102"/>
      <c r="AJ50" s="111"/>
      <c r="AK50" s="111"/>
      <c r="AL50" s="111"/>
      <c r="AM50" s="111"/>
      <c r="AN50" s="335"/>
      <c r="AO50" s="111"/>
      <c r="AP50" s="111"/>
      <c r="AQ50" s="111"/>
      <c r="AR50" s="111"/>
      <c r="AS50" s="111"/>
      <c r="AT50" s="111"/>
      <c r="AU50" s="111"/>
      <c r="AV50" s="393"/>
      <c r="AW50" s="393"/>
      <c r="AX50" s="100"/>
      <c r="AY50" s="393"/>
      <c r="AZ50" s="393"/>
      <c r="BA50" s="100"/>
      <c r="BB50" s="393"/>
      <c r="BC50" s="100"/>
      <c r="BD50" s="100"/>
      <c r="BE50" s="100"/>
      <c r="BF50" s="100"/>
      <c r="BG50" s="100"/>
      <c r="BH50" s="100"/>
      <c r="BI50" s="100"/>
      <c r="BJ50" s="100"/>
      <c r="BK50" s="102"/>
      <c r="BL50" s="102"/>
      <c r="BM50" s="102"/>
      <c r="BN50" s="102"/>
      <c r="BO50" s="102"/>
      <c r="BP50" s="102"/>
    </row>
    <row r="51" spans="2:68">
      <c r="B51" s="332" t="s">
        <v>584</v>
      </c>
      <c r="C51" s="102"/>
      <c r="D51" s="102"/>
      <c r="E51" s="265"/>
      <c r="F51" s="265"/>
      <c r="G51" s="265"/>
      <c r="H51" s="265"/>
      <c r="I51" s="265"/>
      <c r="J51" s="265"/>
      <c r="K51" s="265"/>
      <c r="L51" s="265"/>
      <c r="M51" s="265"/>
      <c r="N51" s="266"/>
      <c r="O51" s="265"/>
      <c r="P51" s="266"/>
      <c r="Q51" s="265"/>
      <c r="R51" s="266"/>
      <c r="S51" s="265"/>
      <c r="T51" s="266"/>
      <c r="U51" s="265"/>
      <c r="V51" s="266"/>
      <c r="W51" s="265"/>
      <c r="X51" s="266"/>
      <c r="Y51" s="267"/>
      <c r="Z51" s="266"/>
      <c r="AA51" s="267"/>
      <c r="AB51" s="266"/>
      <c r="AC51" s="267"/>
      <c r="AD51" s="266"/>
      <c r="AE51" s="267"/>
      <c r="AF51" s="266"/>
      <c r="AG51" s="291"/>
      <c r="AH51" s="268"/>
      <c r="AI51" s="291"/>
      <c r="AJ51" s="268"/>
      <c r="AK51" s="268"/>
      <c r="AL51" s="268"/>
      <c r="AM51" s="309"/>
      <c r="AN51" s="336"/>
      <c r="AO51" s="111"/>
      <c r="AP51" s="111"/>
      <c r="AQ51" s="111"/>
      <c r="AR51" s="111"/>
      <c r="AS51" s="111"/>
      <c r="AT51" s="111"/>
      <c r="AU51" s="102"/>
      <c r="AV51" s="393"/>
      <c r="AW51" s="393"/>
      <c r="AX51" s="100"/>
      <c r="AY51" s="100"/>
      <c r="AZ51" s="100"/>
      <c r="BA51" s="100"/>
      <c r="BB51" s="100"/>
      <c r="BC51" s="100"/>
      <c r="BD51" s="100"/>
      <c r="BE51" s="100"/>
      <c r="BF51" s="100"/>
      <c r="BG51" s="100"/>
      <c r="BH51" s="100"/>
      <c r="BI51" s="100"/>
      <c r="BJ51" s="100"/>
      <c r="BK51" s="102"/>
      <c r="BL51" s="102"/>
      <c r="BM51" s="102"/>
      <c r="BN51" s="102"/>
      <c r="BO51" s="102"/>
      <c r="BP51" s="102"/>
    </row>
    <row r="52" spans="2:68">
      <c r="B52" s="115" t="s">
        <v>659</v>
      </c>
      <c r="C52" s="429">
        <v>117717.30</v>
      </c>
      <c r="D52" s="269">
        <f t="shared" ref="D52:D54" si="58">C52*(1-36%)</f>
        <v>75339.07</v>
      </c>
      <c r="E52" s="102"/>
      <c r="F52" s="102"/>
      <c r="G52" s="102"/>
      <c r="H52" s="102"/>
      <c r="I52" s="102"/>
      <c r="J52" s="102"/>
      <c r="K52" s="102"/>
      <c r="L52" s="102"/>
      <c r="M52" s="102"/>
      <c r="N52" s="111"/>
      <c r="O52" s="102"/>
      <c r="P52" s="111"/>
      <c r="Q52" s="102"/>
      <c r="R52" s="111"/>
      <c r="S52" s="102"/>
      <c r="T52" s="111"/>
      <c r="U52" s="102"/>
      <c r="V52" s="111"/>
      <c r="W52" s="102"/>
      <c r="X52" s="111"/>
      <c r="Y52" s="106"/>
      <c r="Z52" s="111"/>
      <c r="AA52" s="106"/>
      <c r="AB52" s="111"/>
      <c r="AC52" s="106"/>
      <c r="AD52" s="111"/>
      <c r="AE52" s="106"/>
      <c r="AF52" s="111"/>
      <c r="AG52" s="102"/>
      <c r="AH52" s="111"/>
      <c r="AI52" s="102"/>
      <c r="AJ52" s="111"/>
      <c r="AK52" s="111"/>
      <c r="AL52" s="111"/>
      <c r="AM52" s="111"/>
      <c r="AN52" s="335"/>
      <c r="AO52" s="111"/>
      <c r="AP52" s="111"/>
      <c r="AQ52" s="111"/>
      <c r="AR52" s="111"/>
      <c r="AS52" s="102"/>
      <c r="AT52" s="111"/>
      <c r="AU52" s="102"/>
      <c r="AV52" s="151"/>
      <c r="AW52" s="393"/>
      <c r="AX52" s="269"/>
      <c r="AY52" s="269"/>
      <c r="AZ52" s="269">
        <v>75339.07</v>
      </c>
      <c r="BA52" s="101"/>
      <c r="BB52" s="269"/>
      <c r="BC52" s="269"/>
      <c r="BD52" s="269"/>
      <c r="BE52" s="100"/>
      <c r="BF52" s="100"/>
      <c r="BG52" s="100"/>
      <c r="BH52" s="100"/>
      <c r="BI52" s="100"/>
      <c r="BJ52" s="100"/>
      <c r="BK52" s="102"/>
      <c r="BL52" s="102"/>
      <c r="BM52" s="102"/>
      <c r="BN52" s="102"/>
      <c r="BO52" s="102"/>
      <c r="BP52" s="102"/>
    </row>
    <row r="53" spans="2:68">
      <c r="B53" s="115" t="s">
        <v>661</v>
      </c>
      <c r="C53" s="386">
        <v>140363</v>
      </c>
      <c r="D53" s="269">
        <f t="shared" si="58"/>
        <v>89832</v>
      </c>
      <c r="E53" s="333"/>
      <c r="F53" s="333"/>
      <c r="G53" s="333"/>
      <c r="H53" s="333"/>
      <c r="I53" s="333"/>
      <c r="J53" s="333"/>
      <c r="K53" s="333"/>
      <c r="L53" s="333"/>
      <c r="M53" s="333"/>
      <c r="N53" s="310"/>
      <c r="O53" s="333"/>
      <c r="P53" s="310"/>
      <c r="Q53" s="333"/>
      <c r="R53" s="310"/>
      <c r="S53" s="333"/>
      <c r="T53" s="310"/>
      <c r="U53" s="333"/>
      <c r="V53" s="310"/>
      <c r="W53" s="333"/>
      <c r="X53" s="310"/>
      <c r="Y53" s="334"/>
      <c r="Z53" s="310"/>
      <c r="AA53" s="334"/>
      <c r="AB53" s="310"/>
      <c r="AC53" s="334"/>
      <c r="AD53" s="310"/>
      <c r="AE53" s="334"/>
      <c r="AF53" s="310"/>
      <c r="AG53" s="333"/>
      <c r="AH53" s="310"/>
      <c r="AI53" s="333"/>
      <c r="AJ53" s="310"/>
      <c r="AK53" s="310"/>
      <c r="AL53" s="310"/>
      <c r="AM53" s="310"/>
      <c r="AN53" s="310"/>
      <c r="AO53" s="111"/>
      <c r="AP53" s="111"/>
      <c r="AQ53" s="111"/>
      <c r="AR53" s="111"/>
      <c r="AS53" s="102"/>
      <c r="AT53" s="111"/>
      <c r="AU53" s="102"/>
      <c r="AV53" s="393"/>
      <c r="AW53" s="393"/>
      <c r="AX53" s="393"/>
      <c r="AY53" s="393"/>
      <c r="AZ53" s="100"/>
      <c r="BA53" s="100"/>
      <c r="BB53" s="420">
        <f>D53/2</f>
        <v>44916</v>
      </c>
      <c r="BC53" s="425"/>
      <c r="BD53" s="420">
        <v>44916</v>
      </c>
      <c r="BE53" s="100"/>
      <c r="BF53" s="393"/>
      <c r="BG53" s="393"/>
      <c r="BH53" s="393"/>
      <c r="BI53" s="393"/>
      <c r="BJ53" s="100"/>
      <c r="BK53" s="102"/>
      <c r="BL53" s="102"/>
      <c r="BM53" s="102"/>
      <c r="BN53" s="102"/>
      <c r="BO53" s="102"/>
      <c r="BP53" s="102"/>
    </row>
    <row r="54" spans="2:68">
      <c r="B54" s="115" t="s">
        <v>660</v>
      </c>
      <c r="C54" s="419">
        <v>140363</v>
      </c>
      <c r="D54" s="269">
        <f t="shared" si="58"/>
        <v>89832</v>
      </c>
      <c r="E54" s="333"/>
      <c r="F54" s="333"/>
      <c r="G54" s="333"/>
      <c r="H54" s="333"/>
      <c r="I54" s="333"/>
      <c r="J54" s="333"/>
      <c r="K54" s="333"/>
      <c r="L54" s="333"/>
      <c r="M54" s="333"/>
      <c r="N54" s="310"/>
      <c r="O54" s="333"/>
      <c r="P54" s="310"/>
      <c r="Q54" s="333"/>
      <c r="R54" s="310"/>
      <c r="S54" s="333"/>
      <c r="T54" s="310"/>
      <c r="U54" s="333"/>
      <c r="V54" s="310"/>
      <c r="W54" s="333"/>
      <c r="X54" s="310"/>
      <c r="Y54" s="334"/>
      <c r="Z54" s="310"/>
      <c r="AA54" s="334"/>
      <c r="AB54" s="310"/>
      <c r="AC54" s="334"/>
      <c r="AD54" s="310"/>
      <c r="AE54" s="334"/>
      <c r="AF54" s="310"/>
      <c r="AG54" s="333"/>
      <c r="AH54" s="310"/>
      <c r="AI54" s="333"/>
      <c r="AJ54" s="310"/>
      <c r="AK54" s="310"/>
      <c r="AL54" s="310"/>
      <c r="AM54" s="310"/>
      <c r="AN54" s="310"/>
      <c r="AO54" s="111"/>
      <c r="AP54" s="111"/>
      <c r="AQ54" s="111"/>
      <c r="AR54" s="111"/>
      <c r="AS54" s="102"/>
      <c r="AT54" s="111"/>
      <c r="AU54" s="102"/>
      <c r="AV54" s="393"/>
      <c r="AW54" s="393"/>
      <c r="AX54" s="393"/>
      <c r="AY54" s="393"/>
      <c r="AZ54" s="100"/>
      <c r="BA54" s="100"/>
      <c r="BB54" s="393"/>
      <c r="BC54" s="100"/>
      <c r="BD54" s="393"/>
      <c r="BE54" s="100"/>
      <c r="BF54" s="420">
        <v>44916</v>
      </c>
      <c r="BG54" s="420"/>
      <c r="BH54" s="420">
        <v>44916</v>
      </c>
      <c r="BI54" s="393"/>
      <c r="BJ54" s="100"/>
      <c r="BK54" s="102"/>
      <c r="BL54" s="102"/>
      <c r="BM54" s="102"/>
      <c r="BN54" s="102"/>
      <c r="BO54" s="102"/>
      <c r="BP54" s="102"/>
    </row>
    <row r="55" spans="2:68">
      <c r="B55" s="115" t="s">
        <v>603</v>
      </c>
      <c r="C55" s="418">
        <v>32770.559999999998</v>
      </c>
      <c r="D55" s="269">
        <f t="shared" ref="D55:D57" si="59">C55*(1-36%)</f>
        <v>17065.86</v>
      </c>
      <c r="E55" s="102"/>
      <c r="F55" s="102"/>
      <c r="G55" s="102"/>
      <c r="H55" s="102"/>
      <c r="I55" s="102"/>
      <c r="J55" s="102"/>
      <c r="K55" s="102"/>
      <c r="L55" s="102"/>
      <c r="M55" s="102"/>
      <c r="N55" s="111"/>
      <c r="O55" s="102"/>
      <c r="P55" s="111"/>
      <c r="Q55" s="102"/>
      <c r="R55" s="111"/>
      <c r="S55" s="102"/>
      <c r="T55" s="111"/>
      <c r="U55" s="102"/>
      <c r="V55" s="111"/>
      <c r="W55" s="102"/>
      <c r="X55" s="111"/>
      <c r="Y55" s="106"/>
      <c r="Z55" s="111"/>
      <c r="AA55" s="106"/>
      <c r="AB55" s="111"/>
      <c r="AC55" s="106"/>
      <c r="AD55" s="111"/>
      <c r="AE55" s="106"/>
      <c r="AF55" s="111"/>
      <c r="AG55" s="102"/>
      <c r="AH55" s="111"/>
      <c r="AI55" s="102"/>
      <c r="AJ55" s="111"/>
      <c r="AK55" s="111"/>
      <c r="AL55" s="111"/>
      <c r="AM55" s="111"/>
      <c r="AN55" s="111"/>
      <c r="AO55" s="111"/>
      <c r="AP55" s="111"/>
      <c r="AQ55" s="111"/>
      <c r="AR55" s="111"/>
      <c r="AS55" s="102"/>
      <c r="AT55" s="111"/>
      <c r="AU55" s="102"/>
      <c r="AV55" s="100"/>
      <c r="AW55" s="393"/>
      <c r="AX55" s="100"/>
      <c r="AY55" s="393"/>
      <c r="AZ55" s="100"/>
      <c r="BA55" s="100"/>
      <c r="BB55" s="393">
        <v>17065.86</v>
      </c>
      <c r="BC55" s="100"/>
      <c r="BD55" s="100"/>
      <c r="BE55" s="100"/>
      <c r="BF55" s="100"/>
      <c r="BG55" s="100"/>
      <c r="BH55" s="100"/>
      <c r="BI55" s="100"/>
      <c r="BJ55" s="100"/>
      <c r="BK55" s="102"/>
      <c r="BL55" s="102"/>
      <c r="BM55" s="102"/>
      <c r="BN55" s="102"/>
      <c r="BO55" s="102"/>
      <c r="BP55" s="102"/>
    </row>
    <row r="56" spans="2:68">
      <c r="B56" s="290" t="s">
        <v>689</v>
      </c>
      <c r="C56" s="19">
        <v>33348.36</v>
      </c>
      <c r="D56" s="422">
        <f t="shared" si="59"/>
        <v>21342.95</v>
      </c>
      <c r="N56" s="174"/>
      <c r="P56" s="174"/>
      <c r="R56" s="174"/>
      <c r="T56" s="174"/>
      <c r="V56" s="174"/>
      <c r="X56" s="174"/>
      <c r="Y56" s="117"/>
      <c r="Z56" s="174"/>
      <c r="AA56" s="117"/>
      <c r="AB56" s="174"/>
      <c r="AC56" s="117"/>
      <c r="AD56" s="174"/>
      <c r="AE56" s="117"/>
      <c r="AF56" s="174"/>
      <c r="AH56" s="174"/>
      <c r="AJ56" s="174"/>
      <c r="AK56" s="174"/>
      <c r="AL56" s="174"/>
      <c r="AM56" s="174"/>
      <c r="AN56" s="174"/>
      <c r="AO56" s="174"/>
      <c r="AP56" s="174"/>
      <c r="AQ56" s="174"/>
      <c r="AR56" s="174"/>
      <c r="AT56" s="174"/>
      <c r="AV56" s="147"/>
      <c r="AW56" s="393"/>
      <c r="AX56" s="100"/>
      <c r="AY56" s="393"/>
      <c r="AZ56" s="100"/>
      <c r="BA56" s="100"/>
      <c r="BB56" s="420">
        <v>21342.95</v>
      </c>
      <c r="BC56" s="100"/>
      <c r="BD56" s="100"/>
      <c r="BE56" s="100"/>
      <c r="BF56" s="100"/>
      <c r="BG56" s="100"/>
      <c r="BH56" s="100"/>
      <c r="BI56" s="100"/>
      <c r="BJ56" s="100"/>
      <c r="BK56" s="102"/>
      <c r="BL56" s="102"/>
      <c r="BM56" s="102"/>
      <c r="BN56" s="102"/>
      <c r="BO56" s="102"/>
      <c r="BP56" s="102"/>
    </row>
    <row r="57" spans="2:68">
      <c r="B57" s="5" t="s">
        <v>696</v>
      </c>
      <c r="C57" s="386">
        <v>60027</v>
      </c>
      <c r="D57" s="269">
        <f t="shared" si="59"/>
        <v>38417.06</v>
      </c>
      <c r="N57" s="174"/>
      <c r="P57" s="174"/>
      <c r="R57" s="174"/>
      <c r="T57" s="174"/>
      <c r="V57" s="174"/>
      <c r="X57" s="174"/>
      <c r="Y57" s="117"/>
      <c r="Z57" s="174"/>
      <c r="AA57" s="117"/>
      <c r="AB57" s="174"/>
      <c r="AC57" s="117"/>
      <c r="AD57" s="174"/>
      <c r="AE57" s="117"/>
      <c r="AF57" s="174"/>
      <c r="AH57" s="174"/>
      <c r="AJ57" s="174"/>
      <c r="AK57" s="174"/>
      <c r="AL57" s="174"/>
      <c r="AM57" s="174"/>
      <c r="AN57" s="174"/>
      <c r="AO57" s="174"/>
      <c r="AP57" s="174"/>
      <c r="AQ57" s="174"/>
      <c r="AR57" s="174"/>
      <c r="AT57" s="174"/>
      <c r="AV57" s="147"/>
      <c r="AW57" s="269"/>
      <c r="AX57" s="101"/>
      <c r="AY57" s="269"/>
      <c r="AZ57" s="101"/>
      <c r="BA57" s="101"/>
      <c r="BB57" s="420">
        <f>D57/4</f>
        <v>9604.26</v>
      </c>
      <c r="BC57" s="425"/>
      <c r="BD57" s="420">
        <v>9604.26</v>
      </c>
      <c r="BE57" s="425"/>
      <c r="BF57" s="420">
        <v>9604.26</v>
      </c>
      <c r="BG57" s="425"/>
      <c r="BH57" s="420">
        <v>9604.26</v>
      </c>
      <c r="BI57" s="101"/>
      <c r="BJ57" s="101"/>
      <c r="BK57" s="102"/>
      <c r="BL57" s="102"/>
      <c r="BM57" s="102"/>
      <c r="BN57" s="102"/>
      <c r="BO57" s="102"/>
      <c r="BP57" s="102"/>
    </row>
    <row r="58" spans="2:68">
      <c r="B58" s="116" t="s">
        <v>207</v>
      </c>
      <c r="C58" s="120"/>
      <c r="D58" s="120">
        <f>SUM(D50:D55)</f>
        <v>320891.89</v>
      </c>
      <c r="Z58" s="117"/>
    </row>
    <row r="59" spans="2:68">
      <c r="B59" s="23"/>
      <c r="C59" s="23"/>
      <c r="D59" s="173"/>
      <c r="Q59" s="151"/>
      <c r="V59" s="126"/>
      <c r="AF59" s="126"/>
      <c r="AH59" s="153"/>
      <c r="AI59" s="227"/>
      <c r="AV59" s="117"/>
      <c r="AX59" s="23"/>
    </row>
    <row r="60" spans="2:68" ht="16">
      <c r="B60" s="23"/>
      <c r="C60" s="507">
        <f>SUM(C46:C52)</f>
        <v>461459.58999999997</v>
      </c>
      <c r="D60" s="121"/>
      <c r="N60" s="140"/>
      <c r="P60" s="121"/>
      <c r="T60" s="167"/>
      <c r="U60" s="153"/>
      <c r="V60" s="147"/>
      <c r="W60" s="168"/>
      <c r="X60" s="199"/>
      <c r="Z60" s="147"/>
      <c r="AF60" s="23"/>
      <c r="AH60" s="135"/>
      <c r="AI60" s="227"/>
      <c r="AK60" s="23"/>
      <c r="AN60" s="23"/>
      <c r="AR60" s="364"/>
      <c r="AW60" s="23"/>
      <c r="AY60" s="23"/>
    </row>
    <row r="61" spans="2:68" ht="16">
      <c r="D61" s="151"/>
      <c r="P61" s="147"/>
      <c r="U61" s="169"/>
      <c r="V61" s="147"/>
      <c r="Z61" s="135"/>
      <c r="AR61" s="168"/>
      <c r="AW61" s="384"/>
      <c r="AX61" s="121"/>
    </row>
    <row r="62" spans="2:68">
      <c r="C62" s="23"/>
      <c r="D62" s="23"/>
      <c r="E62" s="23"/>
      <c r="F62" s="23"/>
      <c r="G62" s="23"/>
      <c r="H62" s="23"/>
      <c r="V62" s="23"/>
      <c r="AB62" s="168"/>
      <c r="AM62" s="23"/>
      <c r="AP62" s="151"/>
      <c r="AR62" s="168"/>
      <c r="AU62" s="134"/>
      <c r="AW62" s="151"/>
      <c r="AX62" s="377"/>
    </row>
    <row r="63" spans="2:68">
      <c r="C63" s="147"/>
      <c r="D63" s="23"/>
      <c r="E63" s="387"/>
      <c r="F63" s="102"/>
      <c r="G63" s="102"/>
      <c r="H63" s="102"/>
      <c r="I63" s="102"/>
      <c r="J63" s="102"/>
      <c r="K63" s="102"/>
      <c r="L63" s="102"/>
      <c r="M63" s="102"/>
      <c r="N63" s="102"/>
      <c r="O63" s="102"/>
      <c r="P63" s="102"/>
      <c r="Q63" s="102"/>
      <c r="R63" s="102"/>
      <c r="S63" s="102"/>
      <c r="T63" s="102"/>
      <c r="U63" s="102"/>
      <c r="V63" s="100"/>
      <c r="W63" s="102"/>
      <c r="X63" s="102"/>
      <c r="Y63" s="102"/>
      <c r="Z63" s="102"/>
      <c r="AA63" s="102"/>
      <c r="AB63" s="361"/>
      <c r="AC63" s="102"/>
      <c r="AD63" s="102"/>
      <c r="AE63" s="102"/>
      <c r="AF63" s="102"/>
      <c r="AG63" s="102"/>
      <c r="AH63" s="102"/>
      <c r="AI63" s="102"/>
      <c r="AJ63" s="102"/>
      <c r="AK63" s="102"/>
      <c r="AL63" s="102"/>
      <c r="AM63" s="142"/>
      <c r="AN63" s="102"/>
      <c r="AO63" s="242"/>
      <c r="AP63" s="142"/>
      <c r="AQ63" s="102" t="s">
        <v>99</v>
      </c>
      <c r="AR63" s="102" t="s">
        <v>599</v>
      </c>
      <c r="AS63" s="102" t="s">
        <v>600</v>
      </c>
      <c r="AW63" s="151"/>
    </row>
    <row r="64" spans="2:68">
      <c r="C64" s="23"/>
      <c r="D64" s="23"/>
      <c r="E64" s="387"/>
      <c r="F64" s="102"/>
      <c r="G64" s="102"/>
      <c r="H64" s="102"/>
      <c r="I64" s="102"/>
      <c r="J64" s="102"/>
      <c r="K64" s="102"/>
      <c r="L64" s="102"/>
      <c r="M64" s="102"/>
      <c r="N64" s="102"/>
      <c r="O64" s="102"/>
      <c r="P64" s="102"/>
      <c r="Q64" s="102"/>
      <c r="R64" s="102"/>
      <c r="S64" s="102"/>
      <c r="T64" s="102"/>
      <c r="U64" s="102"/>
      <c r="V64" s="102"/>
      <c r="W64" s="102"/>
      <c r="X64" s="102"/>
      <c r="Y64" s="102"/>
      <c r="Z64" s="102"/>
      <c r="AA64" s="102"/>
      <c r="AB64" s="361"/>
      <c r="AC64" s="102"/>
      <c r="AD64" s="102"/>
      <c r="AE64" s="102"/>
      <c r="AF64" s="102"/>
      <c r="AG64" s="102"/>
      <c r="AH64" s="102"/>
      <c r="AI64" s="102"/>
      <c r="AJ64" s="102"/>
      <c r="AK64" s="102"/>
      <c r="AL64" s="102"/>
      <c r="AM64" s="142"/>
      <c r="AN64" s="102"/>
      <c r="AO64" s="242"/>
      <c r="AP64" s="142"/>
      <c r="AQ64" s="102">
        <v>112</v>
      </c>
      <c r="AR64" s="102">
        <f>AQ64*0.7</f>
        <v>63.79</v>
      </c>
      <c r="AS64" s="102">
        <f>AR64*0.5</f>
        <v>31.90</v>
      </c>
    </row>
    <row r="65" spans="2:45">
      <c r="E65" s="387"/>
      <c r="F65" s="102"/>
      <c r="G65" s="102"/>
      <c r="H65" s="102"/>
      <c r="I65" s="102"/>
      <c r="J65" s="102"/>
      <c r="K65" s="102"/>
      <c r="L65" s="102"/>
      <c r="M65" s="102"/>
      <c r="N65" s="102"/>
      <c r="O65" s="102"/>
      <c r="P65" s="102"/>
      <c r="Q65" s="102"/>
      <c r="R65" s="102"/>
      <c r="S65" s="102"/>
      <c r="T65" s="102"/>
      <c r="U65" s="102"/>
      <c r="V65" s="142"/>
      <c r="W65" s="102"/>
      <c r="X65" s="102"/>
      <c r="Y65" s="102"/>
      <c r="Z65" s="102"/>
      <c r="AA65" s="102"/>
      <c r="AB65" s="361"/>
      <c r="AC65" s="102"/>
      <c r="AD65" s="102"/>
      <c r="AE65" s="102"/>
      <c r="AF65" s="102"/>
      <c r="AG65" s="102"/>
      <c r="AH65" s="102"/>
      <c r="AI65" s="102"/>
      <c r="AJ65" s="102"/>
      <c r="AK65" s="102"/>
      <c r="AL65" s="102"/>
      <c r="AM65" s="102"/>
      <c r="AN65" s="102"/>
      <c r="AO65" s="242"/>
      <c r="AP65" s="102"/>
      <c r="AQ65" s="102">
        <v>39.78</v>
      </c>
      <c r="AR65" s="102">
        <f>AQ65*0.875</f>
        <v>34.81</v>
      </c>
      <c r="AS65" s="102"/>
    </row>
    <row r="66" spans="2:45">
      <c r="B66" s="126"/>
      <c r="C66" s="23"/>
      <c r="D66" s="147"/>
      <c r="X66" s="121"/>
      <c r="AB66" s="193"/>
    </row>
    <row r="67" spans="2:45">
      <c r="Z67" s="147"/>
      <c r="AB67" s="147"/>
      <c r="AD67" s="147"/>
    </row>
    <row r="68" spans="2:45">
      <c r="Z68" s="23"/>
      <c r="AB68" s="147"/>
      <c r="AI68" s="161"/>
    </row>
    <row r="69" spans="2:45">
      <c r="D69" s="147"/>
      <c r="AB69" s="147"/>
    </row>
    <row r="70" spans="2:45">
      <c r="B70" s="151"/>
      <c r="C70" s="23"/>
    </row>
    <row r="71" spans="2:45">
      <c r="AB71" s="23"/>
    </row>
    <row r="72" spans="2:45">
      <c r="AB72" s="23"/>
    </row>
    <row r="74" spans="2:45">
      <c r="AQ74" s="168"/>
    </row>
    <row r="75" spans="2:45">
      <c r="AP75" s="168"/>
    </row>
    <row r="77" spans="2:45">
      <c r="AN77" s="168"/>
    </row>
    <row r="78" spans="2:45">
      <c r="AN78" s="168"/>
    </row>
    <row r="79" spans="2:45">
      <c r="AN79" s="168"/>
    </row>
    <row r="80" spans="2:45">
      <c r="AN80" s="168"/>
    </row>
    <row r="81" spans="40:40">
      <c r="AN81" s="168"/>
    </row>
    <row r="82" spans="40:40">
      <c r="AN82" s="168"/>
    </row>
  </sheetData>
  <mergeCells count="35">
    <mergeCell ref="BA1:BX1"/>
    <mergeCell ref="BK2:BL2"/>
    <mergeCell ref="BM2:BN2"/>
    <mergeCell ref="BO2:BP2"/>
    <mergeCell ref="BQ2:BR2"/>
    <mergeCell ref="BS2:BT2"/>
    <mergeCell ref="BU2:BV2"/>
    <mergeCell ref="BW2:BX2"/>
    <mergeCell ref="BA2:BB2"/>
    <mergeCell ref="BC2:BD2"/>
    <mergeCell ref="BE2:BF2"/>
    <mergeCell ref="BG2:BH2"/>
    <mergeCell ref="BI2:BJ2"/>
    <mergeCell ref="AC1:AZ1"/>
    <mergeCell ref="AK2:AL2"/>
    <mergeCell ref="AM2:AN2"/>
    <mergeCell ref="AO2:AP2"/>
    <mergeCell ref="AQ2:AR2"/>
    <mergeCell ref="AC2:AD2"/>
    <mergeCell ref="AE2:AF2"/>
    <mergeCell ref="AI2:AJ2"/>
    <mergeCell ref="AG2:AH2"/>
    <mergeCell ref="AS2:AT2"/>
    <mergeCell ref="AU2:AV2"/>
    <mergeCell ref="AW2:AX2"/>
    <mergeCell ref="AY2:AZ2"/>
    <mergeCell ref="E1:AB1"/>
    <mergeCell ref="W2:X2"/>
    <mergeCell ref="Y2:Z2"/>
    <mergeCell ref="E2:F2"/>
    <mergeCell ref="C32:D32"/>
    <mergeCell ref="G2:H2"/>
    <mergeCell ref="I2:J2"/>
    <mergeCell ref="K2:L2"/>
    <mergeCell ref="AA2:AB2"/>
  </mergeCells>
  <phoneticPr fontId="51" type="noConversion"/>
  <conditionalFormatting sqref="B5">
    <cfRule type="duplicateValues" dxfId="60" priority="2"/>
  </conditionalFormatting>
  <conditionalFormatting sqref="B6:B9">
    <cfRule type="duplicateValues" dxfId="59" priority="54"/>
  </conditionalFormatting>
  <conditionalFormatting sqref="B6:B32">
    <cfRule type="duplicateValues" dxfId="58" priority="56"/>
  </conditionalFormatting>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A49"/>
  <sheetViews>
    <sheetView zoomScale="70" zoomScaleNormal="70" workbookViewId="0">
      <pane xSplit="8" ySplit="9" topLeftCell="AM10" activePane="bottomRight" state="frozen"/>
      <selection activeCell="AN41" activeCellId="1" sqref="AN38 AN41"/>
      <selection pane="topRight" activeCell="AN41" activeCellId="1" sqref="AN38 AN41"/>
      <selection pane="bottomLeft" activeCell="AN41" activeCellId="1" sqref="AN38 AN41"/>
      <selection pane="bottomRight" activeCell="AP18" sqref="AP18"/>
    </sheetView>
  </sheetViews>
  <sheetFormatPr defaultColWidth="12.1796875" defaultRowHeight="14.5"/>
  <cols>
    <col min="1" max="1" width="16.1796875" style="9" customWidth="1"/>
    <col min="2" max="2" width="15.453125" style="9" customWidth="1"/>
    <col min="3" max="3" width="11.1796875" style="9" customWidth="1"/>
    <col min="4" max="4" width="13.81640625" style="9" customWidth="1"/>
    <col min="5" max="5" width="12.54296875" style="9" bestFit="1" customWidth="1"/>
    <col min="6" max="6" width="21.81640625" style="9" customWidth="1"/>
    <col min="7" max="7" width="20.1796875" style="9" customWidth="1"/>
    <col min="8" max="8" width="19.54296875" style="9" customWidth="1"/>
    <col min="9" max="9" width="18.1796875" style="9" hidden="1" customWidth="1"/>
    <col min="10" max="10" width="18.81640625" style="9" hidden="1" customWidth="1"/>
    <col min="11" max="11" width="18.54296875" style="9" hidden="1" customWidth="1"/>
    <col min="12" max="12" width="18.81640625" style="9" hidden="1" customWidth="1"/>
    <col min="13" max="13" width="20.81640625" style="9" hidden="1" customWidth="1"/>
    <col min="14" max="14" width="19.26953125" style="9" hidden="1" customWidth="1"/>
    <col min="15" max="15" width="18.1796875" style="9" hidden="1" customWidth="1"/>
    <col min="16" max="16" width="18.54296875" style="9" hidden="1" customWidth="1"/>
    <col min="17" max="17" width="19.1796875" style="9" hidden="1" customWidth="1"/>
    <col min="18" max="18" width="18.1796875" style="9" hidden="1" customWidth="1"/>
    <col min="19" max="19" width="20.453125" style="9" hidden="1" customWidth="1"/>
    <col min="20" max="20" width="18.81640625" style="9" hidden="1" customWidth="1"/>
    <col min="21" max="21" width="18.1796875" style="9" hidden="1" customWidth="1"/>
    <col min="22" max="22" width="18.81640625" style="9" hidden="1" customWidth="1"/>
    <col min="23" max="23" width="18.54296875" style="9" hidden="1" customWidth="1"/>
    <col min="24" max="24" width="12.54296875" style="9" hidden="1" customWidth="1"/>
    <col min="25" max="25" width="11" style="9" hidden="1" customWidth="1"/>
    <col min="26" max="27" width="12.1796875" style="9" hidden="1" customWidth="1"/>
    <col min="28" max="28" width="12" style="9" hidden="1" customWidth="1"/>
    <col min="29" max="29" width="12.81640625" style="9" hidden="1" customWidth="1"/>
    <col min="30" max="30" width="13.453125" style="9" hidden="1" customWidth="1"/>
    <col min="31" max="31" width="16.54296875" style="9" hidden="1" customWidth="1"/>
    <col min="32" max="32" width="13.54296875" style="9" hidden="1" customWidth="1"/>
    <col min="33" max="34" width="12.1796875" style="9" hidden="1" customWidth="1"/>
    <col min="35" max="36" width="0" style="9" hidden="1" customWidth="1"/>
    <col min="37" max="37" width="12.54296875" style="9" hidden="1" customWidth="1"/>
    <col min="38" max="38" width="0" style="9" hidden="1" customWidth="1"/>
    <col min="39" max="39" width="13" style="9" customWidth="1"/>
    <col min="40" max="297" width="12.1796875" style="9"/>
    <col min="298" max="618" width="12.1796875" style="9" bestFit="1"/>
    <col min="619" max="16384" width="12.1796875" style="9"/>
  </cols>
  <sheetData>
    <row r="1" spans="1:53">
      <c r="A1" s="39"/>
      <c r="B1" s="39"/>
      <c r="C1" s="39"/>
      <c r="D1" s="39"/>
      <c r="E1" s="39"/>
      <c r="F1" s="39"/>
      <c r="H1" s="40"/>
      <c r="I1" s="41"/>
      <c r="J1" s="41"/>
      <c r="K1" s="41"/>
      <c r="L1" s="41"/>
      <c r="M1" s="41"/>
      <c r="N1" s="41"/>
      <c r="O1" s="41"/>
      <c r="P1" s="41"/>
      <c r="Q1" s="41"/>
      <c r="R1" s="41"/>
      <c r="S1" s="41"/>
      <c r="T1" s="41"/>
      <c r="U1" s="41"/>
      <c r="V1" s="41"/>
      <c r="W1" s="41"/>
    </row>
    <row r="2" spans="1:53">
      <c r="A2" s="39"/>
      <c r="B2" s="512" t="s">
        <v>45</v>
      </c>
      <c r="C2" s="512"/>
      <c r="D2" s="39"/>
      <c r="E2" s="147"/>
      <c r="F2" s="39"/>
      <c r="G2" s="41" t="s">
        <v>39</v>
      </c>
      <c r="H2" s="41">
        <f>H4-H5</f>
        <v>520635.13</v>
      </c>
      <c r="I2" s="513" t="s">
        <v>1</v>
      </c>
      <c r="J2" s="514"/>
      <c r="K2" s="515"/>
      <c r="L2" s="516" t="s">
        <v>2</v>
      </c>
      <c r="M2" s="517"/>
      <c r="N2" s="518"/>
      <c r="O2" s="519" t="s">
        <v>3</v>
      </c>
      <c r="P2" s="520"/>
      <c r="Q2" s="521"/>
      <c r="R2" s="522" t="s">
        <v>0</v>
      </c>
      <c r="S2" s="523"/>
      <c r="T2" s="524"/>
      <c r="U2" s="513" t="s">
        <v>1</v>
      </c>
      <c r="V2" s="514"/>
      <c r="W2" s="515"/>
      <c r="X2" s="516" t="s">
        <v>2</v>
      </c>
      <c r="Y2" s="517"/>
      <c r="Z2" s="518"/>
      <c r="AA2" s="519" t="s">
        <v>3</v>
      </c>
      <c r="AB2" s="520"/>
      <c r="AC2" s="521"/>
      <c r="AD2" s="508" t="s">
        <v>0</v>
      </c>
      <c r="AE2" s="508"/>
      <c r="AF2" s="508"/>
      <c r="AG2" s="509" t="s">
        <v>1</v>
      </c>
      <c r="AH2" s="509"/>
      <c r="AI2" s="509"/>
      <c r="AJ2" s="510" t="s">
        <v>2</v>
      </c>
      <c r="AK2" s="510"/>
      <c r="AL2" s="510"/>
      <c r="AM2" s="511" t="s">
        <v>3</v>
      </c>
      <c r="AN2" s="511"/>
      <c r="AO2" s="511"/>
      <c r="AP2" s="508" t="s">
        <v>0</v>
      </c>
      <c r="AQ2" s="508"/>
      <c r="AR2" s="508"/>
      <c r="AS2" s="509" t="s">
        <v>1</v>
      </c>
      <c r="AT2" s="509"/>
      <c r="AU2" s="509"/>
      <c r="AV2" s="510" t="s">
        <v>2</v>
      </c>
      <c r="AW2" s="510"/>
      <c r="AX2" s="510"/>
      <c r="AY2" s="511" t="s">
        <v>3</v>
      </c>
      <c r="AZ2" s="511"/>
      <c r="BA2" s="511"/>
    </row>
    <row r="3" spans="1:53">
      <c r="A3" s="39"/>
      <c r="B3" s="42" t="s">
        <v>46</v>
      </c>
      <c r="C3" s="42" t="s">
        <v>47</v>
      </c>
      <c r="D3" s="39"/>
      <c r="E3" s="19"/>
      <c r="F3" s="39"/>
      <c r="G3" s="2" t="s">
        <v>4</v>
      </c>
      <c r="H3" s="2" t="s">
        <v>5</v>
      </c>
      <c r="I3" s="4" t="s">
        <v>29</v>
      </c>
      <c r="J3" s="4">
        <v>45292</v>
      </c>
      <c r="K3" s="8">
        <v>45323</v>
      </c>
      <c r="L3" s="4">
        <v>45352</v>
      </c>
      <c r="M3" s="4">
        <v>45383</v>
      </c>
      <c r="N3" s="4">
        <v>45413</v>
      </c>
      <c r="O3" s="4">
        <v>45444</v>
      </c>
      <c r="P3" s="4">
        <v>45474</v>
      </c>
      <c r="Q3" s="8">
        <v>45505</v>
      </c>
      <c r="R3" s="4">
        <v>45536</v>
      </c>
      <c r="S3" s="4">
        <v>45566</v>
      </c>
      <c r="T3" s="4">
        <v>45597</v>
      </c>
      <c r="U3" s="4">
        <v>45627</v>
      </c>
      <c r="V3" s="4">
        <v>45658</v>
      </c>
      <c r="W3" s="8">
        <v>45689</v>
      </c>
      <c r="X3" s="4">
        <v>45717</v>
      </c>
      <c r="Y3" s="8">
        <v>45748</v>
      </c>
      <c r="Z3" s="4">
        <v>45778</v>
      </c>
      <c r="AA3" s="8">
        <v>45809</v>
      </c>
      <c r="AB3" s="4">
        <v>45839</v>
      </c>
      <c r="AC3" s="8">
        <v>45870</v>
      </c>
      <c r="AD3" s="8">
        <v>45901</v>
      </c>
      <c r="AE3" s="8">
        <v>45931</v>
      </c>
      <c r="AF3" s="8">
        <v>45962</v>
      </c>
      <c r="AG3" s="8">
        <v>45992</v>
      </c>
      <c r="AH3" s="8">
        <v>46023</v>
      </c>
      <c r="AI3" s="8">
        <v>46054</v>
      </c>
      <c r="AJ3" s="8">
        <v>46082</v>
      </c>
      <c r="AK3" s="8">
        <v>46113</v>
      </c>
      <c r="AL3" s="8">
        <v>46143</v>
      </c>
      <c r="AM3" s="8">
        <v>46174</v>
      </c>
      <c r="AN3" s="8">
        <v>46204</v>
      </c>
      <c r="AO3" s="8">
        <v>46235</v>
      </c>
      <c r="AP3" s="8">
        <v>46266</v>
      </c>
      <c r="AQ3" s="8">
        <v>46296</v>
      </c>
      <c r="AR3" s="8">
        <v>46327</v>
      </c>
      <c r="AS3" s="8">
        <v>46357</v>
      </c>
      <c r="AT3" s="8">
        <v>46388</v>
      </c>
      <c r="AU3" s="8">
        <v>46419</v>
      </c>
      <c r="AV3" s="8">
        <v>46447</v>
      </c>
      <c r="AW3" s="8">
        <v>46478</v>
      </c>
      <c r="AX3" s="8">
        <v>46508</v>
      </c>
      <c r="AY3" s="8">
        <v>46539</v>
      </c>
      <c r="AZ3" s="8">
        <v>46569</v>
      </c>
      <c r="BA3" s="8">
        <v>46600</v>
      </c>
    </row>
    <row r="4" spans="1:53">
      <c r="A4" s="43" t="s">
        <v>100</v>
      </c>
      <c r="B4" s="44" t="s">
        <v>23</v>
      </c>
      <c r="C4" s="44" t="s">
        <v>27</v>
      </c>
      <c r="D4" s="39"/>
      <c r="E4" s="160"/>
      <c r="F4" s="39"/>
      <c r="G4" s="45" t="s">
        <v>32</v>
      </c>
      <c r="H4" s="46">
        <f>IFERROR(SUM(I4:AC4),0)</f>
        <v>1499689.86</v>
      </c>
      <c r="I4" s="47">
        <v>360376.27</v>
      </c>
      <c r="J4" s="47">
        <v>61161.80</v>
      </c>
      <c r="K4" s="47">
        <v>61899.73</v>
      </c>
      <c r="L4" s="47">
        <v>66615.16</v>
      </c>
      <c r="M4" s="47">
        <v>50361.14</v>
      </c>
      <c r="N4" s="47">
        <v>51876.25</v>
      </c>
      <c r="O4" s="47">
        <v>18347.39</v>
      </c>
      <c r="P4" s="47">
        <v>43563.13</v>
      </c>
      <c r="Q4" s="47">
        <v>8695.04</v>
      </c>
      <c r="R4" s="47">
        <v>57596.02</v>
      </c>
      <c r="S4" s="47">
        <v>66021.04</v>
      </c>
      <c r="T4" s="47">
        <v>59697.77</v>
      </c>
      <c r="U4" s="47">
        <v>23513.13</v>
      </c>
      <c r="V4" s="47">
        <v>50702.88</v>
      </c>
      <c r="W4" s="47">
        <v>54412.07</v>
      </c>
      <c r="X4" s="47">
        <v>85770.32</v>
      </c>
      <c r="Y4" s="47">
        <v>49284.44</v>
      </c>
      <c r="Z4" s="47">
        <v>108004.92</v>
      </c>
      <c r="AA4" s="47">
        <v>101741.81</v>
      </c>
      <c r="AB4" s="47">
        <v>56651.25</v>
      </c>
      <c r="AC4" s="47">
        <v>63398.30</v>
      </c>
      <c r="AD4" s="47" cm="1">
        <f t="array" aca="1" ref="AD4" ca="1">SUMPRODUCT(SUBTOTAL(109,OFFSET(AD$10,ROW(AD$10:AD$266)-ROW(AD$10),,1)),--($G$10:$G$266 = $G4))</f>
        <v>115090.81</v>
      </c>
      <c r="AE4" s="47" cm="1">
        <f t="array" aca="1" ref="AE4" ca="1">SUMPRODUCT(SUBTOTAL(109,OFFSET(AE$10,ROW(AE$10:AE$266)-ROW(AE$10),,1)),--($G$10:$G$266 = $G4))</f>
        <v>155422.54</v>
      </c>
      <c r="AF4" s="47" cm="1">
        <f t="array" aca="1" ref="AF4" ca="1">SUMPRODUCT(SUBTOTAL(109,OFFSET(AF$10,ROW(AF$10:AF$266)-ROW(AF$10),,1)),--($G$10:$G$266 = $G4))</f>
        <v>121659.79</v>
      </c>
      <c r="AG4" s="47" cm="1">
        <f t="array" aca="1" ref="AG4" ca="1">SUMPRODUCT(SUBTOTAL(109,OFFSET(AG$10,ROW(AG$10:AG$266)-ROW(AG$10),,1)),--($G$10:$G$266 = $G4))</f>
        <v>105805.30</v>
      </c>
      <c r="AH4" s="47" cm="1">
        <f t="array" aca="1" ref="AH4" ca="1">SUMPRODUCT(SUBTOTAL(109,OFFSET(AH$10,ROW(AH$10:AH$266)-ROW(AH$10),,1)),--($G$10:$G$266 = $G4))</f>
        <v>115897.59</v>
      </c>
      <c r="AI4" s="47" cm="1">
        <f t="array" aca="1" ref="AI4" ca="1">SUMPRODUCT(SUBTOTAL(109,OFFSET(AI$10,ROW(AI$10:AI$266)-ROW(AI$10),,1)),--($G$10:$G$266 = $G4))</f>
        <v>147251.08</v>
      </c>
      <c r="AJ4" s="47" cm="1">
        <f t="array" aca="1" ref="AJ4" ca="1">SUMPRODUCT(SUBTOTAL(109,OFFSET(AJ$10,ROW(AJ$10:AJ$266)-ROW(AJ$10),,1)),--($G$10:$G$266 = $G4))</f>
        <v>124738.80</v>
      </c>
      <c r="AK4" s="47" cm="1">
        <f t="array" aca="1" ref="AK4" ca="1">SUMPRODUCT(SUBTOTAL(109,OFFSET(AK$10,ROW(AK$10:AK$266)-ROW(AK$10),,1)),--($G$10:$G$266 = $G4))</f>
        <v>172298.89</v>
      </c>
      <c r="AL4" s="47" cm="1">
        <f t="array" aca="1" ref="AL4" ca="1">SUMPRODUCT(SUBTOTAL(109,OFFSET(AL$10,ROW(AL$10:AL$266)-ROW(AL$10),,1)),--($G$10:$G$266 = $G4))</f>
        <v>137979.80</v>
      </c>
      <c r="AM4" s="47" cm="1">
        <f t="array" aca="1" ref="AM4" ca="1">SUMPRODUCT(SUBTOTAL(109,OFFSET(AM$10,ROW(AM$10:AM$266)-ROW(AM$10),,1)),--($G$10:$G$266 = $G4))</f>
        <v>88660.39</v>
      </c>
      <c r="AN4" s="47" cm="1">
        <f t="array" aca="1" ref="AN4" ca="1">SUMPRODUCT(SUBTOTAL(109,OFFSET(AN$10,ROW(AN$10:AN$266)-ROW(AN$10),,1)),--($G$10:$G$266 = $G4))</f>
        <v>81348.48</v>
      </c>
      <c r="AO4" s="47" cm="1">
        <f t="array" aca="1" ref="AO4" ca="1">SUMPRODUCT(SUBTOTAL(109,OFFSET(AO$10,ROW(AO$10:AO$266)-ROW(AO$10),,1)),--($G$10:$G$266 = $G4))</f>
        <v>105610.56</v>
      </c>
      <c r="AP4" s="47" cm="1">
        <f t="array" aca="1" ref="AP4" ca="1">SUMPRODUCT(SUBTOTAL(109,OFFSET(AP$10,ROW(AP$10:AP$266)-ROW(AP$10),,1)),--($G$10:$G$266 = $G4))</f>
        <v>10580.63</v>
      </c>
      <c r="AQ4" s="47" cm="1">
        <f t="array" aca="1" ref="AQ4" ca="1">SUMPRODUCT(SUBTOTAL(109,OFFSET(AQ$10,ROW(AQ$10:AQ$266)-ROW(AQ$10),,1)),--($G$10:$G$266 = $G4))</f>
        <v>10580.63</v>
      </c>
      <c r="AR4" s="47" cm="1">
        <f t="array" aca="1" ref="AR4" ca="1">SUMPRODUCT(SUBTOTAL(109,OFFSET(AR$10,ROW(AR$10:AR$266)-ROW(AR$10),,1)),--($G$10:$G$266 = $G4))</f>
        <v>10580.63</v>
      </c>
      <c r="AS4" s="47" cm="1">
        <f t="array" aca="1" ref="AS4" ca="1">SUMPRODUCT(SUBTOTAL(109,OFFSET(AS$10,ROW(AS$10:AS$266)-ROW(AS$10),,1)),--($G$10:$G$266 = $G4))</f>
        <v>10580.63</v>
      </c>
      <c r="AT4" s="47" cm="1">
        <f t="array" aca="1" ref="AT4" ca="1">SUMPRODUCT(SUBTOTAL(109,OFFSET(AT$10,ROW(AT$10:AT$266)-ROW(AT$10),,1)),--($G$10:$G$266 = $G4))</f>
        <v>10580.63</v>
      </c>
      <c r="AU4" s="47" cm="1">
        <f t="array" aca="1" ref="AU4" ca="1">SUMPRODUCT(SUBTOTAL(109,OFFSET(AU$10,ROW(AU$10:AU$266)-ROW(AU$10),,1)),--($G$10:$G$266 = $G4))</f>
        <v>10580.63</v>
      </c>
      <c r="AV4" s="47" cm="1">
        <f t="array" aca="1" ref="AV4" ca="1">SUMPRODUCT(SUBTOTAL(109,OFFSET(AV$10,ROW(AV$10:AV$266)-ROW(AV$10),,1)),--($G$10:$G$266 = $G4))</f>
        <v>10580.63</v>
      </c>
      <c r="AW4" s="47" cm="1">
        <f t="array" aca="1" ref="AW4" ca="1">SUMPRODUCT(SUBTOTAL(109,OFFSET(AW$10,ROW(AW$10:AW$266)-ROW(AW$10),,1)),--($G$10:$G$266 = $G4))</f>
        <v>10580.63</v>
      </c>
      <c r="AX4" s="47" cm="1">
        <f t="array" aca="1" ref="AX4" ca="1">SUMPRODUCT(SUBTOTAL(109,OFFSET(AX$10,ROW(AX$10:AX$266)-ROW(AX$10),,1)),--($G$10:$G$266 = $G4))</f>
        <v>10580.63</v>
      </c>
      <c r="AY4" s="47" cm="1">
        <f t="array" aca="1" ref="AY4" ca="1">SUMPRODUCT(SUBTOTAL(109,OFFSET(AY$10,ROW(AY$10:AY$266)-ROW(AY$10),,1)),--($G$10:$G$266 = $G4))</f>
        <v>10580.63</v>
      </c>
      <c r="AZ4" s="47" cm="1">
        <f t="array" aca="1" ref="AZ4" ca="1">SUMPRODUCT(SUBTOTAL(109,OFFSET(AZ$10,ROW(AZ$10:AZ$266)-ROW(AZ$10),,1)),--($G$10:$G$266 = $G4))</f>
        <v>10580.63</v>
      </c>
      <c r="BA4" s="47" cm="1">
        <f t="array" aca="1" ref="BA4" ca="1">SUMPRODUCT(SUBTOTAL(109,OFFSET(BA$10,ROW(BA$10:BA$266)-ROW(BA$10),,1)),--($G$10:$G$266 = $G4))</f>
        <v>10580.63</v>
      </c>
    </row>
    <row r="5" spans="1:53">
      <c r="A5" s="43" t="s">
        <v>20</v>
      </c>
      <c r="B5" s="44" t="s">
        <v>38</v>
      </c>
      <c r="C5" s="44" t="s">
        <v>48</v>
      </c>
      <c r="D5" s="39"/>
      <c r="E5" s="153"/>
      <c r="F5" s="193"/>
      <c r="G5" s="45" t="s">
        <v>33</v>
      </c>
      <c r="H5" s="46">
        <f>IFERROR(SUM(I5:AC5),0)</f>
        <v>979054.73</v>
      </c>
      <c r="I5" s="47">
        <v>226605.71</v>
      </c>
      <c r="J5" s="47">
        <v>51769.01</v>
      </c>
      <c r="K5" s="47">
        <v>42968.90</v>
      </c>
      <c r="L5" s="47">
        <v>36361.18</v>
      </c>
      <c r="M5" s="47">
        <v>35001.65</v>
      </c>
      <c r="N5" s="47">
        <v>29440.99</v>
      </c>
      <c r="O5" s="47">
        <v>14796.85</v>
      </c>
      <c r="P5" s="47">
        <v>29525.57</v>
      </c>
      <c r="Q5" s="47">
        <v>6524.22</v>
      </c>
      <c r="R5" s="47">
        <v>30888.22</v>
      </c>
      <c r="S5" s="47">
        <v>38762.84</v>
      </c>
      <c r="T5" s="47">
        <v>37408.36</v>
      </c>
      <c r="U5" s="47">
        <v>15935.18</v>
      </c>
      <c r="V5" s="47">
        <v>21277.65</v>
      </c>
      <c r="W5" s="47">
        <v>33883.15</v>
      </c>
      <c r="X5" s="47">
        <v>51425.23</v>
      </c>
      <c r="Y5" s="47">
        <v>40078.35</v>
      </c>
      <c r="Z5" s="47">
        <v>63802.36</v>
      </c>
      <c r="AA5" s="47">
        <v>67838.47</v>
      </c>
      <c r="AB5" s="47">
        <v>70173.23</v>
      </c>
      <c r="AC5" s="47">
        <v>34587.60</v>
      </c>
      <c r="AD5" s="47">
        <f t="shared" ref="AD5:BA5" si="0">SUM(AD11,AD18,AD24:AD24)</f>
        <v>62602.34</v>
      </c>
      <c r="AE5" s="47">
        <f t="shared" si="0"/>
        <v>73208.14</v>
      </c>
      <c r="AF5" s="47">
        <f t="shared" si="0"/>
        <v>74792.41</v>
      </c>
      <c r="AG5" s="47">
        <f t="shared" si="0"/>
        <v>66698.34</v>
      </c>
      <c r="AH5" s="47">
        <f t="shared" si="0"/>
        <v>73144.40</v>
      </c>
      <c r="AI5" s="47">
        <f t="shared" si="0"/>
        <v>84619.17</v>
      </c>
      <c r="AJ5" s="47">
        <f t="shared" si="0"/>
        <v>121874.76</v>
      </c>
      <c r="AK5" s="47">
        <f t="shared" si="0"/>
        <v>87071.53</v>
      </c>
      <c r="AL5" s="47">
        <f t="shared" si="0"/>
        <v>82995.73</v>
      </c>
      <c r="AM5" s="47">
        <f t="shared" si="0"/>
        <v>88395.34</v>
      </c>
      <c r="AN5" s="47">
        <f t="shared" si="0"/>
        <v>119725.17</v>
      </c>
      <c r="AO5" s="47">
        <f t="shared" si="0"/>
        <v>44591.04</v>
      </c>
      <c r="AP5" s="47">
        <f t="shared" si="0"/>
        <v>1553.43</v>
      </c>
      <c r="AQ5" s="47">
        <f t="shared" si="0"/>
        <v>1553.43</v>
      </c>
      <c r="AR5" s="47">
        <f t="shared" si="0"/>
        <v>1553.43</v>
      </c>
      <c r="AS5" s="47">
        <f t="shared" si="0"/>
        <v>1553.43</v>
      </c>
      <c r="AT5" s="47">
        <f t="shared" si="0"/>
        <v>1553.43</v>
      </c>
      <c r="AU5" s="47">
        <f t="shared" si="0"/>
        <v>1553.43</v>
      </c>
      <c r="AV5" s="47">
        <f t="shared" si="0"/>
        <v>1553.43</v>
      </c>
      <c r="AW5" s="47">
        <f t="shared" si="0"/>
        <v>1553.43</v>
      </c>
      <c r="AX5" s="47">
        <f t="shared" si="0"/>
        <v>1553.43</v>
      </c>
      <c r="AY5" s="47">
        <f t="shared" si="0"/>
        <v>1553.43</v>
      </c>
      <c r="AZ5" s="47">
        <f t="shared" si="0"/>
        <v>1553.43</v>
      </c>
      <c r="BA5" s="47">
        <f t="shared" si="0"/>
        <v>1553.43</v>
      </c>
    </row>
    <row r="6" spans="1:53">
      <c r="A6" s="39"/>
      <c r="B6" s="39"/>
      <c r="C6" s="39"/>
      <c r="D6" s="39"/>
      <c r="E6" s="39"/>
      <c r="F6" s="39"/>
      <c r="G6" s="48" t="s">
        <v>31</v>
      </c>
      <c r="H6" s="46">
        <f>IFERROR(SUM(I6:AC6),0)</f>
        <v>1491552.70</v>
      </c>
      <c r="I6" s="49">
        <v>360376.27</v>
      </c>
      <c r="J6" s="49">
        <v>61161.80</v>
      </c>
      <c r="K6" s="49">
        <v>61899.56</v>
      </c>
      <c r="L6" s="49">
        <v>66615.15</v>
      </c>
      <c r="M6" s="49">
        <v>42224.12</v>
      </c>
      <c r="N6" s="49">
        <v>51876.24</v>
      </c>
      <c r="O6" s="49">
        <v>18347.14</v>
      </c>
      <c r="P6" s="49">
        <v>43563.13</v>
      </c>
      <c r="Q6" s="49">
        <v>8695.04</v>
      </c>
      <c r="R6" s="49">
        <v>57596.02</v>
      </c>
      <c r="S6" s="49">
        <v>66021.32</v>
      </c>
      <c r="T6" s="49">
        <v>59697.77</v>
      </c>
      <c r="U6" s="49">
        <v>23513.13</v>
      </c>
      <c r="V6" s="49">
        <v>50702.89</v>
      </c>
      <c r="W6" s="49">
        <v>54412.07</v>
      </c>
      <c r="X6" s="49">
        <v>85770.32</v>
      </c>
      <c r="Y6" s="49">
        <v>49284.44</v>
      </c>
      <c r="Z6" s="49">
        <v>108004.92</v>
      </c>
      <c r="AA6" s="49">
        <v>101741.81</v>
      </c>
      <c r="AB6" s="49">
        <v>56651.25</v>
      </c>
      <c r="AC6" s="49">
        <v>63398.30</v>
      </c>
      <c r="AD6" s="49" cm="1">
        <f t="array" aca="1" ref="AD6" ca="1">SUMPRODUCT(SUBTOTAL(109,OFFSET(AD$10,ROW(AD$10:AD$24)-ROW(AD$10),,1)),--($G$10:$G$24 = $G6))</f>
        <v>115090.81</v>
      </c>
      <c r="AE6" s="49" cm="1">
        <f t="array" aca="1" ref="AE6" ca="1">SUMPRODUCT(SUBTOTAL(109,OFFSET(AE$10,ROW(AE$10:AE$24)-ROW(AE$10),,1)),--($G$10:$G$24 = $G6))</f>
        <v>155422.54</v>
      </c>
      <c r="AF6" s="49" cm="1">
        <f t="array" aca="1" ref="AF6" ca="1">SUMPRODUCT(SUBTOTAL(109,OFFSET(AF$10,ROW(AF$10:AF$24)-ROW(AF$10),,1)),--($G$10:$G$24 = $G6))</f>
        <v>121659.79</v>
      </c>
      <c r="AG6" s="49" cm="1">
        <f t="array" aca="1" ref="AG6" ca="1">SUMPRODUCT(SUBTOTAL(109,OFFSET(AG$10,ROW(AG$10:AG$24)-ROW(AG$10),,1)),--($G$10:$G$24 = $G6))</f>
        <v>105805.30</v>
      </c>
      <c r="AH6" s="49" cm="1">
        <f t="array" aca="1" ref="AH6" ca="1">SUMPRODUCT(SUBTOTAL(109,OFFSET(AH$10,ROW(AH$10:AH$24)-ROW(AH$10),,1)),--($G$10:$G$24 = $G6))</f>
        <v>115897.59</v>
      </c>
      <c r="AI6" s="49" cm="1">
        <f t="array" aca="1" ref="AI6" ca="1">SUMPRODUCT(SUBTOTAL(109,OFFSET(AI$10,ROW(AI$10:AI$24)-ROW(AI$10),,1)),--($G$10:$G$24 = $G6))</f>
        <v>147251.08</v>
      </c>
      <c r="AJ6" s="49" cm="1">
        <f t="array" aca="1" ref="AJ6" ca="1">SUMPRODUCT(SUBTOTAL(109,OFFSET(AJ$10,ROW(AJ$10:AJ$24)-ROW(AJ$10),,1)),--($G$10:$G$24 = $G6))</f>
        <v>124738.80</v>
      </c>
      <c r="AK6" s="49" cm="1">
        <f t="array" aca="1" ref="AK6" ca="1">SUMPRODUCT(SUBTOTAL(109,OFFSET(AK$10,ROW(AK$10:AK$24)-ROW(AK$10),,1)),--($G$10:$G$24 = $G6))</f>
        <v>172298.89</v>
      </c>
      <c r="AL6" s="49" cm="1">
        <f t="array" aca="1" ref="AL6" ca="1">SUMPRODUCT(SUBTOTAL(109,OFFSET(AL$10,ROW(AL$10:AL$24)-ROW(AL$10),,1)),--($G$10:$G$24 = $G6))</f>
        <v>137979.80</v>
      </c>
      <c r="AM6" s="49" cm="1">
        <f t="array" aca="1" ref="AM6" ca="1">SUMPRODUCT(SUBTOTAL(109,OFFSET(AM$10,ROW(AM$10:AM$24)-ROW(AM$10),,1)),--($G$10:$G$24 = $G6))</f>
        <v>88660.39</v>
      </c>
      <c r="AN6" s="49" cm="1">
        <f t="array" aca="1" ref="AN6" ca="1">SUMPRODUCT(SUBTOTAL(109,OFFSET(AN$10,ROW(AN$10:AN$24)-ROW(AN$10),,1)),--($G$10:$G$24 = $G6))</f>
        <v>81348.48</v>
      </c>
      <c r="AO6" s="49" cm="1">
        <f t="array" aca="1" ref="AO6" ca="1">SUMPRODUCT(SUBTOTAL(109,OFFSET(AO$10,ROW(AO$10:AO$24)-ROW(AO$10),,1)),--($G$10:$G$24 = $G6))</f>
        <v>10580.63</v>
      </c>
      <c r="AP6" s="49" cm="1">
        <f t="array" aca="1" ref="AP6" ca="1">SUMPRODUCT(SUBTOTAL(109,OFFSET(AP$10,ROW(AP$10:AP$24)-ROW(AP$10),,1)),--($G$10:$G$24 = $G6))</f>
        <v>0</v>
      </c>
      <c r="AQ6" s="49" cm="1">
        <f t="array" aca="1" ref="AQ6" ca="1">SUMPRODUCT(SUBTOTAL(109,OFFSET(AQ$10,ROW(AQ$10:AQ$24)-ROW(AQ$10),,1)),--($G$10:$G$24 = $G6))</f>
        <v>0</v>
      </c>
      <c r="AR6" s="49" cm="1">
        <f t="array" aca="1" ref="AR6" ca="1">SUMPRODUCT(SUBTOTAL(109,OFFSET(AR$10,ROW(AR$10:AR$24)-ROW(AR$10),,1)),--($G$10:$G$24 = $G6))</f>
        <v>0</v>
      </c>
      <c r="AS6" s="49" cm="1">
        <f t="array" aca="1" ref="AS6" ca="1">SUMPRODUCT(SUBTOTAL(109,OFFSET(AS$10,ROW(AS$10:AS$24)-ROW(AS$10),,1)),--($G$10:$G$24 = $G6))</f>
        <v>0</v>
      </c>
      <c r="AT6" s="49" cm="1">
        <f t="array" aca="1" ref="AT6" ca="1">SUMPRODUCT(SUBTOTAL(109,OFFSET(AT$10,ROW(AT$10:AT$24)-ROW(AT$10),,1)),--($G$10:$G$24 = $G6))</f>
        <v>0</v>
      </c>
      <c r="AU6" s="49" cm="1">
        <f t="array" aca="1" ref="AU6" ca="1">SUMPRODUCT(SUBTOTAL(109,OFFSET(AU$10,ROW(AU$10:AU$24)-ROW(AU$10),,1)),--($G$10:$G$24 = $G6))</f>
        <v>0</v>
      </c>
      <c r="AV6" s="49" cm="1">
        <f t="array" aca="1" ref="AV6" ca="1">SUMPRODUCT(SUBTOTAL(109,OFFSET(AV$10,ROW(AV$10:AV$24)-ROW(AV$10),,1)),--($G$10:$G$24 = $G6))</f>
        <v>0</v>
      </c>
      <c r="AW6" s="49" cm="1">
        <f t="array" aca="1" ref="AW6" ca="1">SUMPRODUCT(SUBTOTAL(109,OFFSET(AW$10,ROW(AW$10:AW$24)-ROW(AW$10),,1)),--($G$10:$G$24 = $G6))</f>
        <v>0</v>
      </c>
      <c r="AX6" s="49" cm="1">
        <f t="array" aca="1" ref="AX6" ca="1">SUMPRODUCT(SUBTOTAL(109,OFFSET(AX$10,ROW(AX$10:AX$24)-ROW(AX$10),,1)),--($G$10:$G$24 = $G6))</f>
        <v>0</v>
      </c>
      <c r="AY6" s="49" cm="1">
        <f t="array" aca="1" ref="AY6" ca="1">SUMPRODUCT(SUBTOTAL(109,OFFSET(AY$10,ROW(AY$10:AY$24)-ROW(AY$10),,1)),--($G$10:$G$24 = $G6))</f>
        <v>0</v>
      </c>
      <c r="AZ6" s="49" cm="1">
        <f t="array" aca="1" ref="AZ6" ca="1">SUMPRODUCT(SUBTOTAL(109,OFFSET(AZ$10,ROW(AZ$10:AZ$24)-ROW(AZ$10),,1)),--($G$10:$G$24 = $G6))</f>
        <v>0</v>
      </c>
      <c r="BA6" s="49" cm="1">
        <f t="array" aca="1" ref="BA6" ca="1">SUMPRODUCT(SUBTOTAL(109,OFFSET(BA$10,ROW(BA$10:BA$24)-ROW(BA$10),,1)),--($G$10:$G$24 = $G6))</f>
        <v>0</v>
      </c>
    </row>
    <row r="7" spans="1:53">
      <c r="A7" s="39"/>
      <c r="B7" s="39"/>
      <c r="C7" s="39"/>
      <c r="D7" s="39"/>
      <c r="E7" s="39"/>
      <c r="F7" s="39"/>
      <c r="G7" s="45" t="s">
        <v>36</v>
      </c>
      <c r="H7" s="46">
        <f>IFERROR(SUM(I7:AC7),0)</f>
        <v>1023278.80</v>
      </c>
      <c r="I7" s="47">
        <v>226605.71</v>
      </c>
      <c r="J7" s="47">
        <v>57712.21</v>
      </c>
      <c r="K7" s="47">
        <v>45772.40</v>
      </c>
      <c r="L7" s="47">
        <v>39782.22</v>
      </c>
      <c r="M7" s="47">
        <v>34548.56</v>
      </c>
      <c r="N7" s="47">
        <v>29486.72</v>
      </c>
      <c r="O7" s="47">
        <v>14020.55</v>
      </c>
      <c r="P7" s="47">
        <v>30007.64</v>
      </c>
      <c r="Q7" s="47">
        <v>8977.48</v>
      </c>
      <c r="R7" s="47">
        <v>30690.56</v>
      </c>
      <c r="S7" s="47">
        <v>36831.85</v>
      </c>
      <c r="T7" s="47">
        <v>39363.39</v>
      </c>
      <c r="U7" s="47">
        <v>20480.65</v>
      </c>
      <c r="V7" s="47">
        <v>21256.85</v>
      </c>
      <c r="W7" s="47">
        <v>31309.91</v>
      </c>
      <c r="X7" s="47">
        <v>68992.88</v>
      </c>
      <c r="Y7" s="47">
        <v>41553.88</v>
      </c>
      <c r="Z7" s="47">
        <v>65724.60</v>
      </c>
      <c r="AA7" s="47">
        <v>70103</v>
      </c>
      <c r="AB7" s="47">
        <v>73793.16</v>
      </c>
      <c r="AC7" s="47">
        <v>36264.88</v>
      </c>
      <c r="AD7" s="47" cm="1">
        <f t="array" aca="1" ref="AD7" ca="1">SUMPRODUCT(SUBTOTAL(109,OFFSET(AD$10,ROW(AD$10:AD$266)-ROW(AD$10),,1)),--($G$10:$G$266 = $G7))</f>
        <v>77093.60</v>
      </c>
      <c r="AE7" s="47" cm="1">
        <f t="array" aca="1" ref="AE7" ca="1">SUMPRODUCT(SUBTOTAL(109,OFFSET(AE$10,ROW(AE$10:AE$266)-ROW(AE$10),,1)),--($G$10:$G$266 = $G7))</f>
        <v>77157.78</v>
      </c>
      <c r="AF7" s="47" cm="1">
        <f t="array" aca="1" ref="AF7" ca="1">SUMPRODUCT(SUBTOTAL(109,OFFSET(AF$10,ROW(AF$10:AF$266)-ROW(AF$10),,1)),--($G$10:$G$266 = $G7))</f>
        <v>77375.47</v>
      </c>
      <c r="AG7" s="47" cm="1">
        <f t="array" aca="1" ref="AG7" ca="1">SUMPRODUCT(SUBTOTAL(109,OFFSET(AG$10,ROW(AG$10:AG$266)-ROW(AG$10),,1)),--($G$10:$G$266 = $G7))</f>
        <v>78828.98</v>
      </c>
      <c r="AH7" s="47" cm="1">
        <f t="array" aca="1" ref="AH7" ca="1">SUMPRODUCT(SUBTOTAL(109,OFFSET(AH$10,ROW(AH$10:AH$266)-ROW(AH$10),,1)),--($G$10:$G$266 = $G7))</f>
        <v>73145.77</v>
      </c>
      <c r="AI7" s="47" cm="1">
        <f t="array" aca="1" ref="AI7" ca="1">SUMPRODUCT(SUBTOTAL(109,OFFSET(AI$10,ROW(AI$10:AI$266)-ROW(AI$10),,1)),--($G$10:$G$266 = $G7))</f>
        <v>79857.58</v>
      </c>
      <c r="AJ7" s="47" cm="1">
        <f t="array" aca="1" ref="AJ7" ca="1">SUMPRODUCT(SUBTOTAL(109,OFFSET(AJ$10,ROW(AJ$10:AJ$266)-ROW(AJ$10),,1)),--($G$10:$G$266 = $G7))</f>
        <v>107785.37</v>
      </c>
      <c r="AK7" s="47" cm="1">
        <f t="array" aca="1" ref="AK7" ca="1">SUMPRODUCT(SUBTOTAL(109,OFFSET(AK$10,ROW(AK$10:AK$266)-ROW(AK$10),,1)),--($G$10:$G$266 = $G7))</f>
        <v>85294.45</v>
      </c>
      <c r="AL7" s="47" cm="1">
        <f t="array" aca="1" ref="AL7" ca="1">SUMPRODUCT(SUBTOTAL(109,OFFSET(AL$10,ROW(AL$10:AL$266)-ROW(AL$10),,1)),--($G$10:$G$266 = $G7))</f>
        <v>85384.56</v>
      </c>
      <c r="AM7" s="47" cm="1">
        <f t="array" aca="1" ref="AM7" ca="1">SUMPRODUCT(SUBTOTAL(109,OFFSET(AM$10,ROW(AM$10:AM$266)-ROW(AM$10),,1)),--($G$10:$G$266 = $G7))</f>
        <v>98537.18</v>
      </c>
      <c r="AN7" s="47" cm="1">
        <f t="array" aca="1" ref="AN7" ca="1">SUMPRODUCT(SUBTOTAL(109,OFFSET(AN$10,ROW(AN$10:AN$266)-ROW(AN$10),,1)),--($G$10:$G$266 = $G7))</f>
        <v>122173</v>
      </c>
      <c r="AO7" s="47" cm="1">
        <f t="array" aca="1" ref="AO7" ca="1">SUMPRODUCT(SUBTOTAL(109,OFFSET(AO$10,ROW(AO$10:AO$266)-ROW(AO$10),,1)),--($G$10:$G$266 = $G7))</f>
        <v>42929.12</v>
      </c>
      <c r="AP7" s="47" cm="1">
        <f t="array" aca="1" ref="AP7" ca="1">SUMPRODUCT(SUBTOTAL(109,OFFSET(AP$10,ROW(AP$10:AP$266)-ROW(AP$10),,1)),--($G$10:$G$266 = $G7))</f>
        <v>0</v>
      </c>
      <c r="AQ7" s="47" cm="1">
        <f t="array" aca="1" ref="AQ7" ca="1">SUMPRODUCT(SUBTOTAL(109,OFFSET(AQ$10,ROW(AQ$10:AQ$266)-ROW(AQ$10),,1)),--($G$10:$G$266 = $G7))</f>
        <v>0</v>
      </c>
      <c r="AR7" s="47" cm="1">
        <f t="array" aca="1" ref="AR7" ca="1">SUMPRODUCT(SUBTOTAL(109,OFFSET(AR$10,ROW(AR$10:AR$266)-ROW(AR$10),,1)),--($G$10:$G$266 = $G7))</f>
        <v>0</v>
      </c>
      <c r="AS7" s="47" cm="1">
        <f t="array" aca="1" ref="AS7" ca="1">SUMPRODUCT(SUBTOTAL(109,OFFSET(AS$10,ROW(AS$10:AS$266)-ROW(AS$10),,1)),--($G$10:$G$266 = $G7))</f>
        <v>0</v>
      </c>
      <c r="AT7" s="47" cm="1">
        <f t="array" aca="1" ref="AT7" ca="1">SUMPRODUCT(SUBTOTAL(109,OFFSET(AT$10,ROW(AT$10:AT$266)-ROW(AT$10),,1)),--($G$10:$G$266 = $G7))</f>
        <v>0</v>
      </c>
      <c r="AU7" s="47" cm="1">
        <f t="array" aca="1" ref="AU7" ca="1">SUMPRODUCT(SUBTOTAL(109,OFFSET(AU$10,ROW(AU$10:AU$266)-ROW(AU$10),,1)),--($G$10:$G$266 = $G7))</f>
        <v>0</v>
      </c>
      <c r="AV7" s="47" cm="1">
        <f t="array" aca="1" ref="AV7" ca="1">SUMPRODUCT(SUBTOTAL(109,OFFSET(AV$10,ROW(AV$10:AV$266)-ROW(AV$10),,1)),--($G$10:$G$266 = $G7))</f>
        <v>0</v>
      </c>
      <c r="AW7" s="47" cm="1">
        <f t="array" aca="1" ref="AW7" ca="1">SUMPRODUCT(SUBTOTAL(109,OFFSET(AW$10,ROW(AW$10:AW$266)-ROW(AW$10),,1)),--($G$10:$G$266 = $G7))</f>
        <v>0</v>
      </c>
      <c r="AX7" s="47" cm="1">
        <f t="array" aca="1" ref="AX7" ca="1">SUMPRODUCT(SUBTOTAL(109,OFFSET(AX$10,ROW(AX$10:AX$266)-ROW(AX$10),,1)),--($G$10:$G$266 = $G7))</f>
        <v>0</v>
      </c>
      <c r="AY7" s="47" cm="1">
        <f t="array" aca="1" ref="AY7" ca="1">SUMPRODUCT(SUBTOTAL(109,OFFSET(AY$10,ROW(AY$10:AY$266)-ROW(AY$10),,1)),--($G$10:$G$266 = $G7))</f>
        <v>0</v>
      </c>
      <c r="AZ7" s="47" cm="1">
        <f t="array" aca="1" ref="AZ7" ca="1">SUMPRODUCT(SUBTOTAL(109,OFFSET(AZ$10,ROW(AZ$10:AZ$266)-ROW(AZ$10),,1)),--($G$10:$G$266 = $G7))</f>
        <v>0</v>
      </c>
      <c r="BA7" s="47" cm="1">
        <f t="array" aca="1" ref="BA7" ca="1">SUMPRODUCT(SUBTOTAL(109,OFFSET(BA$10,ROW(BA$10:BA$266)-ROW(BA$10),,1)),--($G$10:$G$266 = $G7))</f>
        <v>0</v>
      </c>
    </row>
    <row r="8" spans="1:53">
      <c r="A8" s="39"/>
      <c r="B8" s="39"/>
      <c r="C8" s="39"/>
      <c r="D8" s="39"/>
      <c r="E8" s="39"/>
      <c r="F8" s="39"/>
      <c r="G8" s="45" t="s">
        <v>37</v>
      </c>
      <c r="H8" s="46">
        <f>IFERROR(SUM(I8:AC8),0)</f>
        <v>-44224.07</v>
      </c>
      <c r="I8" s="47">
        <v>0</v>
      </c>
      <c r="J8" s="47">
        <v>-5943.20</v>
      </c>
      <c r="K8" s="47">
        <v>-2803.50</v>
      </c>
      <c r="L8" s="47">
        <v>-3421.04</v>
      </c>
      <c r="M8" s="47">
        <v>453.09</v>
      </c>
      <c r="N8" s="47">
        <v>-45.73</v>
      </c>
      <c r="O8" s="47">
        <v>776.30</v>
      </c>
      <c r="P8" s="47">
        <v>-482.07</v>
      </c>
      <c r="Q8" s="47">
        <v>-2453.26</v>
      </c>
      <c r="R8" s="47">
        <v>197.66</v>
      </c>
      <c r="S8" s="47">
        <v>1930.98</v>
      </c>
      <c r="T8" s="47">
        <v>-1955.03</v>
      </c>
      <c r="U8" s="47">
        <v>-4545.47</v>
      </c>
      <c r="V8" s="47">
        <v>20.80</v>
      </c>
      <c r="W8" s="47">
        <v>2573.24</v>
      </c>
      <c r="X8" s="47">
        <v>-17567.65</v>
      </c>
      <c r="Y8" s="47">
        <v>-1475.53</v>
      </c>
      <c r="Z8" s="47">
        <v>-1922.24</v>
      </c>
      <c r="AA8" s="47">
        <v>-2264.23</v>
      </c>
      <c r="AB8" s="47">
        <v>-3619.93</v>
      </c>
      <c r="AC8" s="47">
        <v>-1677.29</v>
      </c>
      <c r="AD8" s="47">
        <f t="shared" ref="AD8:BA8" ca="1" si="1">AD5-AD7</f>
        <v>-14491.26</v>
      </c>
      <c r="AE8" s="47">
        <f t="shared" ca="1" si="1"/>
        <v>-3949.63</v>
      </c>
      <c r="AF8" s="47">
        <f t="shared" ca="1" si="1"/>
        <v>-2583.06</v>
      </c>
      <c r="AG8" s="47">
        <f t="shared" ca="1" si="1"/>
        <v>-12130.63</v>
      </c>
      <c r="AH8" s="47">
        <f t="shared" ca="1" si="1"/>
        <v>-1.37</v>
      </c>
      <c r="AI8" s="47">
        <f t="shared" ca="1" si="1"/>
        <v>4761.58</v>
      </c>
      <c r="AJ8" s="47">
        <f ca="1">AJ5-AJ7</f>
        <v>14089.39</v>
      </c>
      <c r="AK8" s="47">
        <f ca="1">AK5-AK7</f>
        <v>1777.08</v>
      </c>
      <c r="AL8" s="47">
        <f ca="1">AL5-AL7</f>
        <v>-2388.83</v>
      </c>
      <c r="AM8" s="47">
        <f t="shared" ca="1" si="1"/>
        <v>-10141.85</v>
      </c>
      <c r="AN8" s="47">
        <f t="shared" ca="1" si="1"/>
        <v>-2447.82</v>
      </c>
      <c r="AO8" s="47">
        <f t="shared" ca="1" si="1"/>
        <v>1661.92</v>
      </c>
      <c r="AP8" s="47">
        <f t="shared" ca="1" si="1"/>
        <v>1553.43</v>
      </c>
      <c r="AQ8" s="47">
        <f t="shared" ca="1" si="1"/>
        <v>1553.43</v>
      </c>
      <c r="AR8" s="47">
        <f t="shared" ca="1" si="1"/>
        <v>1553.43</v>
      </c>
      <c r="AS8" s="47">
        <f t="shared" ca="1" si="1"/>
        <v>1553.43</v>
      </c>
      <c r="AT8" s="47">
        <f t="shared" ca="1" si="1"/>
        <v>1553.43</v>
      </c>
      <c r="AU8" s="47">
        <f t="shared" ca="1" si="1"/>
        <v>1553.43</v>
      </c>
      <c r="AV8" s="47">
        <f t="shared" ca="1" si="1"/>
        <v>1553.43</v>
      </c>
      <c r="AW8" s="47">
        <f t="shared" ca="1" si="1"/>
        <v>1553.43</v>
      </c>
      <c r="AX8" s="47">
        <f t="shared" ca="1" si="1"/>
        <v>1553.43</v>
      </c>
      <c r="AY8" s="47">
        <f t="shared" ca="1" si="1"/>
        <v>1553.43</v>
      </c>
      <c r="AZ8" s="47">
        <f t="shared" ca="1" si="1"/>
        <v>1553.43</v>
      </c>
      <c r="BA8" s="47">
        <f t="shared" ca="1" si="1"/>
        <v>1553.43</v>
      </c>
    </row>
    <row r="9" spans="1:53" ht="15" thickBot="1">
      <c r="B9" s="1" t="s">
        <v>7</v>
      </c>
      <c r="C9" s="1" t="s">
        <v>8</v>
      </c>
      <c r="D9" s="1" t="s">
        <v>22</v>
      </c>
      <c r="E9" s="1" t="s">
        <v>9</v>
      </c>
      <c r="F9" s="1" t="s">
        <v>12</v>
      </c>
      <c r="G9" s="1" t="s">
        <v>13</v>
      </c>
      <c r="H9" s="1" t="s">
        <v>5</v>
      </c>
      <c r="I9" s="4" t="s">
        <v>29</v>
      </c>
      <c r="J9" s="4">
        <v>45292</v>
      </c>
      <c r="K9" s="8">
        <v>45323</v>
      </c>
      <c r="L9" s="4">
        <v>45352</v>
      </c>
      <c r="M9" s="4">
        <v>45383</v>
      </c>
      <c r="N9" s="4">
        <v>45413</v>
      </c>
      <c r="O9" s="4">
        <v>45444</v>
      </c>
      <c r="P9" s="4">
        <v>45474</v>
      </c>
      <c r="Q9" s="8">
        <v>45505</v>
      </c>
      <c r="R9" s="4">
        <v>45536</v>
      </c>
      <c r="S9" s="4">
        <v>45566</v>
      </c>
      <c r="T9" s="4">
        <v>45597</v>
      </c>
      <c r="U9" s="4">
        <v>45627</v>
      </c>
      <c r="V9" s="4">
        <v>45658</v>
      </c>
      <c r="W9" s="8">
        <v>45689</v>
      </c>
      <c r="X9" s="4">
        <v>45717</v>
      </c>
      <c r="Y9" s="8">
        <v>45748</v>
      </c>
      <c r="Z9" s="4">
        <v>45778</v>
      </c>
      <c r="AA9" s="8">
        <v>45809</v>
      </c>
      <c r="AB9" s="4">
        <v>45839</v>
      </c>
      <c r="AC9" s="8">
        <v>45870</v>
      </c>
      <c r="AD9" s="8">
        <v>45901</v>
      </c>
      <c r="AE9" s="8">
        <v>45931</v>
      </c>
      <c r="AF9" s="8">
        <v>45962</v>
      </c>
      <c r="AG9" s="8">
        <v>45992</v>
      </c>
      <c r="AH9" s="8">
        <v>46023</v>
      </c>
      <c r="AI9" s="8">
        <v>46054</v>
      </c>
      <c r="AJ9" s="8">
        <v>46082</v>
      </c>
      <c r="AK9" s="8">
        <v>46113</v>
      </c>
      <c r="AL9" s="8">
        <v>46143</v>
      </c>
      <c r="AM9" s="8">
        <v>46174</v>
      </c>
      <c r="AN9" s="8">
        <v>46204</v>
      </c>
      <c r="AO9" s="8">
        <v>46235</v>
      </c>
      <c r="AP9" s="8">
        <v>46266</v>
      </c>
      <c r="AQ9" s="8">
        <v>46296</v>
      </c>
      <c r="AR9" s="8">
        <v>46327</v>
      </c>
      <c r="AS9" s="8">
        <v>46357</v>
      </c>
      <c r="AT9" s="8">
        <v>46388</v>
      </c>
      <c r="AU9" s="8">
        <v>46419</v>
      </c>
      <c r="AV9" s="8">
        <v>46447</v>
      </c>
      <c r="AW9" s="8">
        <v>46478</v>
      </c>
      <c r="AX9" s="8">
        <v>46508</v>
      </c>
      <c r="AY9" s="8">
        <v>46539</v>
      </c>
      <c r="AZ9" s="8">
        <v>46569</v>
      </c>
      <c r="BA9" s="8">
        <v>46600</v>
      </c>
    </row>
    <row r="10" spans="1:53">
      <c r="B10" s="525" t="s">
        <v>21</v>
      </c>
      <c r="C10" s="528" t="s">
        <v>14</v>
      </c>
      <c r="D10" s="528">
        <v>8871789615</v>
      </c>
      <c r="E10" s="531" t="s">
        <v>23</v>
      </c>
      <c r="F10" s="531" t="s">
        <v>25</v>
      </c>
      <c r="G10" s="50" t="s">
        <v>32</v>
      </c>
      <c r="H10" s="51">
        <f>IFERROR(SUM(I10:AO10),0)-0.56</f>
        <v>1153906.23</v>
      </c>
      <c r="I10" s="63">
        <v>82805.46</v>
      </c>
      <c r="J10" s="52">
        <v>18085.67</v>
      </c>
      <c r="K10" s="52">
        <v>28085.13</v>
      </c>
      <c r="L10" s="52">
        <v>42564.96</v>
      </c>
      <c r="M10" s="52">
        <v>24627.28</v>
      </c>
      <c r="N10" s="52">
        <v>24627.28</v>
      </c>
      <c r="O10" s="73">
        <v>8695.04</v>
      </c>
      <c r="P10" s="73">
        <v>33910.78</v>
      </c>
      <c r="Q10" s="73">
        <v>8695.04</v>
      </c>
      <c r="R10" s="73">
        <v>42062.22</v>
      </c>
      <c r="S10" s="52">
        <v>9021.09</v>
      </c>
      <c r="T10" s="52">
        <v>20651</v>
      </c>
      <c r="U10" s="52">
        <v>0</v>
      </c>
      <c r="V10" s="63">
        <v>17940.82</v>
      </c>
      <c r="W10" s="63">
        <v>17926.18</v>
      </c>
      <c r="X10" s="178">
        <v>49284.44</v>
      </c>
      <c r="Y10" s="183">
        <v>49284.44</v>
      </c>
      <c r="Z10" s="64">
        <v>94751.63</v>
      </c>
      <c r="AA10" s="64">
        <v>91161.17</v>
      </c>
      <c r="AB10" s="63">
        <v>19430.12</v>
      </c>
      <c r="AC10" s="178">
        <v>0</v>
      </c>
      <c r="AD10" s="183">
        <v>6521.28</v>
      </c>
      <c r="AE10" s="63">
        <v>25040.13</v>
      </c>
      <c r="AF10" s="271">
        <v>30913.35</v>
      </c>
      <c r="AG10" s="294">
        <v>54933.36</v>
      </c>
      <c r="AH10" s="312">
        <v>23557.81</v>
      </c>
      <c r="AI10" s="317">
        <v>43352.87</v>
      </c>
      <c r="AJ10" s="294">
        <v>22923.83</v>
      </c>
      <c r="AK10" s="366">
        <v>87811.21</v>
      </c>
      <c r="AL10" s="378">
        <v>71835.76</v>
      </c>
      <c r="AM10" s="184">
        <v>8377.54</v>
      </c>
      <c r="AN10" s="63">
        <v>0</v>
      </c>
      <c r="AO10" s="340">
        <v>95029.92</v>
      </c>
      <c r="AP10" s="345"/>
      <c r="AQ10" s="346"/>
      <c r="AR10" s="347"/>
      <c r="AS10" s="345"/>
      <c r="AT10" s="346"/>
      <c r="AU10" s="347"/>
      <c r="AV10" s="345"/>
      <c r="AW10" s="346"/>
      <c r="AX10" s="347"/>
      <c r="AY10" s="355"/>
      <c r="AZ10" s="346"/>
      <c r="BA10" s="347"/>
    </row>
    <row r="11" spans="1:53" ht="15" thickBot="1">
      <c r="B11" s="526"/>
      <c r="C11" s="529"/>
      <c r="D11" s="529"/>
      <c r="E11" s="532"/>
      <c r="F11" s="532"/>
      <c r="G11" s="45" t="s">
        <v>33</v>
      </c>
      <c r="H11" s="55">
        <f>IFERROR(SUM(I11:AO11),0)</f>
        <v>820072.88</v>
      </c>
      <c r="I11" s="64">
        <v>55124.63</v>
      </c>
      <c r="J11" s="53">
        <v>16046.58</v>
      </c>
      <c r="K11" s="53">
        <v>19191.41</v>
      </c>
      <c r="L11" s="53">
        <v>21565.61</v>
      </c>
      <c r="M11" s="53">
        <v>16575.83</v>
      </c>
      <c r="N11" s="53">
        <v>24787.16</v>
      </c>
      <c r="O11" s="53">
        <v>6378.63</v>
      </c>
      <c r="P11" s="53">
        <v>22549.14</v>
      </c>
      <c r="Q11" s="53">
        <v>6524.22</v>
      </c>
      <c r="R11" s="53">
        <v>21074.81</v>
      </c>
      <c r="S11" s="53">
        <v>5831.36</v>
      </c>
      <c r="T11" s="53">
        <v>11235.10</v>
      </c>
      <c r="U11" s="53">
        <v>0</v>
      </c>
      <c r="V11" s="64">
        <v>7925.26</v>
      </c>
      <c r="W11" s="64">
        <v>11072.36</v>
      </c>
      <c r="X11" s="179">
        <v>22263.27</v>
      </c>
      <c r="Y11" s="184">
        <v>40078.35</v>
      </c>
      <c r="Z11" s="64">
        <v>52122.01</v>
      </c>
      <c r="AA11" s="64">
        <v>62920.35</v>
      </c>
      <c r="AB11" s="64">
        <v>14001.72</v>
      </c>
      <c r="AC11" s="179">
        <v>814</v>
      </c>
      <c r="AD11" s="184">
        <f>'FCST 8871789615 35%'!H50</f>
        <v>3954.10</v>
      </c>
      <c r="AE11" s="64">
        <f>'FCST 8871789615 35%'!I50</f>
        <v>9962.96</v>
      </c>
      <c r="AF11" s="272">
        <f>'FCST 8871789615 35%'!J50</f>
        <v>20959.44</v>
      </c>
      <c r="AG11" s="295">
        <f>'FCST 8871789615 35%'!K50</f>
        <v>36859.71</v>
      </c>
      <c r="AH11" s="304">
        <f>'FCST 8871789615 35%'!L50</f>
        <v>18594.05</v>
      </c>
      <c r="AI11" s="318">
        <f>'FCST 8871789615 35%'!M50</f>
        <v>27012.80</v>
      </c>
      <c r="AJ11" s="299">
        <f>'FCST 8871789615 35%'!N50</f>
        <v>33451.66</v>
      </c>
      <c r="AK11" s="367">
        <f>'FCST 8871789615 35%'!O50</f>
        <v>35803</v>
      </c>
      <c r="AL11" s="379">
        <f>'FCST 8871789615 35%'!P50</f>
        <v>49219.87</v>
      </c>
      <c r="AM11" s="184">
        <f>'FCST 8871789615 35%'!Q50</f>
        <v>18119.44</v>
      </c>
      <c r="AN11" s="64">
        <v>86437.44</v>
      </c>
      <c r="AO11" s="209">
        <f>'FCST 8871789615 35%'!S50</f>
        <v>41617.10</v>
      </c>
      <c r="AP11" s="232">
        <f>'FCST 8871789615 35%'!T50</f>
        <v>0</v>
      </c>
      <c r="AQ11" s="209">
        <f>'FCST 8871789615 35%'!U50</f>
        <v>0</v>
      </c>
      <c r="AR11" s="207">
        <f>'FCST 8871789615 35%'!V50</f>
        <v>0</v>
      </c>
      <c r="AS11" s="232">
        <f>'FCST 8871789615 35%'!W50</f>
        <v>0</v>
      </c>
      <c r="AT11" s="209">
        <f>'FCST 8871789615 35%'!X50</f>
        <v>0</v>
      </c>
      <c r="AU11" s="207">
        <f>'FCST 8871789615 35%'!Y50</f>
        <v>0</v>
      </c>
      <c r="AV11" s="232">
        <f>'FCST 8871789615 35%'!Z50</f>
        <v>0</v>
      </c>
      <c r="AW11" s="209">
        <f>'FCST 8871789615 35%'!AA50</f>
        <v>0</v>
      </c>
      <c r="AX11" s="207">
        <f>'FCST 8871789615 35%'!AB50</f>
        <v>0</v>
      </c>
      <c r="AY11" s="356">
        <f>'FCST 8871789615 35%'!AC50</f>
        <v>0</v>
      </c>
      <c r="AZ11" s="209">
        <f>'FCST 8871789615 35%'!AD50</f>
        <v>0</v>
      </c>
      <c r="BA11" s="207">
        <f>'FCST 8871789615 35%'!AE50</f>
        <v>0</v>
      </c>
    </row>
    <row r="12" spans="1:53">
      <c r="B12" s="526"/>
      <c r="C12" s="529"/>
      <c r="D12" s="529"/>
      <c r="E12" s="532"/>
      <c r="F12" s="532"/>
      <c r="G12" s="45" t="s">
        <v>31</v>
      </c>
      <c r="H12" s="55">
        <f>IFERROR(SUM(I12:AO12),0)</f>
        <v>1058876.58</v>
      </c>
      <c r="I12" s="64">
        <v>82805.46</v>
      </c>
      <c r="J12" s="53">
        <v>18085.67</v>
      </c>
      <c r="K12" s="53">
        <v>28084.96</v>
      </c>
      <c r="L12" s="53">
        <v>42564.95</v>
      </c>
      <c r="M12" s="53">
        <v>24627.27</v>
      </c>
      <c r="N12" s="53">
        <v>24627.28</v>
      </c>
      <c r="O12" s="78">
        <v>8695.04</v>
      </c>
      <c r="P12" s="53">
        <v>33910.78</v>
      </c>
      <c r="Q12" s="53">
        <v>8695.04</v>
      </c>
      <c r="R12" s="78">
        <v>42062.22</v>
      </c>
      <c r="S12" s="53">
        <v>9021.09</v>
      </c>
      <c r="T12" s="53">
        <v>20651</v>
      </c>
      <c r="U12" s="53"/>
      <c r="V12" s="63">
        <v>17940.83</v>
      </c>
      <c r="W12" s="64">
        <v>17926.18</v>
      </c>
      <c r="X12" s="180">
        <v>49284.44</v>
      </c>
      <c r="Y12" s="184">
        <v>49284.44</v>
      </c>
      <c r="Z12" s="64">
        <v>94751.63</v>
      </c>
      <c r="AA12" s="64">
        <v>91161.17</v>
      </c>
      <c r="AB12" s="64">
        <v>19430.12</v>
      </c>
      <c r="AC12" s="179"/>
      <c r="AD12" s="184">
        <v>6521.28</v>
      </c>
      <c r="AE12" s="64">
        <v>25040.13</v>
      </c>
      <c r="AF12" s="272">
        <v>30913.35</v>
      </c>
      <c r="AG12" s="296">
        <v>54933.36</v>
      </c>
      <c r="AH12" s="304">
        <v>23557.81</v>
      </c>
      <c r="AI12" s="318">
        <v>43352.87</v>
      </c>
      <c r="AJ12" s="299">
        <v>22923.83</v>
      </c>
      <c r="AK12" s="367">
        <v>87811.21</v>
      </c>
      <c r="AL12" s="379">
        <v>71835.76</v>
      </c>
      <c r="AM12" s="184">
        <v>8377.54</v>
      </c>
      <c r="AN12" s="64">
        <v>0</v>
      </c>
      <c r="AO12" s="209"/>
      <c r="AP12" s="232"/>
      <c r="AQ12" s="209"/>
      <c r="AR12" s="207"/>
      <c r="AS12" s="232"/>
      <c r="AT12" s="209"/>
      <c r="AU12" s="207"/>
      <c r="AV12" s="232"/>
      <c r="AW12" s="209"/>
      <c r="AX12" s="207"/>
      <c r="AY12" s="356"/>
      <c r="AZ12" s="209"/>
      <c r="BA12" s="207"/>
    </row>
    <row r="13" spans="1:53">
      <c r="B13" s="526"/>
      <c r="C13" s="529"/>
      <c r="D13" s="529"/>
      <c r="E13" s="532"/>
      <c r="F13" s="532"/>
      <c r="G13" s="45" t="s">
        <v>36</v>
      </c>
      <c r="H13" s="55">
        <f>IFERROR(SUM(I13:AO13),0)-14331.42</f>
        <v>830702.08</v>
      </c>
      <c r="I13" s="64">
        <v>55124.63</v>
      </c>
      <c r="J13" s="53">
        <v>16319.00</v>
      </c>
      <c r="K13" s="53">
        <v>19367.86</v>
      </c>
      <c r="L13" s="53">
        <v>22270.27</v>
      </c>
      <c r="M13" s="53">
        <v>11878.38</v>
      </c>
      <c r="N13" s="53">
        <v>24832.89</v>
      </c>
      <c r="O13" s="53">
        <v>6691.57</v>
      </c>
      <c r="P13" s="53">
        <v>22549.14</v>
      </c>
      <c r="Q13" s="53">
        <v>8000.28</v>
      </c>
      <c r="R13" s="53">
        <v>21083.06</v>
      </c>
      <c r="S13" s="53">
        <v>6274.70</v>
      </c>
      <c r="T13" s="53">
        <v>13190.13</v>
      </c>
      <c r="U13" s="53">
        <v>830.27</v>
      </c>
      <c r="V13" s="64">
        <v>8599.96</v>
      </c>
      <c r="W13" s="64">
        <v>8779.98</v>
      </c>
      <c r="X13" s="165">
        <v>41349.32</v>
      </c>
      <c r="Y13" s="184">
        <v>41349.32</v>
      </c>
      <c r="Z13" s="64">
        <v>53808.80</v>
      </c>
      <c r="AA13" s="64">
        <v>60596.08</v>
      </c>
      <c r="AB13" s="64">
        <v>19107.49</v>
      </c>
      <c r="AC13" s="179">
        <v>2791.10</v>
      </c>
      <c r="AD13" s="184">
        <v>3597.13</v>
      </c>
      <c r="AE13" s="64">
        <v>12022.76</v>
      </c>
      <c r="AF13" s="272">
        <v>20469.75</v>
      </c>
      <c r="AG13" s="296">
        <v>38241.73</v>
      </c>
      <c r="AH13" s="304">
        <v>16600.40</v>
      </c>
      <c r="AI13" s="318">
        <v>26025.22</v>
      </c>
      <c r="AJ13" s="296">
        <v>31652.15</v>
      </c>
      <c r="AK13" s="368">
        <v>31405.83</v>
      </c>
      <c r="AL13" s="295">
        <v>50466.33</v>
      </c>
      <c r="AM13" s="184">
        <v>19033.50</v>
      </c>
      <c r="AN13" s="64">
        <v>86437.44</v>
      </c>
      <c r="AO13" s="209">
        <v>41617.10</v>
      </c>
      <c r="AP13" s="348"/>
      <c r="AQ13" s="341">
        <f>'FCST 8871789615 35%'!T50</f>
        <v>0</v>
      </c>
      <c r="AR13" s="57">
        <f>'FCST 8871789615 35%'!U50</f>
        <v>0</v>
      </c>
      <c r="AS13" s="348">
        <f>'FCST 8871789615 35%'!V50</f>
        <v>0</v>
      </c>
      <c r="AT13" s="341">
        <f>'FCST 8871789615 35%'!W50</f>
        <v>0</v>
      </c>
      <c r="AU13" s="57">
        <f>'FCST 8871789615 35%'!X50</f>
        <v>0</v>
      </c>
      <c r="AV13" s="348">
        <f>'FCST 8871789615 35%'!Y50</f>
        <v>0</v>
      </c>
      <c r="AW13" s="341">
        <f>'FCST 8871789615 35%'!Z50</f>
        <v>0</v>
      </c>
      <c r="AX13" s="57">
        <f>'FCST 8871789615 35%'!AA50</f>
        <v>0</v>
      </c>
      <c r="AY13" s="316">
        <f>'FCST 8871789615 35%'!AB50</f>
        <v>0</v>
      </c>
      <c r="AZ13" s="341">
        <f>'FCST 8871789615 35%'!AC50</f>
        <v>0</v>
      </c>
      <c r="BA13" s="57">
        <f>'FCST 8871789615 35%'!AD50</f>
        <v>0</v>
      </c>
    </row>
    <row r="14" spans="1:53">
      <c r="B14" s="526"/>
      <c r="C14" s="529"/>
      <c r="D14" s="529"/>
      <c r="E14" s="532"/>
      <c r="F14" s="532"/>
      <c r="G14" s="45" t="s">
        <v>34</v>
      </c>
      <c r="H14" s="58">
        <f>(H10-H11)/H10</f>
        <v>0.2893071740629985</v>
      </c>
      <c r="I14" s="65">
        <v>0.3342875007701635</v>
      </c>
      <c r="J14" s="59">
        <v>0.11274624929026023</v>
      </c>
      <c r="K14" s="59">
        <v>0.31667021098444925</v>
      </c>
      <c r="L14" s="59">
        <v>0.49334816531632913</v>
      </c>
      <c r="M14" s="59">
        <v>0.32693204871505133</v>
      </c>
      <c r="N14" s="59">
        <v>-6.4920801696964087E-3</v>
      </c>
      <c r="O14" s="59">
        <v>0.2664049486234068</v>
      </c>
      <c r="P14" s="59">
        <v>0.3350452551661916</v>
      </c>
      <c r="Q14" s="59">
        <v>0.24966123266390905</v>
      </c>
      <c r="R14" s="59">
        <v>0.49896116538285795</v>
      </c>
      <c r="S14" s="59">
        <v>0.35358589275244667</v>
      </c>
      <c r="T14" s="59">
        <v>0.45595082548563776</v>
      </c>
      <c r="U14" s="59">
        <v>0</v>
      </c>
      <c r="V14" s="65">
        <v>0.55825534221226436</v>
      </c>
      <c r="W14" s="65">
        <v>0.38233572570335028</v>
      </c>
      <c r="X14" s="181">
        <v>0.54826973262628054</v>
      </c>
      <c r="Y14" s="185">
        <v>0.18679497633354078</v>
      </c>
      <c r="Z14" s="65">
        <v>0.44990908829764481</v>
      </c>
      <c r="AA14" s="65">
        <v>0.30979002106568593</v>
      </c>
      <c r="AB14" s="65">
        <v>0.27938062205313069</v>
      </c>
      <c r="AC14" s="181">
        <v>0</v>
      </c>
      <c r="AD14" s="185">
        <f>IFERROR((AD10-AD11)/AD10,0)</f>
        <v>0.39366236812717192</v>
      </c>
      <c r="AE14" s="65">
        <f>IFERROR((AE10-AE11)/AE10,0)</f>
        <v>0.60212041853341725</v>
      </c>
      <c r="AF14" s="273">
        <f t="shared" ref="AF14:AM14" si="2">IFERROR((AF10-AF11)/AF10,0)</f>
        <v>0.32199381486553807</v>
      </c>
      <c r="AG14" s="297">
        <f t="shared" si="2"/>
        <v>0.32901050472385218</v>
      </c>
      <c r="AH14" s="313">
        <f t="shared" si="2"/>
        <v>0.21070550130960536</v>
      </c>
      <c r="AI14" s="319">
        <f t="shared" si="2"/>
        <v>0.37690853510099437</v>
      </c>
      <c r="AJ14" s="297">
        <f t="shared" si="2"/>
        <v>-0.45925265703878382</v>
      </c>
      <c r="AK14" s="369">
        <f t="shared" si="2"/>
        <v>0.59227528460806766</v>
      </c>
      <c r="AL14" s="380">
        <f t="shared" si="2"/>
        <v>0.31482772701606265</v>
      </c>
      <c r="AM14" s="185">
        <f t="shared" si="2"/>
        <v>-0.95</v>
      </c>
      <c r="AN14" s="65">
        <f>IFERROR((AN10-AN11)/AN10,0)</f>
        <v>0</v>
      </c>
      <c r="AO14" s="342">
        <f>IFERROR((AO10-AO11)/AO10,0)</f>
        <v>0.56206320852023284</v>
      </c>
      <c r="AP14" s="349">
        <f t="shared" ref="AP14:BA14" si="3">IFERROR((AP10-AP11)/AP10,0)</f>
        <v>0</v>
      </c>
      <c r="AQ14" s="342">
        <f t="shared" si="3"/>
        <v>0</v>
      </c>
      <c r="AR14" s="61">
        <f t="shared" si="3"/>
        <v>0</v>
      </c>
      <c r="AS14" s="349">
        <f t="shared" si="3"/>
        <v>0</v>
      </c>
      <c r="AT14" s="342">
        <f t="shared" si="3"/>
        <v>0</v>
      </c>
      <c r="AU14" s="61">
        <f t="shared" si="3"/>
        <v>0</v>
      </c>
      <c r="AV14" s="349">
        <f t="shared" si="3"/>
        <v>0</v>
      </c>
      <c r="AW14" s="342">
        <f t="shared" si="3"/>
        <v>0</v>
      </c>
      <c r="AX14" s="61">
        <f t="shared" si="3"/>
        <v>0</v>
      </c>
      <c r="AY14" s="357">
        <f t="shared" si="3"/>
        <v>0</v>
      </c>
      <c r="AZ14" s="342">
        <f t="shared" si="3"/>
        <v>0</v>
      </c>
      <c r="BA14" s="61">
        <f t="shared" si="3"/>
        <v>0</v>
      </c>
    </row>
    <row r="15" spans="1:53">
      <c r="B15" s="526"/>
      <c r="C15" s="529"/>
      <c r="D15" s="529"/>
      <c r="E15" s="532"/>
      <c r="F15" s="532"/>
      <c r="G15" s="45" t="s">
        <v>35</v>
      </c>
      <c r="H15" s="58">
        <f>(H12-H13)/H12</f>
        <v>0.21548734165928859</v>
      </c>
      <c r="I15" s="65">
        <v>0.3342875007701635</v>
      </c>
      <c r="J15" s="59">
        <v>9.7683571742868638E-2</v>
      </c>
      <c r="K15" s="59">
        <v>0.3103833014680808</v>
      </c>
      <c r="L15" s="59">
        <v>0.47679322474683322</v>
      </c>
      <c r="M15" s="59">
        <v>0.51767358459832047</v>
      </c>
      <c r="N15" s="59">
        <v>-8.34899457473459E-3</v>
      </c>
      <c r="O15" s="59">
        <v>0.23041513059392507</v>
      </c>
      <c r="P15" s="59">
        <v>0.3350452551661916</v>
      </c>
      <c r="Q15" s="59">
        <v>7.9902300248928457E-2</v>
      </c>
      <c r="R15" s="59">
        <v>0.49876500555012387</v>
      </c>
      <c r="S15" s="59">
        <v>0.30444053631160062</v>
      </c>
      <c r="T15" s="59">
        <v>0.36128042870089433</v>
      </c>
      <c r="U15" s="59">
        <v>0</v>
      </c>
      <c r="V15" s="65">
        <v>0.52064849895378162</v>
      </c>
      <c r="W15" s="65">
        <v>0.51021483668857504</v>
      </c>
      <c r="X15" s="181">
        <v>0.16100650814730891</v>
      </c>
      <c r="Y15" s="185">
        <v>0.16100650814730891</v>
      </c>
      <c r="Z15" s="65">
        <v>0.43210683152332197</v>
      </c>
      <c r="AA15" s="65">
        <v>0.3352862714753313</v>
      </c>
      <c r="AB15" s="65">
        <v>1.6604818044777269E-2</v>
      </c>
      <c r="AC15" s="181">
        <v>0</v>
      </c>
      <c r="AD15" s="185">
        <f t="shared" ref="AD15:AO15" si="4">IFERROR((AD12-AD13)/AD12,0)</f>
        <v>0.44840068127795768</v>
      </c>
      <c r="AE15" s="65">
        <f t="shared" si="4"/>
        <v>0.519860319882547</v>
      </c>
      <c r="AF15" s="273">
        <f t="shared" si="4"/>
        <v>0.33783473967185457</v>
      </c>
      <c r="AG15" s="297">
        <f t="shared" si="4"/>
        <v>0.30385237395383063</v>
      </c>
      <c r="AH15" s="313">
        <f t="shared" si="4"/>
        <v>0.29533353574101762</v>
      </c>
      <c r="AI15" s="319">
        <f t="shared" si="4"/>
        <v>0.39968869354708236</v>
      </c>
      <c r="AJ15" s="297">
        <f t="shared" si="4"/>
        <v>-0.3807528945057459</v>
      </c>
      <c r="AK15" s="369">
        <f t="shared" si="4"/>
        <v>0.64234832756418314</v>
      </c>
      <c r="AL15" s="380">
        <f t="shared" si="4"/>
        <v>0.29747612361857378</v>
      </c>
      <c r="AM15" s="185">
        <f t="shared" si="4"/>
        <v>-1.04</v>
      </c>
      <c r="AN15" s="65">
        <f t="shared" si="4"/>
        <v>0</v>
      </c>
      <c r="AO15" s="342">
        <f t="shared" si="4"/>
        <v>0</v>
      </c>
      <c r="AP15" s="349">
        <f t="shared" ref="AP15:BA15" si="5">IFERROR((AP12-AP13)/AP12,0)</f>
        <v>0</v>
      </c>
      <c r="AQ15" s="342">
        <f t="shared" si="5"/>
        <v>0</v>
      </c>
      <c r="AR15" s="61">
        <f t="shared" si="5"/>
        <v>0</v>
      </c>
      <c r="AS15" s="349">
        <f t="shared" si="5"/>
        <v>0</v>
      </c>
      <c r="AT15" s="342">
        <f t="shared" si="5"/>
        <v>0</v>
      </c>
      <c r="AU15" s="61">
        <f t="shared" si="5"/>
        <v>0</v>
      </c>
      <c r="AV15" s="349">
        <f t="shared" si="5"/>
        <v>0</v>
      </c>
      <c r="AW15" s="342">
        <f t="shared" si="5"/>
        <v>0</v>
      </c>
      <c r="AX15" s="61">
        <f t="shared" si="5"/>
        <v>0</v>
      </c>
      <c r="AY15" s="357">
        <f t="shared" si="5"/>
        <v>0</v>
      </c>
      <c r="AZ15" s="342">
        <f t="shared" si="5"/>
        <v>0</v>
      </c>
      <c r="BA15" s="61">
        <f t="shared" si="5"/>
        <v>0</v>
      </c>
    </row>
    <row r="16" spans="1:53" ht="15" thickBot="1">
      <c r="B16" s="527"/>
      <c r="C16" s="530"/>
      <c r="D16" s="530"/>
      <c r="E16" s="533"/>
      <c r="F16" s="533"/>
      <c r="G16" s="229" t="s">
        <v>37</v>
      </c>
      <c r="H16" s="230">
        <f>H11-H13</f>
        <v>-10629.20</v>
      </c>
      <c r="I16" s="201">
        <v>0</v>
      </c>
      <c r="J16" s="62">
        <v>-272.42</v>
      </c>
      <c r="K16" s="62">
        <v>-176.45</v>
      </c>
      <c r="L16" s="62">
        <v>-704.66</v>
      </c>
      <c r="M16" s="62">
        <v>4697.45</v>
      </c>
      <c r="N16" s="62">
        <v>-45.73</v>
      </c>
      <c r="O16" s="62">
        <v>-312.93</v>
      </c>
      <c r="P16" s="62">
        <v>0</v>
      </c>
      <c r="Q16" s="62">
        <v>-1476.06</v>
      </c>
      <c r="R16" s="62">
        <v>-8.25</v>
      </c>
      <c r="S16" s="62">
        <v>-443.34</v>
      </c>
      <c r="T16" s="62">
        <v>-1955.03</v>
      </c>
      <c r="U16" s="62">
        <v>-830.27</v>
      </c>
      <c r="V16" s="66">
        <v>-674.70</v>
      </c>
      <c r="W16" s="66">
        <v>2292.38</v>
      </c>
      <c r="X16" s="182">
        <v>-19086.05</v>
      </c>
      <c r="Y16" s="189">
        <v>-1270.97</v>
      </c>
      <c r="Z16" s="66">
        <v>-1686.79</v>
      </c>
      <c r="AA16" s="66">
        <v>2324.27</v>
      </c>
      <c r="AB16" s="66">
        <v>-5105.77</v>
      </c>
      <c r="AC16" s="182">
        <v>-1977.40</v>
      </c>
      <c r="AD16" s="189">
        <f t="shared" ref="AD16:AO16" si="6">AD11-AD13</f>
        <v>356.96</v>
      </c>
      <c r="AE16" s="66">
        <f t="shared" si="6"/>
        <v>-2059.80</v>
      </c>
      <c r="AF16" s="274">
        <f t="shared" si="6"/>
        <v>489.70</v>
      </c>
      <c r="AG16" s="298">
        <f t="shared" si="6"/>
        <v>-1382.02</v>
      </c>
      <c r="AH16" s="314">
        <f t="shared" si="6"/>
        <v>1993.65</v>
      </c>
      <c r="AI16" s="320">
        <f t="shared" si="6"/>
        <v>987.59</v>
      </c>
      <c r="AJ16" s="298">
        <f t="shared" si="6"/>
        <v>1799.52</v>
      </c>
      <c r="AK16" s="370">
        <f t="shared" si="6"/>
        <v>4396.97</v>
      </c>
      <c r="AL16" s="381">
        <f t="shared" si="6"/>
        <v>-1246.47</v>
      </c>
      <c r="AM16" s="186">
        <f t="shared" si="6"/>
        <v>-914.06</v>
      </c>
      <c r="AN16" s="201">
        <f t="shared" si="6"/>
        <v>0</v>
      </c>
      <c r="AO16" s="343">
        <f t="shared" si="6"/>
        <v>0</v>
      </c>
      <c r="AP16" s="350">
        <f t="shared" ref="AP16:BA16" si="7">AP11-AP13</f>
        <v>0</v>
      </c>
      <c r="AQ16" s="343">
        <f t="shared" si="7"/>
        <v>0</v>
      </c>
      <c r="AR16" s="188">
        <f t="shared" si="7"/>
        <v>0</v>
      </c>
      <c r="AS16" s="350">
        <f t="shared" si="7"/>
        <v>0</v>
      </c>
      <c r="AT16" s="343">
        <f t="shared" si="7"/>
        <v>0</v>
      </c>
      <c r="AU16" s="188">
        <f t="shared" si="7"/>
        <v>0</v>
      </c>
      <c r="AV16" s="350">
        <f t="shared" si="7"/>
        <v>0</v>
      </c>
      <c r="AW16" s="343">
        <f t="shared" si="7"/>
        <v>0</v>
      </c>
      <c r="AX16" s="188">
        <f t="shared" si="7"/>
        <v>0</v>
      </c>
      <c r="AY16" s="358">
        <f t="shared" si="7"/>
        <v>0</v>
      </c>
      <c r="AZ16" s="343">
        <f t="shared" si="7"/>
        <v>0</v>
      </c>
      <c r="BA16" s="188">
        <f t="shared" si="7"/>
        <v>0</v>
      </c>
    </row>
    <row r="17" spans="1:53">
      <c r="B17" s="525" t="s">
        <v>20</v>
      </c>
      <c r="C17" s="528" t="s">
        <v>14</v>
      </c>
      <c r="D17" s="528">
        <v>8874098591</v>
      </c>
      <c r="E17" s="531" t="s">
        <v>38</v>
      </c>
      <c r="F17" s="531" t="s">
        <v>25</v>
      </c>
      <c r="G17" s="50" t="s">
        <v>32</v>
      </c>
      <c r="H17" s="51">
        <f>IFERROR(SUM(I17:AO17),0)</f>
        <v>1817547.21</v>
      </c>
      <c r="I17" s="63">
        <v>277570.82</v>
      </c>
      <c r="J17" s="52">
        <v>43076.13</v>
      </c>
      <c r="K17" s="52">
        <v>33814.60</v>
      </c>
      <c r="L17" s="52">
        <v>24050.21</v>
      </c>
      <c r="M17" s="52">
        <v>25733.86</v>
      </c>
      <c r="N17" s="52">
        <v>27248.97</v>
      </c>
      <c r="O17" s="52">
        <v>9652.35</v>
      </c>
      <c r="P17" s="52">
        <v>9652.35</v>
      </c>
      <c r="Q17" s="52">
        <v>0</v>
      </c>
      <c r="R17" s="52">
        <v>15533.80</v>
      </c>
      <c r="S17" s="52">
        <v>56999.95</v>
      </c>
      <c r="T17" s="52">
        <v>39046.88</v>
      </c>
      <c r="U17" s="52">
        <v>23513.13</v>
      </c>
      <c r="V17" s="63">
        <v>32762.06</v>
      </c>
      <c r="W17" s="63">
        <v>36485.89</v>
      </c>
      <c r="X17" s="178">
        <v>36485.88</v>
      </c>
      <c r="Y17" s="183"/>
      <c r="Z17" s="63">
        <v>13253.29</v>
      </c>
      <c r="AA17" s="178">
        <v>10580.63</v>
      </c>
      <c r="AB17" s="183">
        <v>37221.13</v>
      </c>
      <c r="AC17" s="231">
        <v>63398.30</v>
      </c>
      <c r="AD17" s="219">
        <v>133426.98000000001</v>
      </c>
      <c r="AE17" s="63">
        <v>130382.41</v>
      </c>
      <c r="AF17" s="271">
        <v>90746.44</v>
      </c>
      <c r="AG17" s="294">
        <v>50871.94</v>
      </c>
      <c r="AH17" s="312">
        <v>92339.78</v>
      </c>
      <c r="AI17" s="321">
        <v>103898.21</v>
      </c>
      <c r="AJ17" s="337">
        <v>101814.97</v>
      </c>
      <c r="AK17" s="371">
        <v>84487.68</v>
      </c>
      <c r="AL17" s="382">
        <v>81287.994999999995</v>
      </c>
      <c r="AM17" s="426">
        <v>80282.86</v>
      </c>
      <c r="AN17" s="200">
        <v>81348.48</v>
      </c>
      <c r="AO17" s="344">
        <v>10580.63</v>
      </c>
      <c r="AP17" s="351">
        <v>10580.63</v>
      </c>
      <c r="AQ17" s="344">
        <v>10580.63</v>
      </c>
      <c r="AR17" s="344">
        <v>10580.63</v>
      </c>
      <c r="AS17" s="351">
        <v>10580.63</v>
      </c>
      <c r="AT17" s="344">
        <v>10580.63</v>
      </c>
      <c r="AU17" s="324">
        <v>10580.63</v>
      </c>
      <c r="AV17" s="324">
        <v>10580.63</v>
      </c>
      <c r="AW17" s="324">
        <v>10580.63</v>
      </c>
      <c r="AX17" s="324">
        <v>10580.63</v>
      </c>
      <c r="AY17" s="324">
        <v>10580.63</v>
      </c>
      <c r="AZ17" s="324">
        <v>10580.63</v>
      </c>
      <c r="BA17" s="324">
        <v>10580.63</v>
      </c>
    </row>
    <row r="18" spans="1:53">
      <c r="B18" s="526"/>
      <c r="C18" s="529"/>
      <c r="D18" s="529"/>
      <c r="E18" s="532"/>
      <c r="F18" s="532"/>
      <c r="G18" s="45" t="s">
        <v>33</v>
      </c>
      <c r="H18" s="55">
        <f>IFERROR(SUM(I18:AO18),0)</f>
        <v>1119826.55</v>
      </c>
      <c r="I18" s="64">
        <v>171481.08</v>
      </c>
      <c r="J18" s="53">
        <v>35722.43</v>
      </c>
      <c r="K18" s="53">
        <v>23777.49</v>
      </c>
      <c r="L18" s="53">
        <v>14795.57</v>
      </c>
      <c r="M18" s="53">
        <v>18425.82</v>
      </c>
      <c r="N18" s="53">
        <v>4653.83</v>
      </c>
      <c r="O18" s="53">
        <v>6632.24</v>
      </c>
      <c r="P18" s="53">
        <v>6976.44</v>
      </c>
      <c r="Q18" s="53">
        <v>0</v>
      </c>
      <c r="R18" s="53">
        <v>9813.42</v>
      </c>
      <c r="S18" s="53">
        <v>32931.48</v>
      </c>
      <c r="T18" s="53">
        <v>26173.26</v>
      </c>
      <c r="U18" s="53">
        <v>15935.18</v>
      </c>
      <c r="V18" s="64">
        <v>13352.38</v>
      </c>
      <c r="W18" s="64">
        <v>22810.79</v>
      </c>
      <c r="X18" s="179">
        <v>29161.96</v>
      </c>
      <c r="Y18" s="184">
        <v>0</v>
      </c>
      <c r="Z18" s="64">
        <v>11680.35</v>
      </c>
      <c r="AA18" s="179">
        <v>4918.12</v>
      </c>
      <c r="AB18" s="184">
        <v>56171.51</v>
      </c>
      <c r="AC18" s="179">
        <v>33773.90</v>
      </c>
      <c r="AD18" s="184">
        <f>'FCST 8874098591 35%'!H51</f>
        <v>58648.25</v>
      </c>
      <c r="AE18" s="64">
        <f>'FCST 8874098591 35%'!I51</f>
        <v>61691.76</v>
      </c>
      <c r="AF18" s="272">
        <f>'FCST 8874098591 35%'!J51</f>
        <v>52279.54</v>
      </c>
      <c r="AG18" s="299">
        <f>'FCST 8874098591 35%'!K51</f>
        <v>28285.21</v>
      </c>
      <c r="AH18" s="304">
        <f>'FCST 8874098591 35%'!L51</f>
        <v>52996.92</v>
      </c>
      <c r="AI18" s="318">
        <f>'FCST 8874098591 35%'!M51</f>
        <v>56052.94</v>
      </c>
      <c r="AJ18" s="296">
        <v>86869.67</v>
      </c>
      <c r="AK18" s="304">
        <f>'FCST 8874098591 35%'!O51</f>
        <v>49715.31</v>
      </c>
      <c r="AL18" s="295">
        <f>'FCST 8874098591 35%'!P51</f>
        <v>32222.43</v>
      </c>
      <c r="AM18" s="427">
        <f>'FCST 8874098591 35%'!Q51</f>
        <v>68722.47</v>
      </c>
      <c r="AN18" s="179">
        <f>'FCST 8874098591 35%'!R51</f>
        <v>31734</v>
      </c>
      <c r="AO18" s="209">
        <f>'FCST 8874098591 35%'!S51</f>
        <v>1420.52</v>
      </c>
      <c r="AP18" s="232">
        <f>'FCST 8874098591 35%'!T51</f>
        <v>0</v>
      </c>
      <c r="AQ18" s="209">
        <f>'FCST 8874098591 35%'!U51</f>
        <v>0</v>
      </c>
      <c r="AR18" s="207">
        <f>'FCST 8874098591 35%'!V51</f>
        <v>0</v>
      </c>
      <c r="AS18" s="232">
        <f>'FCST 8874098591 35%'!W51</f>
        <v>0</v>
      </c>
      <c r="AT18" s="209">
        <f>'FCST 8874098591 35%'!X51</f>
        <v>0</v>
      </c>
      <c r="AU18" s="207">
        <f>'FCST 8874098591 35%'!Y51</f>
        <v>0</v>
      </c>
      <c r="AV18" s="232">
        <f>'FCST 8874098591 35%'!Z51</f>
        <v>0</v>
      </c>
      <c r="AW18" s="209">
        <f>'FCST 8874098591 35%'!AA51</f>
        <v>0</v>
      </c>
      <c r="AX18" s="207">
        <f>'FCST 8874098591 35%'!AB51</f>
        <v>0</v>
      </c>
      <c r="AY18" s="356">
        <f>'FCST 8874098591 35%'!AC51</f>
        <v>0</v>
      </c>
      <c r="AZ18" s="209">
        <f>'FCST 8874098591 35%'!AD51</f>
        <v>0</v>
      </c>
      <c r="BA18" s="207">
        <f>'FCST 8874098591 35%'!AE51</f>
        <v>0</v>
      </c>
    </row>
    <row r="19" spans="1:53">
      <c r="B19" s="526"/>
      <c r="C19" s="529"/>
      <c r="D19" s="529"/>
      <c r="E19" s="532"/>
      <c r="F19" s="532"/>
      <c r="G19" s="45" t="s">
        <v>31</v>
      </c>
      <c r="H19" s="55">
        <f>IFERROR(SUM(I19:AO19),0)</f>
        <v>1809410.22</v>
      </c>
      <c r="I19" s="64">
        <v>277570.82</v>
      </c>
      <c r="J19" s="53">
        <v>43076.13</v>
      </c>
      <c r="K19" s="53">
        <v>33814.60</v>
      </c>
      <c r="L19" s="53">
        <v>24050.21</v>
      </c>
      <c r="M19" s="53">
        <v>17596.85</v>
      </c>
      <c r="N19" s="53">
        <v>27248.96</v>
      </c>
      <c r="O19" s="53">
        <v>9652.11</v>
      </c>
      <c r="P19" s="53">
        <v>9652.35</v>
      </c>
      <c r="Q19" s="53">
        <v>0</v>
      </c>
      <c r="R19" s="53">
        <v>15533.80</v>
      </c>
      <c r="S19" s="53">
        <v>57000.23</v>
      </c>
      <c r="T19" s="53">
        <v>39046.88</v>
      </c>
      <c r="U19" s="53">
        <v>23513.13</v>
      </c>
      <c r="V19" s="64">
        <v>32762.06</v>
      </c>
      <c r="W19" s="64">
        <v>36485.89</v>
      </c>
      <c r="X19" s="180">
        <v>36485.88</v>
      </c>
      <c r="Y19" s="184"/>
      <c r="Z19" s="200">
        <v>13253.29</v>
      </c>
      <c r="AA19" s="179">
        <v>10580.63</v>
      </c>
      <c r="AB19" s="184">
        <v>37221.13</v>
      </c>
      <c r="AC19" s="179">
        <v>63398.30</v>
      </c>
      <c r="AD19" s="184">
        <v>108569.53</v>
      </c>
      <c r="AE19" s="64">
        <v>130382.41</v>
      </c>
      <c r="AF19" s="272">
        <v>90746.44</v>
      </c>
      <c r="AG19" s="296">
        <v>50871.94</v>
      </c>
      <c r="AH19" s="304">
        <v>92339.78</v>
      </c>
      <c r="AI19" s="321">
        <v>103898.21</v>
      </c>
      <c r="AJ19" s="296">
        <v>101814.97</v>
      </c>
      <c r="AK19" s="372">
        <v>84487.68</v>
      </c>
      <c r="AL19" s="382">
        <v>81287.994999999995</v>
      </c>
      <c r="AM19" s="184">
        <v>80282.86</v>
      </c>
      <c r="AN19" s="64">
        <v>81348.48</v>
      </c>
      <c r="AO19" s="341">
        <v>10580.63</v>
      </c>
      <c r="AP19" s="348"/>
      <c r="AQ19" s="341"/>
      <c r="AR19" s="57"/>
      <c r="AS19" s="348"/>
      <c r="AT19" s="341"/>
      <c r="AU19" s="57"/>
      <c r="AV19" s="348"/>
      <c r="AW19" s="341"/>
      <c r="AX19" s="57"/>
      <c r="AY19" s="316"/>
      <c r="AZ19" s="341"/>
      <c r="BA19" s="57"/>
    </row>
    <row r="20" spans="1:53">
      <c r="B20" s="526"/>
      <c r="C20" s="529"/>
      <c r="D20" s="529"/>
      <c r="E20" s="532"/>
      <c r="F20" s="532"/>
      <c r="G20" s="45" t="s">
        <v>36</v>
      </c>
      <c r="H20" s="55">
        <f>IFERROR(SUM(I20:AO20),0)</f>
        <v>1186478.09</v>
      </c>
      <c r="I20" s="64">
        <v>171481.08</v>
      </c>
      <c r="J20" s="53">
        <v>41393.21</v>
      </c>
      <c r="K20" s="53">
        <v>26404.54</v>
      </c>
      <c r="L20" s="53">
        <v>17511.96</v>
      </c>
      <c r="M20" s="53">
        <v>22670.18</v>
      </c>
      <c r="N20" s="53">
        <v>4653.83</v>
      </c>
      <c r="O20" s="53">
        <v>7328.98</v>
      </c>
      <c r="P20" s="53">
        <v>7458.50</v>
      </c>
      <c r="Q20" s="53">
        <v>977.20</v>
      </c>
      <c r="R20" s="53">
        <v>9607.50</v>
      </c>
      <c r="S20" s="53">
        <v>30557.15</v>
      </c>
      <c r="T20" s="53">
        <v>26173.26</v>
      </c>
      <c r="U20" s="53">
        <v>19650.38</v>
      </c>
      <c r="V20" s="64">
        <v>12656.88</v>
      </c>
      <c r="W20" s="64">
        <v>22529.93</v>
      </c>
      <c r="X20" s="165">
        <v>27643.56</v>
      </c>
      <c r="Y20" s="184">
        <v>204.56</v>
      </c>
      <c r="Z20" s="64">
        <v>11915.80</v>
      </c>
      <c r="AA20" s="179">
        <v>9506.61</v>
      </c>
      <c r="AB20" s="184">
        <v>54685.67</v>
      </c>
      <c r="AC20" s="179">
        <v>33473.79</v>
      </c>
      <c r="AD20" s="184">
        <v>73496.47</v>
      </c>
      <c r="AE20" s="64">
        <v>65135.02</v>
      </c>
      <c r="AF20" s="272">
        <v>56905.73</v>
      </c>
      <c r="AG20" s="299">
        <v>40587.25</v>
      </c>
      <c r="AH20" s="304">
        <v>56545.37</v>
      </c>
      <c r="AI20" s="318">
        <v>53832.37</v>
      </c>
      <c r="AJ20" s="299">
        <v>76133.22</v>
      </c>
      <c r="AK20" s="304">
        <v>53888.63</v>
      </c>
      <c r="AL20" s="295">
        <v>34918.23</v>
      </c>
      <c r="AM20" s="427">
        <v>79503.68</v>
      </c>
      <c r="AN20" s="179">
        <v>35735.55</v>
      </c>
      <c r="AO20" s="209">
        <v>1312.02</v>
      </c>
      <c r="AP20" s="232">
        <f>'FCST 8874098591 35%'!T41</f>
        <v>0</v>
      </c>
      <c r="AQ20" s="209">
        <f>'FCST 8874098591 35%'!U41</f>
        <v>0</v>
      </c>
      <c r="AR20" s="207">
        <f>'FCST 8874098591 35%'!V41</f>
        <v>0</v>
      </c>
      <c r="AS20" s="232">
        <f>'FCST 8874098591 35%'!W41</f>
        <v>0</v>
      </c>
      <c r="AT20" s="209">
        <f>'FCST 8874098591 35%'!X41</f>
        <v>0</v>
      </c>
      <c r="AU20" s="207">
        <f>'FCST 8874098591 35%'!Y41</f>
        <v>0</v>
      </c>
      <c r="AV20" s="232">
        <f>'FCST 8874098591 35%'!Z41</f>
        <v>0</v>
      </c>
      <c r="AW20" s="209">
        <f>'FCST 8874098591 35%'!AA41</f>
        <v>0</v>
      </c>
      <c r="AX20" s="207">
        <f>'FCST 8874098591 35%'!AB41</f>
        <v>0</v>
      </c>
      <c r="AY20" s="356">
        <f>'FCST 8874098591 35%'!AC41</f>
        <v>0</v>
      </c>
      <c r="AZ20" s="209">
        <f>'FCST 8874098591 35%'!AD41</f>
        <v>0</v>
      </c>
      <c r="BA20" s="207">
        <f>'FCST 8874098591 35%'!AE41</f>
        <v>0</v>
      </c>
    </row>
    <row r="21" spans="1:53">
      <c r="B21" s="526"/>
      <c r="C21" s="529"/>
      <c r="D21" s="529"/>
      <c r="E21" s="532"/>
      <c r="F21" s="532"/>
      <c r="G21" s="45" t="s">
        <v>34</v>
      </c>
      <c r="H21" s="58">
        <f>(H17-H18)/H17</f>
        <v>0.38388035057090941</v>
      </c>
      <c r="I21" s="65">
        <v>0.38220781016611044</v>
      </c>
      <c r="J21" s="59">
        <v>0.17071404810743929</v>
      </c>
      <c r="K21" s="59">
        <v>0.29682753084408509</v>
      </c>
      <c r="L21" s="59">
        <v>0.38480481516818571</v>
      </c>
      <c r="M21" s="59">
        <v>0.28398534990338559</v>
      </c>
      <c r="N21" s="59">
        <v>0.82921087813357308</v>
      </c>
      <c r="O21" s="59">
        <v>0.31288873152761265</v>
      </c>
      <c r="P21" s="59">
        <v>0.27722893303063756</v>
      </c>
      <c r="Q21" s="59">
        <v>0</v>
      </c>
      <c r="R21" s="59">
        <v>0.36825397989453307</v>
      </c>
      <c r="S21" s="59">
        <v>0.42225427060800425</v>
      </c>
      <c r="T21" s="59">
        <v>0.32969636245952533</v>
      </c>
      <c r="U21" s="59">
        <v>0.3222859745243033</v>
      </c>
      <c r="V21" s="65">
        <v>0.5924436710861839</v>
      </c>
      <c r="W21" s="65">
        <v>0.37480531112195964</v>
      </c>
      <c r="X21" s="181">
        <v>0.20073301474504168</v>
      </c>
      <c r="Y21" s="185">
        <v>0</v>
      </c>
      <c r="Z21" s="65">
        <v>0.11868312817839723</v>
      </c>
      <c r="AA21" s="181">
        <v>0.53517753246049116</v>
      </c>
      <c r="AB21" s="185">
        <v>-0.50912962534644601</v>
      </c>
      <c r="AC21" s="181">
        <v>0.46727445949430391</v>
      </c>
      <c r="AD21" s="185">
        <f t="shared" ref="AD21:AO21" si="8">IFERROR((AD17-AD18)/AD17,0)</f>
        <v>0.45980935789748067</v>
      </c>
      <c r="AE21" s="65">
        <f t="shared" si="8"/>
        <v>0.52683987001261467</v>
      </c>
      <c r="AF21" s="273">
        <f t="shared" si="8"/>
        <v>0.4238943064950958</v>
      </c>
      <c r="AG21" s="297">
        <f t="shared" si="8"/>
        <v>0.44399191737332855</v>
      </c>
      <c r="AH21" s="313">
        <f t="shared" si="8"/>
        <v>0.42606617586260359</v>
      </c>
      <c r="AI21" s="319">
        <f t="shared" si="8"/>
        <v>0.4605014099743201</v>
      </c>
      <c r="AJ21" s="297">
        <f t="shared" si="8"/>
        <v>0.14678885041668513</v>
      </c>
      <c r="AK21" s="369">
        <f t="shared" si="8"/>
        <v>0.41156737766006135</v>
      </c>
      <c r="AL21" s="380">
        <f t="shared" si="8"/>
        <v>0.51284454734060048</v>
      </c>
      <c r="AM21" s="185">
        <f t="shared" si="8"/>
        <v>0.14399572488228973</v>
      </c>
      <c r="AN21" s="65">
        <f t="shared" si="8"/>
        <v>0.60989681770828386</v>
      </c>
      <c r="AO21" s="342">
        <f t="shared" si="8"/>
        <v>0.86574386214380172</v>
      </c>
      <c r="AP21" s="349">
        <f t="shared" ref="AP21:BA21" si="9">IFERROR((AP17-AP18)/AP17,0)</f>
        <v>1</v>
      </c>
      <c r="AQ21" s="342">
        <f t="shared" si="9"/>
        <v>1</v>
      </c>
      <c r="AR21" s="61">
        <f t="shared" si="9"/>
        <v>1</v>
      </c>
      <c r="AS21" s="349">
        <f t="shared" si="9"/>
        <v>1</v>
      </c>
      <c r="AT21" s="342">
        <f t="shared" si="9"/>
        <v>1</v>
      </c>
      <c r="AU21" s="61">
        <f t="shared" si="9"/>
        <v>1</v>
      </c>
      <c r="AV21" s="349">
        <f t="shared" si="9"/>
        <v>1</v>
      </c>
      <c r="AW21" s="342">
        <f t="shared" si="9"/>
        <v>1</v>
      </c>
      <c r="AX21" s="61">
        <f t="shared" si="9"/>
        <v>1</v>
      </c>
      <c r="AY21" s="357">
        <f t="shared" si="9"/>
        <v>1</v>
      </c>
      <c r="AZ21" s="342">
        <f t="shared" si="9"/>
        <v>1</v>
      </c>
      <c r="BA21" s="61">
        <f t="shared" si="9"/>
        <v>1</v>
      </c>
    </row>
    <row r="22" spans="1:53">
      <c r="B22" s="526"/>
      <c r="C22" s="529"/>
      <c r="D22" s="529"/>
      <c r="E22" s="532"/>
      <c r="F22" s="532"/>
      <c r="G22" s="45" t="s">
        <v>35</v>
      </c>
      <c r="H22" s="58">
        <f>(H19-H20)/H19</f>
        <v>0.34427357611387438</v>
      </c>
      <c r="I22" s="65">
        <v>0.38220781016611044</v>
      </c>
      <c r="J22" s="59">
        <v>3.906847537873593E-2</v>
      </c>
      <c r="K22" s="59">
        <v>0.21913780702410848</v>
      </c>
      <c r="L22" s="59">
        <v>0.27185840049261417</v>
      </c>
      <c r="M22" s="59">
        <v>-0.28830901352648602</v>
      </c>
      <c r="N22" s="59">
        <v>0.82921082713305061</v>
      </c>
      <c r="O22" s="59">
        <v>0.24068622512766732</v>
      </c>
      <c r="P22" s="59">
        <v>0.22728579388971276</v>
      </c>
      <c r="Q22" s="59">
        <v>0</v>
      </c>
      <c r="R22" s="59">
        <v>0.381509905800476</v>
      </c>
      <c r="S22" s="59">
        <v>0.46391176583602123</v>
      </c>
      <c r="T22" s="59">
        <v>0.32969636245952533</v>
      </c>
      <c r="U22" s="59">
        <v>0.16428045414402279</v>
      </c>
      <c r="V22" s="65">
        <v>0.6136725291936258</v>
      </c>
      <c r="W22" s="65">
        <v>0.38250301241160412</v>
      </c>
      <c r="X22" s="181">
        <v>0.24234915302318413</v>
      </c>
      <c r="Y22" s="185">
        <v>0</v>
      </c>
      <c r="Z22" s="65">
        <v>0.10091793249994328</v>
      </c>
      <c r="AA22" s="181">
        <v>0.101508369340731</v>
      </c>
      <c r="AB22" s="185">
        <v>-0.46921041137169217</v>
      </c>
      <c r="AC22" s="181">
        <v>0.47200816391385281</v>
      </c>
      <c r="AD22" s="185">
        <f t="shared" ref="AD22:AO22" si="10">IFERROR((AD19-AD20)/AD19,0)</f>
        <v>0.32304703291643122</v>
      </c>
      <c r="AE22" s="65">
        <f t="shared" si="10"/>
        <v>0.50043096343903526</v>
      </c>
      <c r="AF22" s="273">
        <f t="shared" si="10"/>
        <v>0.37291507544348163</v>
      </c>
      <c r="AG22" s="297">
        <f t="shared" si="10"/>
        <v>0.20216819515515849</v>
      </c>
      <c r="AH22" s="313">
        <f t="shared" si="10"/>
        <v>0.38763800468018317</v>
      </c>
      <c r="AI22" s="319">
        <f t="shared" si="10"/>
        <v>0.48187395814677308</v>
      </c>
      <c r="AJ22" s="297">
        <f t="shared" si="10"/>
        <v>0.25223941389500704</v>
      </c>
      <c r="AK22" s="369">
        <f t="shared" si="10"/>
        <v>0.36217179211103451</v>
      </c>
      <c r="AL22" s="380">
        <f t="shared" si="10"/>
        <v>0.47208809861776019</v>
      </c>
      <c r="AM22" s="185">
        <f t="shared" si="10"/>
        <v>9.7053685768712129E-3</v>
      </c>
      <c r="AN22" s="65">
        <f t="shared" si="10"/>
        <v>0.56071030787643339</v>
      </c>
      <c r="AO22" s="342">
        <f t="shared" si="10"/>
        <v>0.87599817428362359</v>
      </c>
      <c r="AP22" s="349">
        <f t="shared" ref="AP22:BA22" si="11">IFERROR((AP19-AP20)/AP19,0)</f>
        <v>0</v>
      </c>
      <c r="AQ22" s="342">
        <f t="shared" si="11"/>
        <v>0</v>
      </c>
      <c r="AR22" s="61">
        <f t="shared" si="11"/>
        <v>0</v>
      </c>
      <c r="AS22" s="349">
        <f t="shared" si="11"/>
        <v>0</v>
      </c>
      <c r="AT22" s="342">
        <f t="shared" si="11"/>
        <v>0</v>
      </c>
      <c r="AU22" s="61">
        <f t="shared" si="11"/>
        <v>0</v>
      </c>
      <c r="AV22" s="349">
        <f t="shared" si="11"/>
        <v>0</v>
      </c>
      <c r="AW22" s="342">
        <f t="shared" si="11"/>
        <v>0</v>
      </c>
      <c r="AX22" s="61">
        <f t="shared" si="11"/>
        <v>0</v>
      </c>
      <c r="AY22" s="357">
        <f t="shared" si="11"/>
        <v>0</v>
      </c>
      <c r="AZ22" s="342">
        <f t="shared" si="11"/>
        <v>0</v>
      </c>
      <c r="BA22" s="61">
        <f t="shared" si="11"/>
        <v>0</v>
      </c>
    </row>
    <row r="23" spans="1:53" ht="15" thickBot="1">
      <c r="B23" s="527"/>
      <c r="C23" s="530"/>
      <c r="D23" s="530"/>
      <c r="E23" s="533"/>
      <c r="F23" s="533"/>
      <c r="G23" s="229" t="s">
        <v>37</v>
      </c>
      <c r="H23" s="230">
        <f>H18-H20</f>
        <v>-66651.55</v>
      </c>
      <c r="I23" s="201">
        <v>0</v>
      </c>
      <c r="J23" s="62">
        <v>-5670.78</v>
      </c>
      <c r="K23" s="62">
        <v>-2627.05</v>
      </c>
      <c r="L23" s="62">
        <v>-2716.38</v>
      </c>
      <c r="M23" s="62">
        <v>-4244.36</v>
      </c>
      <c r="N23" s="62">
        <v>0</v>
      </c>
      <c r="O23" s="62">
        <v>-696.74</v>
      </c>
      <c r="P23" s="62">
        <v>-482.07</v>
      </c>
      <c r="Q23" s="62">
        <v>-977.20</v>
      </c>
      <c r="R23" s="62">
        <v>205.91</v>
      </c>
      <c r="S23" s="62">
        <v>2374.33</v>
      </c>
      <c r="T23" s="62">
        <v>0</v>
      </c>
      <c r="U23" s="62">
        <v>-3715.20</v>
      </c>
      <c r="V23" s="66">
        <v>695.50</v>
      </c>
      <c r="W23" s="66">
        <v>280.86</v>
      </c>
      <c r="X23" s="182">
        <v>1518.40</v>
      </c>
      <c r="Y23" s="186">
        <v>-204.56</v>
      </c>
      <c r="Z23" s="201">
        <v>-235.45</v>
      </c>
      <c r="AA23" s="213">
        <v>-4588.49</v>
      </c>
      <c r="AB23" s="186">
        <v>1485.84</v>
      </c>
      <c r="AC23" s="213">
        <v>300.11</v>
      </c>
      <c r="AD23" s="186">
        <f t="shared" ref="AD23:AO23" si="12">AD18-AD20</f>
        <v>-14848.22</v>
      </c>
      <c r="AE23" s="201">
        <f t="shared" si="12"/>
        <v>-3443.26</v>
      </c>
      <c r="AF23" s="275">
        <f t="shared" si="12"/>
        <v>-4626.18</v>
      </c>
      <c r="AG23" s="298">
        <f t="shared" si="12"/>
        <v>-12302.04</v>
      </c>
      <c r="AH23" s="314">
        <f t="shared" si="12"/>
        <v>-3548.45</v>
      </c>
      <c r="AI23" s="320">
        <f t="shared" si="12"/>
        <v>2220.57</v>
      </c>
      <c r="AJ23" s="298">
        <f t="shared" si="12"/>
        <v>10736.45</v>
      </c>
      <c r="AK23" s="370">
        <f t="shared" si="12"/>
        <v>-4173.32</v>
      </c>
      <c r="AL23" s="381">
        <f t="shared" si="12"/>
        <v>-2695.80</v>
      </c>
      <c r="AM23" s="186">
        <f t="shared" si="12"/>
        <v>-10781.21</v>
      </c>
      <c r="AN23" s="201">
        <f t="shared" si="12"/>
        <v>-4001.25</v>
      </c>
      <c r="AO23" s="343">
        <f t="shared" si="12"/>
        <v>108.50</v>
      </c>
      <c r="AP23" s="350">
        <f t="shared" ref="AP23:BA23" si="13">AP18-AP20</f>
        <v>0</v>
      </c>
      <c r="AQ23" s="343">
        <f t="shared" si="13"/>
        <v>0</v>
      </c>
      <c r="AR23" s="188">
        <f t="shared" si="13"/>
        <v>0</v>
      </c>
      <c r="AS23" s="350">
        <f t="shared" si="13"/>
        <v>0</v>
      </c>
      <c r="AT23" s="343">
        <f t="shared" si="13"/>
        <v>0</v>
      </c>
      <c r="AU23" s="188">
        <f t="shared" si="13"/>
        <v>0</v>
      </c>
      <c r="AV23" s="350">
        <f t="shared" si="13"/>
        <v>0</v>
      </c>
      <c r="AW23" s="343">
        <f t="shared" si="13"/>
        <v>0</v>
      </c>
      <c r="AX23" s="188">
        <f t="shared" si="13"/>
        <v>0</v>
      </c>
      <c r="AY23" s="358">
        <f t="shared" si="13"/>
        <v>0</v>
      </c>
      <c r="AZ23" s="343">
        <f t="shared" si="13"/>
        <v>0</v>
      </c>
      <c r="BA23" s="188">
        <f t="shared" si="13"/>
        <v>0</v>
      </c>
    </row>
    <row r="24" spans="1:53" ht="29.5" thickBot="1">
      <c r="A24" s="67"/>
      <c r="B24" s="38" t="s">
        <v>20</v>
      </c>
      <c r="C24" s="36"/>
      <c r="D24" s="36"/>
      <c r="E24" s="35" t="s">
        <v>73</v>
      </c>
      <c r="F24" s="191" t="s">
        <v>72</v>
      </c>
      <c r="G24" s="68" t="s">
        <v>33</v>
      </c>
      <c r="H24" s="69">
        <f>IFERROR(SUM(I24:AO24),0)</f>
        <v>17087.70</v>
      </c>
      <c r="I24" s="70"/>
      <c r="J24" s="71"/>
      <c r="K24" s="71"/>
      <c r="L24" s="71"/>
      <c r="M24" s="71"/>
      <c r="N24" s="71"/>
      <c r="O24" s="71"/>
      <c r="P24" s="71"/>
      <c r="Q24" s="71"/>
      <c r="R24" s="71"/>
      <c r="S24" s="72"/>
      <c r="T24" s="136"/>
      <c r="U24" s="141"/>
      <c r="V24" s="150"/>
      <c r="W24" s="166"/>
      <c r="X24" s="150"/>
      <c r="Y24" s="190"/>
      <c r="Z24" s="70"/>
      <c r="AA24" s="70"/>
      <c r="AB24" s="70"/>
      <c r="AC24" s="215"/>
      <c r="AD24" s="244"/>
      <c r="AE24" s="247">
        <v>1553.43</v>
      </c>
      <c r="AF24" s="276">
        <v>1553.43</v>
      </c>
      <c r="AG24" s="300">
        <v>1553.43</v>
      </c>
      <c r="AH24" s="305">
        <v>1553.43</v>
      </c>
      <c r="AI24" s="322">
        <v>1553.43</v>
      </c>
      <c r="AJ24" s="338">
        <v>1553.43</v>
      </c>
      <c r="AK24" s="305">
        <v>1553.43</v>
      </c>
      <c r="AL24" s="383">
        <v>1553.43</v>
      </c>
      <c r="AM24" s="428">
        <v>1553.43</v>
      </c>
      <c r="AN24" s="215">
        <v>1553.43</v>
      </c>
      <c r="AO24" s="214">
        <v>1553.43</v>
      </c>
      <c r="AP24" s="352">
        <v>1553.43</v>
      </c>
      <c r="AQ24" s="353">
        <v>1553.43</v>
      </c>
      <c r="AR24" s="354">
        <v>1553.43</v>
      </c>
      <c r="AS24" s="352">
        <v>1553.43</v>
      </c>
      <c r="AT24" s="352">
        <v>1553.43</v>
      </c>
      <c r="AU24" s="352">
        <v>1553.43</v>
      </c>
      <c r="AV24" s="352">
        <v>1553.43</v>
      </c>
      <c r="AW24" s="352">
        <v>1553.43</v>
      </c>
      <c r="AX24" s="352">
        <v>1553.43</v>
      </c>
      <c r="AY24" s="352">
        <v>1553.43</v>
      </c>
      <c r="AZ24" s="352">
        <v>1553.43</v>
      </c>
      <c r="BA24" s="352">
        <v>1553.43</v>
      </c>
    </row>
    <row r="25" spans="1:53">
      <c r="N25" s="39"/>
    </row>
    <row r="26" spans="1:53">
      <c r="N26" s="39"/>
      <c r="AJ26" s="153"/>
      <c r="AM26" s="339"/>
    </row>
    <row r="27" spans="1:53">
      <c r="C27" s="130"/>
      <c r="D27" s="130"/>
      <c r="E27" s="130"/>
      <c r="F27" s="130"/>
      <c r="G27" s="154"/>
      <c r="AJ27" s="153"/>
    </row>
    <row r="28" spans="1:53">
      <c r="C28" s="144"/>
      <c r="E28" s="144"/>
      <c r="G28" s="153"/>
      <c r="H28" s="76"/>
      <c r="AM28" s="128"/>
    </row>
    <row r="29" spans="1:53">
      <c r="C29" s="143"/>
      <c r="G29" s="76"/>
      <c r="H29" s="76"/>
      <c r="J29" s="196"/>
      <c r="R29" s="196"/>
      <c r="W29" s="192"/>
      <c r="X29" s="39"/>
      <c r="Y29" s="192"/>
      <c r="Z29" s="39"/>
    </row>
    <row r="30" spans="1:53">
      <c r="J30" s="9">
        <v>17.41</v>
      </c>
      <c r="V30" s="128"/>
      <c r="W30" s="192"/>
      <c r="X30" s="39"/>
      <c r="Y30" s="192"/>
      <c r="Z30" s="39"/>
    </row>
    <row r="31" spans="1:53">
      <c r="V31" s="128"/>
      <c r="AB31" s="202"/>
      <c r="AC31"/>
      <c r="AD31" s="202"/>
    </row>
    <row r="32" spans="1:53">
      <c r="F32" s="130"/>
      <c r="O32" s="192" t="e">
        <v>#REF!</v>
      </c>
      <c r="P32" s="9">
        <v>16718</v>
      </c>
    </row>
    <row r="33" spans="1:16">
      <c r="O33" s="39" t="e">
        <v>#REF!</v>
      </c>
      <c r="P33" s="126">
        <v>22402.50</v>
      </c>
    </row>
    <row r="34" spans="1:16">
      <c r="A34" s="126"/>
      <c r="P34" s="9">
        <v>27259</v>
      </c>
    </row>
    <row r="35" spans="1:16">
      <c r="A35" s="126"/>
    </row>
    <row r="37" spans="1:16">
      <c r="A37" s="152"/>
    </row>
    <row r="38" spans="1:16">
      <c r="A38" s="152"/>
    </row>
    <row r="39" spans="1:16">
      <c r="A39" s="152"/>
      <c r="E39" s="145"/>
    </row>
    <row r="40" spans="1:16">
      <c r="A40" s="152"/>
    </row>
    <row r="41" spans="1:16">
      <c r="A41" s="152"/>
    </row>
    <row r="42" spans="1:16">
      <c r="A42" s="152"/>
    </row>
    <row r="43" spans="1:16">
      <c r="A43" s="152"/>
    </row>
    <row r="44" spans="1:16">
      <c r="A44" s="152"/>
    </row>
    <row r="45" spans="1:16">
      <c r="A45" s="152"/>
    </row>
    <row r="46" spans="1:16">
      <c r="A46" s="152"/>
    </row>
    <row r="47" spans="1:16">
      <c r="A47" s="152"/>
    </row>
    <row r="48" spans="1:16">
      <c r="A48" s="152"/>
    </row>
    <row r="49" spans="1:1">
      <c r="A49" s="152"/>
    </row>
  </sheetData>
  <autoFilter ref="A9:W25" xr:uid="{00000000-0001-0000-0100-000000000000}"/>
  <mergeCells count="26">
    <mergeCell ref="F10:F16"/>
    <mergeCell ref="F17:F23"/>
    <mergeCell ref="E17:E23"/>
    <mergeCell ref="D17:D23"/>
    <mergeCell ref="C17:C23"/>
    <mergeCell ref="B10:B16"/>
    <mergeCell ref="B17:B23"/>
    <mergeCell ref="C10:C16"/>
    <mergeCell ref="D10:D16"/>
    <mergeCell ref="E10:E16"/>
    <mergeCell ref="AP2:AR2"/>
    <mergeCell ref="AS2:AU2"/>
    <mergeCell ref="AV2:AX2"/>
    <mergeCell ref="AY2:BA2"/>
    <mergeCell ref="B2:C2"/>
    <mergeCell ref="U2:W2"/>
    <mergeCell ref="L2:N2"/>
    <mergeCell ref="O2:Q2"/>
    <mergeCell ref="R2:T2"/>
    <mergeCell ref="I2:K2"/>
    <mergeCell ref="AG2:AI2"/>
    <mergeCell ref="AJ2:AL2"/>
    <mergeCell ref="AM2:AO2"/>
    <mergeCell ref="AD2:AF2"/>
    <mergeCell ref="X2:Z2"/>
    <mergeCell ref="AA2:AC2"/>
  </mergeCells>
  <phoneticPr fontId="51" type="noConversion"/>
  <conditionalFormatting sqref="I1:W1">
    <cfRule type="cellIs" dxfId="57" priority="1" operator="lessThan">
      <formula>0</formula>
    </cfRule>
    <cfRule type="cellIs" dxfId="56" priority="2" operator="greaterThan">
      <formula>0</formula>
    </cfRule>
  </conditionalFormatting>
  <dataValidations disablePrompts="1" count="1">
    <dataValidation type="list" allowBlank="1" showInputMessage="1" showErrorMessage="1" sqref="B10 B17 B24" xr:uid="{90909728-7710-400A-93DB-07B59D623CF3}">
      <formula1>"BNL,Findomestic"</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854F9-B0AB-40A1-8C14-E815EB71C6D4}">
  <sheetPr codeName="Sheet13"/>
  <dimension ref="B1:E13"/>
  <sheetViews>
    <sheetView workbookViewId="0">
      <selection activeCell="D19" sqref="D19"/>
    </sheetView>
  </sheetViews>
  <sheetFormatPr defaultRowHeight="14.5"/>
  <cols>
    <col min="2" max="2" width="29.08984375" bestFit="1" customWidth="1"/>
    <col min="3" max="3" width="24.08984375" customWidth="1"/>
    <col min="4" max="4" width="23.7265625" bestFit="1" customWidth="1"/>
    <col min="5" max="5" width="14.1796875" bestFit="1" customWidth="1"/>
    <col min="8" max="8" width="29.08984375" bestFit="1" customWidth="1"/>
    <col min="9" max="9" width="13.54296875" bestFit="1" customWidth="1"/>
    <col min="10" max="10" width="19.1796875" customWidth="1"/>
  </cols>
  <sheetData>
    <row r="1" spans="2:5">
      <c r="C1" s="543" t="s">
        <v>784</v>
      </c>
      <c r="D1" s="544"/>
      <c r="E1" s="545"/>
    </row>
    <row r="2" spans="2:5">
      <c r="C2" s="407" t="s">
        <v>782</v>
      </c>
      <c r="D2" s="407" t="s">
        <v>783</v>
      </c>
      <c r="E2" s="500" t="s">
        <v>781</v>
      </c>
    </row>
    <row r="3" spans="2:5">
      <c r="B3" s="407" t="s">
        <v>180</v>
      </c>
      <c r="C3" s="100">
        <v>365281.17</v>
      </c>
      <c r="D3" s="100">
        <v>411512.88</v>
      </c>
      <c r="E3" s="100">
        <f>SUM(C3:D3)</f>
        <v>776794.04</v>
      </c>
    </row>
    <row r="4" spans="2:5">
      <c r="B4" s="407" t="s">
        <v>248</v>
      </c>
      <c r="C4" s="100">
        <v>1002507.26</v>
      </c>
      <c r="D4" s="100">
        <v>588028.19</v>
      </c>
      <c r="E4" s="393">
        <f>SUM(C4:D4)</f>
        <v>1590535.45</v>
      </c>
    </row>
    <row r="6" spans="2:5">
      <c r="C6" s="543" t="s">
        <v>786</v>
      </c>
      <c r="D6" s="545"/>
      <c r="E6" s="121"/>
    </row>
    <row r="7" spans="2:5" ht="15" thickBot="1">
      <c r="B7" s="134"/>
      <c r="C7" s="501" t="s">
        <v>785</v>
      </c>
      <c r="D7" s="502" t="s">
        <v>787</v>
      </c>
    </row>
    <row r="8" spans="2:5">
      <c r="B8" s="492" t="s">
        <v>775</v>
      </c>
      <c r="C8" s="498">
        <v>1414146</v>
      </c>
      <c r="D8" s="499">
        <v>1159135.66</v>
      </c>
    </row>
    <row r="9" spans="2:5">
      <c r="B9" s="493" t="s">
        <v>776</v>
      </c>
      <c r="C9" s="498">
        <v>1456523</v>
      </c>
      <c r="D9" s="499">
        <v>1504531</v>
      </c>
    </row>
    <row r="10" spans="2:5">
      <c r="B10" s="493" t="s">
        <v>778</v>
      </c>
      <c r="C10" s="498">
        <v>242008</v>
      </c>
      <c r="D10" s="499">
        <v>242008</v>
      </c>
    </row>
    <row r="11" spans="2:5">
      <c r="B11" s="493" t="s">
        <v>779</v>
      </c>
      <c r="C11" s="505">
        <f>C9+C10</f>
        <v>1698531</v>
      </c>
      <c r="D11" s="506">
        <f>D9+D10</f>
        <v>1746540</v>
      </c>
    </row>
    <row r="12" spans="2:5">
      <c r="B12" s="493" t="s">
        <v>780</v>
      </c>
      <c r="C12" s="498">
        <f>C8-C11</f>
        <v>-284386</v>
      </c>
      <c r="D12" s="499">
        <f>D8-D11</f>
        <v>-587403.85</v>
      </c>
    </row>
    <row r="13" spans="2:5" ht="15" thickBot="1">
      <c r="B13" s="494" t="s">
        <v>777</v>
      </c>
      <c r="C13" s="503">
        <f>C11/C8</f>
        <v>0.98</v>
      </c>
      <c r="D13" s="504">
        <f>D11/D8</f>
        <v>1.23</v>
      </c>
    </row>
  </sheetData>
  <mergeCells count="2">
    <mergeCell ref="C1:E1"/>
    <mergeCell ref="C6:D6"/>
  </mergeCells>
  <phoneticPr fontId="51" type="noConversion"/>
  <conditionalFormatting sqref="C13:D13">
    <cfRule type="dataBar" priority="1">
      <dataBar>
        <cfvo type="num" val="0"/>
        <cfvo type="num" val="1"/>
        <color rgb="FF638EC6"/>
      </dataBar>
      <extLst>
        <ext xmlns:x14="http://schemas.microsoft.com/office/spreadsheetml/2009/9/main" uri="{B025F937-C7B1-47D3-B67F-A62EFF666E3E}">
          <x14:id>{51D6B939-4285-42CF-B9B2-198196221411}</x14:id>
        </ext>
      </extLst>
    </cfRule>
    <cfRule type="dataBar" priority="2">
      <dataBar>
        <cfvo type="min"/>
        <cfvo type="max"/>
        <color rgb="FF638EC6"/>
      </dataBar>
      <extLst>
        <ext xmlns:x14="http://schemas.microsoft.com/office/spreadsheetml/2009/9/main" uri="{B025F937-C7B1-47D3-B67F-A62EFF666E3E}">
          <x14:id>{7C937F2D-DB3E-4CF4-9C9A-F2F25C8C6868}</x14:id>
        </ext>
      </extLst>
    </cfRule>
    <cfRule type="dataBar" priority="3">
      <dataBar>
        <cfvo type="min"/>
        <cfvo type="max"/>
        <color rgb="FF638EC6"/>
      </dataBar>
      <extLst>
        <ext xmlns:x14="http://schemas.microsoft.com/office/spreadsheetml/2009/9/main" uri="{B025F937-C7B1-47D3-B67F-A62EFF666E3E}">
          <x14:id>{88A092E5-21BE-46F0-BD2B-562F8CD37CA8}</x14:id>
        </ext>
      </extLst>
    </cfRule>
    <cfRule type="dataBar" priority="4">
      <dataBar>
        <cfvo type="min"/>
        <cfvo type="max"/>
        <color rgb="FF638EC6"/>
      </dataBar>
      <extLst>
        <ext xmlns:x14="http://schemas.microsoft.com/office/spreadsheetml/2009/9/main" uri="{B025F937-C7B1-47D3-B67F-A62EFF666E3E}">
          <x14:id>{CC792461-2AF4-4F29-AFD8-53B75545D9A3}</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51D6B939-4285-42CF-B9B2-198196221411}">
            <x14:dataBar minLength="0" maxLength="100" gradient="0">
              <x14:cfvo type="num">
                <xm:f>0</xm:f>
              </x14:cfvo>
              <x14:cfvo type="num">
                <xm:f>1</xm:f>
              </x14:cfvo>
              <x14:negativeFillColor rgb="FFFF0000"/>
              <x14:axisColor rgb="FF000000"/>
            </x14:dataBar>
          </x14:cfRule>
          <x14:cfRule type="dataBar" id="{7C937F2D-DB3E-4CF4-9C9A-F2F25C8C6868}">
            <x14:dataBar minLength="0" maxLength="100" gradient="0" direction="leftToRight" negativeBarColorSameAsPositive="1">
              <x14:cfvo type="autoMin"/>
              <x14:cfvo type="autoMax"/>
              <x14:axisColor rgb="FF000000"/>
            </x14:dataBar>
          </x14:cfRule>
          <x14:cfRule type="dataBar" id="{88A092E5-21BE-46F0-BD2B-562F8CD37CA8}">
            <x14:dataBar minLength="0" maxLength="100" gradient="0" direction="leftToRight">
              <x14:cfvo type="autoMin"/>
              <x14:cfvo type="autoMax"/>
              <x14:negativeFillColor rgb="FFFF0000"/>
              <x14:axisColor rgb="FF000000"/>
            </x14:dataBar>
          </x14:cfRule>
          <x14:cfRule type="dataBar" id="{CC792461-2AF4-4F29-AFD8-53B75545D9A3}">
            <x14:dataBar minLength="0" maxLength="100" gradient="0">
              <x14:cfvo type="autoMin"/>
              <x14:cfvo type="autoMax"/>
              <x14:negativeFillColor rgb="FFFF0000"/>
              <x14:axisColor rgb="FF000000"/>
            </x14:dataBar>
          </x14:cfRule>
          <xm:sqref>C13:D13</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E420D5-D2B9-42C4-9DD5-638C665A5A99}">
  <sheetPr codeName="Sheet12">
    <tabColor theme="5" tint="0.79998168889431442"/>
  </sheetPr>
  <dimension ref="A1:Z55"/>
  <sheetViews>
    <sheetView zoomScale="70" zoomScaleNormal="70" workbookViewId="0">
      <pane xSplit="1" ySplit="2" topLeftCell="B8" activePane="bottomRight" state="frozen"/>
      <selection activeCell="E6" sqref="E6"/>
      <selection pane="topRight" activeCell="E6" sqref="E6"/>
      <selection pane="bottomLeft" activeCell="E6" sqref="E6"/>
      <selection pane="bottomRight" activeCell="J24" sqref="J24"/>
    </sheetView>
  </sheetViews>
  <sheetFormatPr defaultRowHeight="14.5" outlineLevelRow="1" outlineLevelCol="1"/>
  <cols>
    <col min="1" max="1" width="42.54296875" customWidth="1"/>
    <col min="2" max="2" width="15.54296875" style="462" customWidth="1"/>
    <col min="3" max="3" width="15" style="463" customWidth="1"/>
    <col min="4" max="4" width="2.54296875" customWidth="1"/>
    <col min="5" max="5" width="13.81640625" customWidth="1" outlineLevel="1"/>
    <col min="6" max="6" width="13.6328125" customWidth="1" outlineLevel="1"/>
    <col min="7" max="7" width="14.36328125" customWidth="1" outlineLevel="1"/>
    <col min="8" max="8" width="14.1796875" bestFit="1" customWidth="1"/>
    <col min="9" max="9" width="13.36328125" style="488" hidden="1" customWidth="1"/>
    <col min="10" max="10" width="13.81640625" customWidth="1" outlineLevel="1"/>
    <col min="11" max="11" width="13.6328125" customWidth="1" outlineLevel="1"/>
    <col min="12" max="12" width="14.36328125" customWidth="1" outlineLevel="1"/>
    <col min="13" max="13" width="13.453125" bestFit="1" customWidth="1"/>
    <col min="14" max="14" width="13.81640625" customWidth="1" outlineLevel="1"/>
    <col min="15" max="15" width="13.6328125" customWidth="1" outlineLevel="1"/>
    <col min="16" max="16" width="14.36328125" customWidth="1" outlineLevel="1"/>
    <col min="17" max="17" width="13.453125" bestFit="1" customWidth="1"/>
    <col min="18" max="18" width="13.81640625" customWidth="1" outlineLevel="1"/>
    <col min="19" max="19" width="13.6328125" customWidth="1" outlineLevel="1"/>
    <col min="20" max="20" width="14.36328125" customWidth="1" outlineLevel="1"/>
    <col min="21" max="21" width="13.453125" bestFit="1" customWidth="1"/>
    <col min="22" max="22" width="13.81640625" customWidth="1" outlineLevel="1"/>
    <col min="23" max="23" width="13.6328125" customWidth="1" outlineLevel="1"/>
    <col min="24" max="24" width="14.36328125" customWidth="1" outlineLevel="1"/>
    <col min="25" max="25" width="13.453125" bestFit="1" customWidth="1"/>
    <col min="26" max="26" width="13.36328125" style="488" customWidth="1"/>
  </cols>
  <sheetData>
    <row r="1" spans="1:26">
      <c r="A1" s="430"/>
      <c r="B1" s="431" t="s">
        <v>725</v>
      </c>
      <c r="C1" s="432" t="s">
        <v>726</v>
      </c>
      <c r="D1" s="433"/>
      <c r="E1" s="435">
        <v>46174</v>
      </c>
      <c r="F1" s="435">
        <v>46204</v>
      </c>
      <c r="G1" s="435">
        <v>46235</v>
      </c>
      <c r="H1" s="436" t="s">
        <v>727</v>
      </c>
      <c r="I1" s="485" t="s">
        <v>248</v>
      </c>
      <c r="J1" s="435">
        <v>46266</v>
      </c>
      <c r="K1" s="435">
        <v>46296</v>
      </c>
      <c r="L1" s="435">
        <v>46327</v>
      </c>
      <c r="M1" s="436" t="s">
        <v>760</v>
      </c>
      <c r="N1" s="435">
        <v>46357</v>
      </c>
      <c r="O1" s="435">
        <v>46388</v>
      </c>
      <c r="P1" s="435">
        <v>46419</v>
      </c>
      <c r="Q1" s="436" t="s">
        <v>761</v>
      </c>
      <c r="R1" s="435">
        <v>46447</v>
      </c>
      <c r="S1" s="435">
        <v>46478</v>
      </c>
      <c r="T1" s="435">
        <v>46508</v>
      </c>
      <c r="U1" s="436" t="s">
        <v>762</v>
      </c>
      <c r="V1" s="435">
        <v>46539</v>
      </c>
      <c r="W1" s="435">
        <v>46569</v>
      </c>
      <c r="X1" s="435">
        <v>46600</v>
      </c>
      <c r="Y1" s="436" t="s">
        <v>763</v>
      </c>
      <c r="Z1" s="485" t="s">
        <v>248</v>
      </c>
    </row>
    <row r="2" spans="1:26">
      <c r="A2" s="437"/>
      <c r="B2" s="438"/>
      <c r="C2" s="439"/>
      <c r="D2" s="437"/>
      <c r="E2" s="440" t="s">
        <v>728</v>
      </c>
      <c r="F2" s="440" t="s">
        <v>728</v>
      </c>
      <c r="G2" s="440" t="s">
        <v>728</v>
      </c>
      <c r="H2" s="434"/>
      <c r="I2" s="485"/>
      <c r="J2" s="440" t="s">
        <v>729</v>
      </c>
      <c r="K2" s="440" t="s">
        <v>729</v>
      </c>
      <c r="L2" s="440" t="s">
        <v>729</v>
      </c>
      <c r="M2" s="434"/>
      <c r="N2" s="440" t="s">
        <v>729</v>
      </c>
      <c r="O2" s="440" t="s">
        <v>729</v>
      </c>
      <c r="P2" s="440" t="s">
        <v>729</v>
      </c>
      <c r="Q2" s="434"/>
      <c r="R2" s="440" t="s">
        <v>729</v>
      </c>
      <c r="S2" s="440" t="s">
        <v>729</v>
      </c>
      <c r="T2" s="440" t="s">
        <v>729</v>
      </c>
      <c r="U2" s="434"/>
      <c r="V2" s="440" t="s">
        <v>729</v>
      </c>
      <c r="W2" s="440" t="s">
        <v>729</v>
      </c>
      <c r="X2" s="440" t="s">
        <v>729</v>
      </c>
      <c r="Y2" s="434"/>
      <c r="Z2" s="485"/>
    </row>
    <row r="3" spans="1:26">
      <c r="A3" s="441" t="s">
        <v>730</v>
      </c>
      <c r="B3" s="442">
        <f>SUMIFS(B:B,$A:$A,"Billing")</f>
        <v>2766204.04</v>
      </c>
      <c r="C3" s="443">
        <f t="shared" ref="C3:C8" si="0">SUMIF($E$2:$H$2,"actual",E3:H3)+B3</f>
        <v>2990125.86</v>
      </c>
      <c r="D3" s="444"/>
      <c r="E3" s="445">
        <f>SUMIFS(E:E,$A:$A,"Billing")</f>
        <v>190004.79</v>
      </c>
      <c r="F3" s="445">
        <f>SUMIFS(F:F,$A:$A,"Billing")</f>
        <v>3700.68</v>
      </c>
      <c r="G3" s="445">
        <f>SUMIFS(G:G,$A:$A,"Billing")</f>
        <v>30216.35</v>
      </c>
      <c r="H3" s="446">
        <f>SUM(E3:G3)</f>
        <v>223921.83</v>
      </c>
      <c r="I3" s="490"/>
      <c r="J3" s="445">
        <f>SUMIFS(J:J,$A:$A,"Billing")</f>
        <v>79355.91</v>
      </c>
      <c r="K3" s="445">
        <f>SUMIFS(K:K,$A:$A,"Billing")</f>
        <v>0</v>
      </c>
      <c r="L3" s="445">
        <f>SUMIFS(L:L,$A:$A,"Billing")</f>
        <v>0</v>
      </c>
      <c r="M3" s="446">
        <f>SUM(J3:L3)</f>
        <v>79355.91</v>
      </c>
      <c r="N3" s="445">
        <f>SUMIFS(N:N,$A:$A,"Billing")</f>
        <v>26451.59</v>
      </c>
      <c r="O3" s="445">
        <f>SUMIFS(O:O,$A:$A,"Billing")</f>
        <v>0</v>
      </c>
      <c r="P3" s="445">
        <f>SUMIFS(P:P,$A:$A,"Billing")</f>
        <v>0</v>
      </c>
      <c r="Q3" s="446">
        <f>SUM(N3:P3)</f>
        <v>26451.59</v>
      </c>
      <c r="R3" s="445">
        <f>SUMIFS(R:R,$A:$A,"Billing")</f>
        <v>26451.59</v>
      </c>
      <c r="S3" s="445">
        <f>SUMIFS(S:S,$A:$A,"Billing")</f>
        <v>0</v>
      </c>
      <c r="T3" s="445">
        <f>SUMIFS(T:T,$A:$A,"Billing")</f>
        <v>0</v>
      </c>
      <c r="U3" s="446">
        <f>SUM(R3:T3)</f>
        <v>26451.59</v>
      </c>
      <c r="V3" s="445">
        <f>SUMIFS(V:V,$A:$A,"Billing")</f>
        <v>26451.59</v>
      </c>
      <c r="W3" s="445">
        <f>SUMIFS(W:W,$A:$A,"Billing")</f>
        <v>0</v>
      </c>
      <c r="X3" s="445">
        <f>SUMIFS(X:X,$A:$A,"Billing")</f>
        <v>0</v>
      </c>
      <c r="Y3" s="446">
        <f>SUM(V3:X3)</f>
        <v>26451.59</v>
      </c>
      <c r="Z3" s="490">
        <f>SUM(M3+Q3+U3+Y3)</f>
        <v>158710.67</v>
      </c>
    </row>
    <row r="4" spans="1:26">
      <c r="A4" s="441" t="s">
        <v>6</v>
      </c>
      <c r="B4" s="442">
        <f>SUMIFS(B:B,$A:$A,"Revenue")</f>
        <v>2769034.44</v>
      </c>
      <c r="C4" s="443">
        <f t="shared" si="0"/>
        <v>3044653.87</v>
      </c>
      <c r="D4" s="444"/>
      <c r="E4" s="445">
        <f>SUMIFS(E:E,$A:$A,"Revenue")</f>
        <v>88660.39</v>
      </c>
      <c r="F4" s="445">
        <f>SUMIFS(F:F,$A:$A,"Revenue")</f>
        <v>81348.48</v>
      </c>
      <c r="G4" s="445">
        <f>SUMIFS(G:G,$A:$A,"Revenue")</f>
        <v>105610.56</v>
      </c>
      <c r="H4" s="446">
        <f>SUM(E4:G4)</f>
        <v>275619.43</v>
      </c>
      <c r="I4" s="490"/>
      <c r="J4" s="445">
        <f>SUMIFS(J:J,$A:$A,"Revenue")</f>
        <v>10580.64</v>
      </c>
      <c r="K4" s="445">
        <f>SUMIFS(K:K,$A:$A,"Revenue")</f>
        <v>10580.64</v>
      </c>
      <c r="L4" s="445">
        <f>SUMIFS(L:L,$A:$A,"Revenue")</f>
        <v>10580.64</v>
      </c>
      <c r="M4" s="446">
        <f>SUM(J4:L4)</f>
        <v>31741.92</v>
      </c>
      <c r="N4" s="445">
        <f>SUMIFS(N:N,$A:$A,"Revenue")</f>
        <v>10580.64</v>
      </c>
      <c r="O4" s="445">
        <f>SUMIFS(O:O,$A:$A,"Revenue")</f>
        <v>10580.64</v>
      </c>
      <c r="P4" s="445">
        <f>SUMIFS(P:P,$A:$A,"Revenue")</f>
        <v>10580.64</v>
      </c>
      <c r="Q4" s="446">
        <f>SUM(N4:P4)</f>
        <v>31741.92</v>
      </c>
      <c r="R4" s="445">
        <f>SUMIFS(R:R,$A:$A,"Revenue")</f>
        <v>10580.64</v>
      </c>
      <c r="S4" s="445">
        <f>SUMIFS(S:S,$A:$A,"Revenue")</f>
        <v>10580.64</v>
      </c>
      <c r="T4" s="445">
        <f>SUMIFS(T:T,$A:$A,"Revenue")</f>
        <v>10580.64</v>
      </c>
      <c r="U4" s="446">
        <f>SUM(R4:T4)</f>
        <v>31741.92</v>
      </c>
      <c r="V4" s="445">
        <f>SUMIFS(V:V,$A:$A,"Revenue")</f>
        <v>10580.64</v>
      </c>
      <c r="W4" s="445">
        <f>SUMIFS(W:W,$A:$A,"Revenue")</f>
        <v>10580.64</v>
      </c>
      <c r="X4" s="445">
        <f>SUMIFS(X:X,$A:$A,"Revenue")</f>
        <v>10580.64</v>
      </c>
      <c r="Y4" s="446">
        <f>SUM(V4:X4)</f>
        <v>31741.92</v>
      </c>
      <c r="Z4" s="490">
        <f t="shared" ref="Z4:Z7" si="1">SUM(M4+Q4+U4+Y4)</f>
        <v>126967.66</v>
      </c>
    </row>
    <row r="5" spans="1:26">
      <c r="A5" s="437" t="s">
        <v>731</v>
      </c>
      <c r="B5" s="448">
        <f>SUMIFS(B:B,$A:$A,"Payroll")</f>
        <v>1732945.65</v>
      </c>
      <c r="C5" s="443">
        <f t="shared" si="0"/>
        <v>1987168.97</v>
      </c>
      <c r="D5" s="447"/>
      <c r="E5" s="448">
        <f>SUMIFS(E:E,$A:$A,"Payroll")</f>
        <v>92676.10</v>
      </c>
      <c r="F5" s="448">
        <f>SUMIFS(F:F,$A:$A,"Payroll")</f>
        <v>118509.78</v>
      </c>
      <c r="G5" s="448">
        <f>SUMIFS(G:G,$A:$A,"Payroll")</f>
        <v>43037.44</v>
      </c>
      <c r="H5" s="446">
        <f t="shared" ref="H5:H7" si="2">SUM(E5,F5,G5)</f>
        <v>254223.32</v>
      </c>
      <c r="I5" s="490"/>
      <c r="J5" s="448">
        <f>SUMIFS(J:J,$A:$A,"Payroll")</f>
        <v>0</v>
      </c>
      <c r="K5" s="448">
        <f>SUMIFS(K:K,$A:$A,"Payroll")</f>
        <v>0</v>
      </c>
      <c r="L5" s="448">
        <f>SUMIFS(L:L,$A:$A,"Payroll")</f>
        <v>0</v>
      </c>
      <c r="M5" s="446">
        <f t="shared" ref="M5:M7" si="3">SUM(J5,K5,L5)</f>
        <v>0</v>
      </c>
      <c r="N5" s="448">
        <f>SUMIFS(N:N,$A:$A,"Payroll")</f>
        <v>0</v>
      </c>
      <c r="O5" s="448">
        <f>SUMIFS(O:O,$A:$A,"Payroll")</f>
        <v>0</v>
      </c>
      <c r="P5" s="448">
        <f>SUMIFS(P:P,$A:$A,"Payroll")</f>
        <v>0</v>
      </c>
      <c r="Q5" s="446">
        <f t="shared" ref="Q5:Q7" si="4">SUM(N5,O5,P5)</f>
        <v>0</v>
      </c>
      <c r="R5" s="448">
        <f>SUMIFS(R:R,$A:$A,"Payroll")</f>
        <v>0</v>
      </c>
      <c r="S5" s="448">
        <f>SUMIFS(S:S,$A:$A,"Payroll")</f>
        <v>0</v>
      </c>
      <c r="T5" s="448">
        <f>SUMIFS(T:T,$A:$A,"Payroll")</f>
        <v>0</v>
      </c>
      <c r="U5" s="446">
        <f t="shared" ref="U5:U7" si="5">SUM(R5,S5,T5)</f>
        <v>0</v>
      </c>
      <c r="V5" s="448">
        <f>SUMIFS(V:V,$A:$A,"Payroll")</f>
        <v>0</v>
      </c>
      <c r="W5" s="448">
        <f>SUMIFS(W:W,$A:$A,"Payroll")</f>
        <v>0</v>
      </c>
      <c r="X5" s="448">
        <f>SUMIFS(X:X,$A:$A,"Payroll")</f>
        <v>0</v>
      </c>
      <c r="Y5" s="446">
        <f t="shared" ref="Y5:Y7" si="6">SUM(V5,W5,X5)</f>
        <v>0</v>
      </c>
      <c r="Z5" s="490">
        <f t="shared" si="1"/>
        <v>0</v>
      </c>
    </row>
    <row r="6" spans="1:26">
      <c r="A6" s="437" t="s">
        <v>732</v>
      </c>
      <c r="B6" s="448">
        <f>SUMIFS(B:B,$A:$A,"Non Payroll")</f>
        <v>47750.98</v>
      </c>
      <c r="C6" s="443">
        <f t="shared" si="0"/>
        <v>48729.82</v>
      </c>
      <c r="D6" s="447"/>
      <c r="E6" s="448">
        <f>SUMIFS(E:E,$A:$A,"Non Payroll")</f>
        <v>417.31</v>
      </c>
      <c r="F6" s="448">
        <f>SUMIFS(F:F,$A:$A,"Non Payroll")</f>
        <v>561.53</v>
      </c>
      <c r="G6" s="448">
        <f>SUMIFS(G:G,$A:$A,"Non Payroll")</f>
        <v>0</v>
      </c>
      <c r="H6" s="446">
        <f t="shared" si="2"/>
        <v>978.84</v>
      </c>
      <c r="I6" s="490"/>
      <c r="J6" s="448">
        <f>SUMIFS(J:J,$A:$A,"Non Payroll")</f>
        <v>0</v>
      </c>
      <c r="K6" s="448">
        <f>SUMIFS(K:K,$A:$A,"Non Payroll")</f>
        <v>0</v>
      </c>
      <c r="L6" s="448">
        <f>SUMIFS(L:L,$A:$A,"Non Payroll")</f>
        <v>0</v>
      </c>
      <c r="M6" s="446">
        <f t="shared" si="3"/>
        <v>0</v>
      </c>
      <c r="N6" s="448">
        <f>SUMIFS(N:N,$A:$A,"Non Payroll")</f>
        <v>0</v>
      </c>
      <c r="O6" s="448">
        <f>SUMIFS(O:O,$A:$A,"Non Payroll")</f>
        <v>0</v>
      </c>
      <c r="P6" s="448">
        <f>SUMIFS(P:P,$A:$A,"Non Payroll")</f>
        <v>0</v>
      </c>
      <c r="Q6" s="446">
        <f t="shared" si="4"/>
        <v>0</v>
      </c>
      <c r="R6" s="448">
        <f>SUMIFS(R:R,$A:$A,"Non Payroll")</f>
        <v>0</v>
      </c>
      <c r="S6" s="448">
        <f>SUMIFS(S:S,$A:$A,"Non Payroll")</f>
        <v>0</v>
      </c>
      <c r="T6" s="448">
        <f>SUMIFS(T:T,$A:$A,"Non Payroll")</f>
        <v>0</v>
      </c>
      <c r="U6" s="446">
        <f t="shared" si="5"/>
        <v>0</v>
      </c>
      <c r="V6" s="448">
        <f>SUMIFS(V:V,$A:$A,"Non Payroll")</f>
        <v>0</v>
      </c>
      <c r="W6" s="448">
        <f>SUMIFS(W:W,$A:$A,"Non Payroll")</f>
        <v>0</v>
      </c>
      <c r="X6" s="448">
        <f>SUMIFS(X:X,$A:$A,"Non Payroll")</f>
        <v>0</v>
      </c>
      <c r="Y6" s="446">
        <f t="shared" si="6"/>
        <v>0</v>
      </c>
      <c r="Z6" s="490">
        <f t="shared" si="1"/>
        <v>0</v>
      </c>
    </row>
    <row r="7" spans="1:26">
      <c r="A7" s="437" t="s">
        <v>733</v>
      </c>
      <c r="B7" s="448">
        <f>SUMIFS(B:B,$A:$A,"Capital Charge")</f>
        <v>43724.57</v>
      </c>
      <c r="C7" s="443">
        <f t="shared" si="0"/>
        <v>53111.62</v>
      </c>
      <c r="D7" s="449"/>
      <c r="E7" s="448">
        <f>SUMIFS(E:E,$A:$A,"Capital Charge")</f>
        <v>5443.77</v>
      </c>
      <c r="F7" s="448">
        <f>SUMIFS(F:F,$A:$A,"Capital Charge")</f>
        <v>3101.68</v>
      </c>
      <c r="G7" s="448">
        <f>SUMIFS(G:G,$A:$A,"Capital Charge")</f>
        <v>841.61</v>
      </c>
      <c r="H7" s="446">
        <f t="shared" si="2"/>
        <v>9387.05</v>
      </c>
      <c r="I7" s="490"/>
      <c r="J7" s="448">
        <f>SUMIFS(J:J,$A:$A,"Capital Charge")</f>
        <v>327.82</v>
      </c>
      <c r="K7" s="448">
        <f>SUMIFS(K:K,$A:$A,"Capital Charge")</f>
        <v>491.82</v>
      </c>
      <c r="L7" s="448">
        <f>SUMIFS(L:L,$A:$A,"Capital Charge")</f>
        <v>264.52</v>
      </c>
      <c r="M7" s="446">
        <f t="shared" si="3"/>
        <v>1084.17</v>
      </c>
      <c r="N7" s="448">
        <f>SUMIFS(N:N,$A:$A,"Capital Charge")</f>
        <v>264.52</v>
      </c>
      <c r="O7" s="448">
        <f>SUMIFS(O:O,$A:$A,"Capital Charge")</f>
        <v>322.71</v>
      </c>
      <c r="P7" s="448">
        <f>SUMIFS(P:P,$A:$A,"Capital Charge")</f>
        <v>0</v>
      </c>
      <c r="Q7" s="446">
        <f t="shared" si="4"/>
        <v>587.23</v>
      </c>
      <c r="R7" s="448">
        <f>SUMIFS(R:R,$A:$A,"Capital Charge")</f>
        <v>264.52</v>
      </c>
      <c r="S7" s="448">
        <f>SUMIFS(S:S,$A:$A,"Capital Charge")</f>
        <v>322.71</v>
      </c>
      <c r="T7" s="448">
        <f>SUMIFS(T:T,$A:$A,"Capital Charge")</f>
        <v>0</v>
      </c>
      <c r="U7" s="446">
        <f t="shared" si="5"/>
        <v>587.23</v>
      </c>
      <c r="V7" s="448">
        <f>SUMIFS(V:V,$A:$A,"Capital Charge")</f>
        <v>264.52</v>
      </c>
      <c r="W7" s="448">
        <f>SUMIFS(W:W,$A:$A,"Capital Charge")</f>
        <v>322.71</v>
      </c>
      <c r="X7" s="448">
        <f>SUMIFS(X:X,$A:$A,"Capital Charge")</f>
        <v>0</v>
      </c>
      <c r="Y7" s="446">
        <f t="shared" si="6"/>
        <v>587.23</v>
      </c>
      <c r="Z7" s="490">
        <f t="shared" si="1"/>
        <v>2845.86</v>
      </c>
    </row>
    <row r="8" spans="1:26">
      <c r="A8" s="441" t="s">
        <v>734</v>
      </c>
      <c r="B8" s="448">
        <f>SUM(B5:B7)</f>
        <v>1824421.21</v>
      </c>
      <c r="C8" s="443">
        <f t="shared" si="0"/>
        <v>2089010.42</v>
      </c>
      <c r="D8" s="444"/>
      <c r="E8" s="450">
        <f>SUM(E5:E7)</f>
        <v>98537.18</v>
      </c>
      <c r="F8" s="450">
        <f t="shared" ref="F8:G8" si="7">SUM(F5:F7)</f>
        <v>122173</v>
      </c>
      <c r="G8" s="450">
        <f t="shared" si="7"/>
        <v>43879.05</v>
      </c>
      <c r="H8" s="446">
        <f>SUM(E8,F8,G8)</f>
        <v>264589.22</v>
      </c>
      <c r="I8" s="490"/>
      <c r="J8" s="450">
        <f>SUM(J5:J7)</f>
        <v>327.82</v>
      </c>
      <c r="K8" s="450">
        <f t="shared" ref="K8:L8" si="8">SUM(K5:K7)</f>
        <v>491.82</v>
      </c>
      <c r="L8" s="450">
        <f t="shared" si="8"/>
        <v>264.52</v>
      </c>
      <c r="M8" s="446">
        <f>SUM(J8,K8,L8)</f>
        <v>1084.17</v>
      </c>
      <c r="N8" s="450">
        <f>SUM(N5:N7)</f>
        <v>264.52</v>
      </c>
      <c r="O8" s="450">
        <f t="shared" ref="O8:P8" si="9">SUM(O5:O7)</f>
        <v>322.71</v>
      </c>
      <c r="P8" s="450">
        <f t="shared" si="9"/>
        <v>0</v>
      </c>
      <c r="Q8" s="446">
        <f>SUM(N8,O8,P8)</f>
        <v>587.23</v>
      </c>
      <c r="R8" s="450">
        <f>SUM(R5:R7)</f>
        <v>264.52</v>
      </c>
      <c r="S8" s="450">
        <f t="shared" ref="S8:T8" si="10">SUM(S5:S7)</f>
        <v>322.71</v>
      </c>
      <c r="T8" s="450">
        <f t="shared" si="10"/>
        <v>0</v>
      </c>
      <c r="U8" s="446">
        <f>SUM(R8,S8,T8)</f>
        <v>587.23</v>
      </c>
      <c r="V8" s="450">
        <f>SUM(V5:V7)</f>
        <v>264.52</v>
      </c>
      <c r="W8" s="450">
        <f t="shared" ref="W8:X8" si="11">SUM(W5:W7)</f>
        <v>322.71</v>
      </c>
      <c r="X8" s="450">
        <f t="shared" si="11"/>
        <v>0</v>
      </c>
      <c r="Y8" s="446">
        <f>SUM(V8,W8,X8)</f>
        <v>587.23</v>
      </c>
      <c r="Z8" s="490">
        <f>SUM(Z5:Z7)</f>
        <v>2845.86</v>
      </c>
    </row>
    <row r="9" spans="1:26">
      <c r="A9" s="441" t="s">
        <v>735</v>
      </c>
      <c r="B9" s="448">
        <f>B4-B8</f>
        <v>944613.23</v>
      </c>
      <c r="C9" s="451">
        <f>C4-C8</f>
        <v>955643.45</v>
      </c>
      <c r="D9" s="449"/>
      <c r="E9" s="450">
        <f>E4-E8</f>
        <v>-9876.79</v>
      </c>
      <c r="F9" s="450">
        <f>F4-F8</f>
        <v>-40824.51</v>
      </c>
      <c r="G9" s="450">
        <f>G4-G8</f>
        <v>61731.51</v>
      </c>
      <c r="H9" s="446">
        <f>H4-H8</f>
        <v>11030.22</v>
      </c>
      <c r="I9" s="490"/>
      <c r="J9" s="450">
        <f t="shared" ref="J9:Z9" si="12">J4-J8</f>
        <v>10252.82</v>
      </c>
      <c r="K9" s="450">
        <f t="shared" si="12"/>
        <v>10088.81</v>
      </c>
      <c r="L9" s="450">
        <f t="shared" si="12"/>
        <v>10316.12</v>
      </c>
      <c r="M9" s="446">
        <f t="shared" si="12"/>
        <v>30657.75</v>
      </c>
      <c r="N9" s="450">
        <f t="shared" si="12"/>
        <v>10316.12</v>
      </c>
      <c r="O9" s="450">
        <f t="shared" si="12"/>
        <v>10257.93</v>
      </c>
      <c r="P9" s="450">
        <f t="shared" si="12"/>
        <v>10580.64</v>
      </c>
      <c r="Q9" s="446">
        <f t="shared" si="12"/>
        <v>31154.69</v>
      </c>
      <c r="R9" s="450">
        <f t="shared" si="12"/>
        <v>10316.12</v>
      </c>
      <c r="S9" s="450">
        <f t="shared" si="12"/>
        <v>10257.93</v>
      </c>
      <c r="T9" s="450">
        <f t="shared" si="12"/>
        <v>10580.64</v>
      </c>
      <c r="U9" s="446">
        <f t="shared" si="12"/>
        <v>31154.69</v>
      </c>
      <c r="V9" s="450">
        <f t="shared" si="12"/>
        <v>10316.12</v>
      </c>
      <c r="W9" s="450">
        <f t="shared" si="12"/>
        <v>10257.93</v>
      </c>
      <c r="X9" s="450">
        <f t="shared" si="12"/>
        <v>10580.64</v>
      </c>
      <c r="Y9" s="446">
        <f t="shared" si="12"/>
        <v>31154.69</v>
      </c>
      <c r="Z9" s="490">
        <f t="shared" si="12"/>
        <v>124121.81</v>
      </c>
    </row>
    <row r="10" spans="1:26">
      <c r="A10" s="441" t="s">
        <v>735</v>
      </c>
      <c r="B10" s="452">
        <f>IFERROR(B9/B4,0)</f>
        <v>0.34113451919048787</v>
      </c>
      <c r="C10" s="453">
        <f>IFERROR(C9/C4,0)</f>
        <v>0.31387589181636455</v>
      </c>
      <c r="D10" s="454"/>
      <c r="E10" s="455">
        <f>IFERROR(E9/E4,0)</f>
        <v>-0.11140022958976703</v>
      </c>
      <c r="F10" s="455">
        <f>IFERROR(F9/F4,0)</f>
        <v>-0.50184723859460822</v>
      </c>
      <c r="G10" s="455">
        <f>IFERROR(G9/G4,0)</f>
        <v>0.58452027397374262</v>
      </c>
      <c r="H10" s="456">
        <f>IFERROR(H9/H4,0)</f>
        <v>4.0019738804774878E-2</v>
      </c>
      <c r="I10" s="491"/>
      <c r="J10" s="455">
        <f t="shared" ref="J10:Y10" si="13">IFERROR(J9/J4,0)</f>
        <v>0.96901666676920617</v>
      </c>
      <c r="K10" s="455">
        <f t="shared" si="13"/>
        <v>0.95351654064562963</v>
      </c>
      <c r="L10" s="455">
        <f t="shared" si="13"/>
        <v>0.97499984619076041</v>
      </c>
      <c r="M10" s="456">
        <f t="shared" si="13"/>
        <v>0.9658443512018654</v>
      </c>
      <c r="N10" s="455">
        <f t="shared" si="13"/>
        <v>0.97499984619076041</v>
      </c>
      <c r="O10" s="455">
        <f t="shared" si="13"/>
        <v>0.96949962778164012</v>
      </c>
      <c r="P10" s="455">
        <f t="shared" si="13"/>
        <v>1</v>
      </c>
      <c r="Q10" s="456">
        <f t="shared" si="13"/>
        <v>0.98149982465746677</v>
      </c>
      <c r="R10" s="455">
        <f t="shared" si="13"/>
        <v>0.97499984619076041</v>
      </c>
      <c r="S10" s="455">
        <f t="shared" si="13"/>
        <v>0.96949962778164012</v>
      </c>
      <c r="T10" s="455">
        <f t="shared" si="13"/>
        <v>1</v>
      </c>
      <c r="U10" s="456">
        <f t="shared" si="13"/>
        <v>0.98149982465746677</v>
      </c>
      <c r="V10" s="455">
        <f t="shared" si="13"/>
        <v>0.97499984619076041</v>
      </c>
      <c r="W10" s="455">
        <f t="shared" si="13"/>
        <v>0.96949962778164012</v>
      </c>
      <c r="X10" s="455">
        <f t="shared" si="13"/>
        <v>1</v>
      </c>
      <c r="Y10" s="456">
        <f t="shared" si="13"/>
        <v>0.98149982465746677</v>
      </c>
      <c r="Z10" s="491">
        <f>Z9/Z4</f>
        <v>0.97758595629356648</v>
      </c>
    </row>
    <row r="11" spans="1:26">
      <c r="A11" s="441"/>
      <c r="B11" s="452"/>
      <c r="C11" s="453"/>
      <c r="D11" s="457"/>
      <c r="H11" s="456"/>
      <c r="I11" s="487"/>
      <c r="M11" s="456"/>
      <c r="Q11" s="456"/>
      <c r="U11" s="456"/>
      <c r="Y11" s="456"/>
      <c r="Z11" s="487"/>
    </row>
    <row r="12" spans="1:26" s="461" customFormat="1">
      <c r="A12" s="458"/>
      <c r="B12" s="459"/>
      <c r="C12" s="459"/>
      <c r="D12" s="460"/>
      <c r="H12" s="459"/>
      <c r="I12" s="459"/>
      <c r="J12" s="459"/>
      <c r="M12" s="459"/>
      <c r="Q12" s="459"/>
      <c r="U12" s="459"/>
      <c r="Y12" s="459"/>
      <c r="Z12" s="459"/>
    </row>
    <row r="13" spans="1:26" ht="17.25" customHeight="1">
      <c r="A13" s="480" t="s">
        <v>743</v>
      </c>
      <c r="H13" s="464"/>
      <c r="I13" s="487"/>
      <c r="M13" s="464"/>
      <c r="Q13" s="464"/>
      <c r="U13" s="464"/>
      <c r="Y13" s="464"/>
      <c r="Z13" s="487"/>
    </row>
    <row r="14" spans="1:26" s="469" customFormat="1">
      <c r="A14" s="481" t="s">
        <v>23</v>
      </c>
      <c r="B14" s="467"/>
      <c r="C14" s="468"/>
      <c r="H14" s="468"/>
      <c r="I14" s="468"/>
      <c r="M14" s="468"/>
      <c r="Q14" s="468"/>
      <c r="U14" s="468"/>
      <c r="Y14" s="468"/>
      <c r="Z14" s="468"/>
    </row>
    <row r="15" spans="1:26" outlineLevel="1">
      <c r="A15" s="441" t="s">
        <v>736</v>
      </c>
      <c r="B15" s="470">
        <v>1050494.69</v>
      </c>
      <c r="C15" s="443">
        <f>SUMIF($E$2:$H$2,"actual",E15:H15)+B15</f>
        <v>1058872.23</v>
      </c>
      <c r="D15" s="449"/>
      <c r="E15" s="465">
        <v>8377.54</v>
      </c>
      <c r="F15" s="465">
        <v>0</v>
      </c>
      <c r="G15" s="465">
        <v>0</v>
      </c>
      <c r="H15" s="446">
        <f t="shared" ref="H15:H21" si="14">SUM(E15:G15)</f>
        <v>8377.54</v>
      </c>
      <c r="I15" s="490">
        <v>513908.24</v>
      </c>
      <c r="J15" s="465">
        <v>0</v>
      </c>
      <c r="K15" s="465">
        <v>0</v>
      </c>
      <c r="L15" s="465">
        <v>0</v>
      </c>
      <c r="M15" s="446">
        <f t="shared" ref="M15" si="15">SUM(J15:L15)</f>
        <v>0</v>
      </c>
      <c r="N15" s="465">
        <v>0</v>
      </c>
      <c r="O15" s="465">
        <v>0</v>
      </c>
      <c r="P15" s="465">
        <v>0</v>
      </c>
      <c r="Q15" s="446">
        <f t="shared" ref="Q15" si="16">SUM(N15:P15)</f>
        <v>0</v>
      </c>
      <c r="R15" s="465">
        <v>0</v>
      </c>
      <c r="S15" s="465">
        <v>0</v>
      </c>
      <c r="T15" s="465">
        <v>0</v>
      </c>
      <c r="U15" s="446">
        <f t="shared" ref="U15" si="17">SUM(R15:T15)</f>
        <v>0</v>
      </c>
      <c r="V15" s="465">
        <v>0</v>
      </c>
      <c r="W15" s="465">
        <v>0</v>
      </c>
      <c r="X15" s="465">
        <v>0</v>
      </c>
      <c r="Y15" s="446">
        <f t="shared" ref="Y15" si="18">SUM(V15:X15)</f>
        <v>0</v>
      </c>
      <c r="Z15" s="490">
        <f>SUM(M15+Q15+U15+Y15)</f>
        <v>0</v>
      </c>
    </row>
    <row r="16" spans="1:26" outlineLevel="1">
      <c r="A16" s="441" t="s">
        <v>737</v>
      </c>
      <c r="B16" s="470">
        <v>1050512.60</v>
      </c>
      <c r="C16" s="443">
        <f>SUMIF($E$2:$H$2,"actual",E16:H16)+B16</f>
        <v>1153920.06</v>
      </c>
      <c r="D16" s="449"/>
      <c r="E16" s="465">
        <v>8377.54</v>
      </c>
      <c r="F16" s="465">
        <v>0</v>
      </c>
      <c r="G16" s="465">
        <v>95029.92</v>
      </c>
      <c r="H16" s="446">
        <f>SUM(E16:G16)</f>
        <v>103407.46</v>
      </c>
      <c r="I16" s="490">
        <f>C16+H16</f>
        <v>1257327.52</v>
      </c>
      <c r="J16" s="465"/>
      <c r="K16" s="465">
        <v>0</v>
      </c>
      <c r="L16" s="465">
        <v>0</v>
      </c>
      <c r="M16" s="446">
        <f>SUM(J16:L16)</f>
        <v>0</v>
      </c>
      <c r="N16" s="465"/>
      <c r="O16" s="465">
        <v>0</v>
      </c>
      <c r="P16" s="465">
        <v>0</v>
      </c>
      <c r="Q16" s="446">
        <f>SUM(N16:P16)</f>
        <v>0</v>
      </c>
      <c r="R16" s="465"/>
      <c r="S16" s="465">
        <v>0</v>
      </c>
      <c r="T16" s="465">
        <v>0</v>
      </c>
      <c r="U16" s="446">
        <f>SUM(R16:T16)</f>
        <v>0</v>
      </c>
      <c r="V16" s="465"/>
      <c r="W16" s="465">
        <v>0</v>
      </c>
      <c r="X16" s="465">
        <v>0</v>
      </c>
      <c r="Y16" s="446">
        <f>SUM(V16:X16)</f>
        <v>0</v>
      </c>
      <c r="Z16" s="490">
        <f t="shared" ref="Z16:Z19" si="19">SUM(M16+Q16+U16+Y16)</f>
        <v>0</v>
      </c>
    </row>
    <row r="17" spans="1:26" outlineLevel="1">
      <c r="A17" s="437" t="s">
        <v>738</v>
      </c>
      <c r="B17" s="470">
        <v>642777.88</v>
      </c>
      <c r="C17" s="471">
        <f ca="1">SUMIF($E$2:$L$2,"actual",E17:H17)+B17</f>
        <v>787379.68</v>
      </c>
      <c r="D17" s="449"/>
      <c r="E17" s="472">
        <v>17066.73</v>
      </c>
      <c r="F17" s="472">
        <v>85917.97</v>
      </c>
      <c r="G17" s="472">
        <f>'FCST 8871789615 35%'!S47</f>
        <v>41617.10</v>
      </c>
      <c r="H17" s="446">
        <f t="shared" si="14"/>
        <v>144601.80</v>
      </c>
      <c r="I17" s="490">
        <f ca="1">C17+H17</f>
        <v>931981.49</v>
      </c>
      <c r="J17" s="472">
        <f>'FCST 8871789615 35%'!T47</f>
        <v>0</v>
      </c>
      <c r="K17" s="472">
        <f>'FCST 8871789615 35%'!U47</f>
        <v>0</v>
      </c>
      <c r="L17" s="472">
        <f>'FCST 8871789615 35%'!V47</f>
        <v>0</v>
      </c>
      <c r="M17" s="446">
        <f>SUM(J17:L17)</f>
        <v>0</v>
      </c>
      <c r="N17" s="472">
        <f>'FCST 8871789615 35%'!Z47</f>
        <v>0</v>
      </c>
      <c r="O17" s="472">
        <f>'FCST 8871789615 35%'!AA47</f>
        <v>0</v>
      </c>
      <c r="P17" s="472">
        <f>'FCST 8871789615 35%'!AB47</f>
        <v>0</v>
      </c>
      <c r="Q17" s="446">
        <f t="shared" ref="Q17:Q21" si="20">SUM(N17:P17)</f>
        <v>0</v>
      </c>
      <c r="R17" s="472">
        <f>'FCST 8871789615 35%'!AD47</f>
        <v>0</v>
      </c>
      <c r="S17" s="472">
        <f>'FCST 8871789615 35%'!AE47</f>
        <v>0</v>
      </c>
      <c r="T17" s="472">
        <f>'FCST 8871789615 35%'!AF47</f>
        <v>0</v>
      </c>
      <c r="U17" s="446">
        <f t="shared" ref="U17:U21" si="21">SUM(R17:T17)</f>
        <v>0</v>
      </c>
      <c r="V17" s="472">
        <f>'FCST 8871789615 35%'!AH47</f>
        <v>0</v>
      </c>
      <c r="W17" s="472">
        <f>'FCST 8871789615 35%'!AI47</f>
        <v>0</v>
      </c>
      <c r="X17" s="472">
        <f>'FCST 8871789615 35%'!AJ47</f>
        <v>0</v>
      </c>
      <c r="Y17" s="446">
        <f t="shared" ref="Y17:Y21" si="22">SUM(V17:X17)</f>
        <v>0</v>
      </c>
      <c r="Z17" s="490">
        <f t="shared" si="19"/>
        <v>0</v>
      </c>
    </row>
    <row r="18" spans="1:26" ht="12.5" customHeight="1" outlineLevel="1">
      <c r="A18" s="437" t="s">
        <v>739</v>
      </c>
      <c r="B18" s="470">
        <v>1825.85</v>
      </c>
      <c r="C18" s="471">
        <f>SUMIF($E$2:$H$2,"actual",E18:H18)+B18</f>
        <v>2144.84</v>
      </c>
      <c r="D18" s="449"/>
      <c r="E18" s="465">
        <v>200.25</v>
      </c>
      <c r="F18" s="465">
        <v>118.74</v>
      </c>
      <c r="G18" s="465">
        <v>0</v>
      </c>
      <c r="H18" s="446">
        <f t="shared" si="14"/>
        <v>318.99</v>
      </c>
      <c r="I18" s="490">
        <f>C18+H18</f>
        <v>2463.83</v>
      </c>
      <c r="J18" s="465">
        <v>0</v>
      </c>
      <c r="K18" s="465">
        <v>0</v>
      </c>
      <c r="L18" s="465">
        <v>0</v>
      </c>
      <c r="M18" s="446">
        <f t="shared" ref="M18:M21" si="23">SUM(J18:L18)</f>
        <v>0</v>
      </c>
      <c r="N18" s="465">
        <v>0</v>
      </c>
      <c r="O18" s="465">
        <v>0</v>
      </c>
      <c r="P18" s="465">
        <v>0</v>
      </c>
      <c r="Q18" s="446">
        <f t="shared" si="20"/>
        <v>0</v>
      </c>
      <c r="R18" s="465">
        <v>0</v>
      </c>
      <c r="S18" s="465">
        <v>0</v>
      </c>
      <c r="T18" s="465">
        <v>0</v>
      </c>
      <c r="U18" s="446">
        <f t="shared" si="21"/>
        <v>0</v>
      </c>
      <c r="V18" s="465">
        <v>0</v>
      </c>
      <c r="W18" s="465">
        <v>0</v>
      </c>
      <c r="X18" s="465">
        <v>0</v>
      </c>
      <c r="Y18" s="446">
        <f t="shared" si="22"/>
        <v>0</v>
      </c>
      <c r="Z18" s="490">
        <f t="shared" si="19"/>
        <v>0</v>
      </c>
    </row>
    <row r="19" spans="1:26" outlineLevel="1">
      <c r="A19" s="437" t="s">
        <v>740</v>
      </c>
      <c r="B19" s="465">
        <v>19650.49</v>
      </c>
      <c r="C19" s="473">
        <f ca="1">SUMIF($E$2:$N$2,"actual",E19:H19)+B19</f>
        <v>21817.73</v>
      </c>
      <c r="D19" s="449"/>
      <c r="E19" s="465">
        <v>1766.52</v>
      </c>
      <c r="F19" s="465">
        <v>400.72</v>
      </c>
      <c r="G19" s="465">
        <v>0</v>
      </c>
      <c r="H19" s="446">
        <f t="shared" si="14"/>
        <v>2167.24</v>
      </c>
      <c r="I19" s="490">
        <f ca="1">C19+H19</f>
        <v>23984.97</v>
      </c>
      <c r="J19" s="465">
        <v>0</v>
      </c>
      <c r="K19" s="465">
        <v>0</v>
      </c>
      <c r="L19" s="465">
        <v>0</v>
      </c>
      <c r="M19" s="446">
        <f t="shared" si="23"/>
        <v>0</v>
      </c>
      <c r="N19" s="465">
        <v>0</v>
      </c>
      <c r="O19" s="465">
        <v>0</v>
      </c>
      <c r="P19" s="465">
        <v>0</v>
      </c>
      <c r="Q19" s="446">
        <f t="shared" si="20"/>
        <v>0</v>
      </c>
      <c r="R19" s="465">
        <v>0</v>
      </c>
      <c r="S19" s="465">
        <v>0</v>
      </c>
      <c r="T19" s="465">
        <v>0</v>
      </c>
      <c r="U19" s="446">
        <f t="shared" si="21"/>
        <v>0</v>
      </c>
      <c r="V19" s="465">
        <v>0</v>
      </c>
      <c r="W19" s="465">
        <v>0</v>
      </c>
      <c r="X19" s="465">
        <v>0</v>
      </c>
      <c r="Y19" s="446">
        <f t="shared" si="22"/>
        <v>0</v>
      </c>
      <c r="Z19" s="490">
        <f t="shared" si="19"/>
        <v>0</v>
      </c>
    </row>
    <row r="20" spans="1:26" outlineLevel="1">
      <c r="A20" s="441" t="s">
        <v>676</v>
      </c>
      <c r="B20" s="442">
        <f>SUM(B17:B19)</f>
        <v>664254.21</v>
      </c>
      <c r="C20" s="443">
        <f ca="1">SUMIF($E$2:$M$2,"actual",E20:H20)+B20</f>
        <v>811342.25</v>
      </c>
      <c r="D20" s="449"/>
      <c r="E20" s="442">
        <f>SUM(E17:E19)</f>
        <v>19033.50</v>
      </c>
      <c r="F20" s="442">
        <f>SUM(F17:F19)</f>
        <v>86437.44</v>
      </c>
      <c r="G20" s="442">
        <f>SUM(G17:G19)</f>
        <v>41617.10</v>
      </c>
      <c r="H20" s="446">
        <f t="shared" si="14"/>
        <v>147088.04</v>
      </c>
      <c r="I20" s="490">
        <f ca="1">SUM(I17:I19)</f>
        <v>958430.29</v>
      </c>
      <c r="J20" s="442">
        <f>SUM(J17:J19)</f>
        <v>0</v>
      </c>
      <c r="K20" s="442">
        <f>SUM(K17:K19)</f>
        <v>0</v>
      </c>
      <c r="L20" s="442">
        <f>SUM(L17:L19)</f>
        <v>0</v>
      </c>
      <c r="M20" s="446">
        <f t="shared" si="23"/>
        <v>0</v>
      </c>
      <c r="N20" s="442">
        <f>SUM(N17:N19)</f>
        <v>0</v>
      </c>
      <c r="O20" s="442">
        <f>SUM(O17:O19)</f>
        <v>0</v>
      </c>
      <c r="P20" s="442">
        <f>SUM(P17:P19)</f>
        <v>0</v>
      </c>
      <c r="Q20" s="446">
        <f t="shared" si="20"/>
        <v>0</v>
      </c>
      <c r="R20" s="442">
        <f>SUM(R17:R19)</f>
        <v>0</v>
      </c>
      <c r="S20" s="442">
        <f>SUM(S17:S19)</f>
        <v>0</v>
      </c>
      <c r="T20" s="442">
        <f>SUM(T17:T19)</f>
        <v>0</v>
      </c>
      <c r="U20" s="446">
        <f t="shared" si="21"/>
        <v>0</v>
      </c>
      <c r="V20" s="442">
        <f>SUM(V17:V19)</f>
        <v>0</v>
      </c>
      <c r="W20" s="442">
        <f>SUM(W17:W19)</f>
        <v>0</v>
      </c>
      <c r="X20" s="442">
        <f>SUM(X17:X19)</f>
        <v>0</v>
      </c>
      <c r="Y20" s="446">
        <f t="shared" si="22"/>
        <v>0</v>
      </c>
      <c r="Z20" s="490">
        <f>SUM(Z17:Z19)</f>
        <v>0</v>
      </c>
    </row>
    <row r="21" spans="1:26" outlineLevel="1">
      <c r="A21" s="441" t="s">
        <v>741</v>
      </c>
      <c r="B21" s="448">
        <f>B16-B20</f>
        <v>386258.39</v>
      </c>
      <c r="C21" s="443">
        <f ca="1">SUMIF($E$2:$P$2,"actual",E21:H21)+B21</f>
        <v>342577.81</v>
      </c>
      <c r="D21" s="449"/>
      <c r="E21" s="448">
        <f>E16-E20</f>
        <v>-10655.96</v>
      </c>
      <c r="F21" s="448">
        <f>F16-F20</f>
        <v>-86437.44</v>
      </c>
      <c r="G21" s="448">
        <f>G16-G20</f>
        <v>53412.82</v>
      </c>
      <c r="H21" s="446">
        <f t="shared" si="14"/>
        <v>-43680.58</v>
      </c>
      <c r="I21" s="490">
        <f ca="1">C21+H21</f>
        <v>298897.23</v>
      </c>
      <c r="J21" s="448">
        <f>J16-J20</f>
        <v>0</v>
      </c>
      <c r="K21" s="448">
        <f>K16-K20</f>
        <v>0</v>
      </c>
      <c r="L21" s="448">
        <f>L16-L20</f>
        <v>0</v>
      </c>
      <c r="M21" s="446">
        <f t="shared" si="23"/>
        <v>0</v>
      </c>
      <c r="N21" s="448">
        <f>N16-N20</f>
        <v>0</v>
      </c>
      <c r="O21" s="448">
        <f>O16-O20</f>
        <v>0</v>
      </c>
      <c r="P21" s="448">
        <f>P16-P20</f>
        <v>0</v>
      </c>
      <c r="Q21" s="446">
        <f t="shared" si="20"/>
        <v>0</v>
      </c>
      <c r="R21" s="448">
        <f>R16-R20</f>
        <v>0</v>
      </c>
      <c r="S21" s="448">
        <f>S16-S20</f>
        <v>0</v>
      </c>
      <c r="T21" s="448">
        <f>T16-T20</f>
        <v>0</v>
      </c>
      <c r="U21" s="446">
        <f t="shared" si="21"/>
        <v>0</v>
      </c>
      <c r="V21" s="448">
        <f>V16-V20</f>
        <v>0</v>
      </c>
      <c r="W21" s="448">
        <f>W16-W20</f>
        <v>0</v>
      </c>
      <c r="X21" s="448">
        <f>X16-X20</f>
        <v>0</v>
      </c>
      <c r="Y21" s="446">
        <f t="shared" si="22"/>
        <v>0</v>
      </c>
      <c r="Z21" s="490">
        <f>Z16-Z20</f>
        <v>0</v>
      </c>
    </row>
    <row r="22" spans="1:26" outlineLevel="1">
      <c r="A22" s="441" t="s">
        <v>742</v>
      </c>
      <c r="B22" s="452">
        <f>IFERROR(B21/B16,0)</f>
        <v>0.36768562863395859</v>
      </c>
      <c r="C22" s="453">
        <f ca="1">IFERROR(C21/C16,0)</f>
        <v>0.29688175046695442</v>
      </c>
      <c r="D22" s="457"/>
      <c r="E22" s="452">
        <f t="shared" ref="E22:Q22" si="24">IFERROR(E21/E16,0)</f>
        <v>-1.04</v>
      </c>
      <c r="F22" s="452">
        <f t="shared" si="24"/>
        <v>0</v>
      </c>
      <c r="G22" s="452">
        <f t="shared" si="24"/>
        <v>0.56206320852023284</v>
      </c>
      <c r="H22" s="474">
        <f t="shared" si="24"/>
        <v>-0.42241224497086655</v>
      </c>
      <c r="I22" s="491">
        <f ca="1">I21/I16</f>
        <v>0.23772423996773645</v>
      </c>
      <c r="J22" s="452">
        <f t="shared" si="24"/>
        <v>0</v>
      </c>
      <c r="K22" s="452">
        <f t="shared" si="24"/>
        <v>0</v>
      </c>
      <c r="L22" s="452">
        <f t="shared" si="24"/>
        <v>0</v>
      </c>
      <c r="M22" s="474">
        <f t="shared" si="24"/>
        <v>0</v>
      </c>
      <c r="N22" s="452">
        <f t="shared" si="24"/>
        <v>0</v>
      </c>
      <c r="O22" s="452">
        <f t="shared" si="24"/>
        <v>0</v>
      </c>
      <c r="P22" s="452">
        <f t="shared" si="24"/>
        <v>0</v>
      </c>
      <c r="Q22" s="474">
        <f t="shared" si="24"/>
        <v>0</v>
      </c>
      <c r="R22" s="452">
        <f t="shared" ref="R22:Y22" si="25">IFERROR(R21/R16,0)</f>
        <v>0</v>
      </c>
      <c r="S22" s="452">
        <f t="shared" si="25"/>
        <v>0</v>
      </c>
      <c r="T22" s="452">
        <f t="shared" si="25"/>
        <v>0</v>
      </c>
      <c r="U22" s="474">
        <f t="shared" si="25"/>
        <v>0</v>
      </c>
      <c r="V22" s="452">
        <f t="shared" si="25"/>
        <v>0</v>
      </c>
      <c r="W22" s="452">
        <f t="shared" si="25"/>
        <v>0</v>
      </c>
      <c r="X22" s="452">
        <f t="shared" si="25"/>
        <v>0</v>
      </c>
      <c r="Y22" s="474">
        <f t="shared" si="25"/>
        <v>0</v>
      </c>
      <c r="Z22" s="491" t="e">
        <f>Z21/Z16</f>
        <v>#DIV/0!</v>
      </c>
    </row>
    <row r="23" spans="1:26">
      <c r="A23" s="441"/>
      <c r="B23" s="475"/>
      <c r="C23" s="453"/>
      <c r="D23" s="457"/>
      <c r="E23" s="452"/>
      <c r="F23" s="452"/>
      <c r="G23" s="452"/>
      <c r="H23" s="474"/>
      <c r="I23" s="487"/>
      <c r="J23" s="452"/>
      <c r="K23" s="452"/>
      <c r="L23" s="452"/>
      <c r="M23" s="474"/>
      <c r="N23" s="452"/>
      <c r="O23" s="452"/>
      <c r="P23" s="452"/>
      <c r="Q23" s="474"/>
      <c r="R23" s="452"/>
      <c r="S23" s="452"/>
      <c r="T23" s="452"/>
      <c r="U23" s="474"/>
      <c r="V23" s="452"/>
      <c r="W23" s="452"/>
      <c r="X23" s="452"/>
      <c r="Y23" s="474"/>
      <c r="Z23" s="487"/>
    </row>
    <row r="24" spans="1:26">
      <c r="A24" s="441"/>
      <c r="B24" s="475"/>
      <c r="C24" s="453"/>
      <c r="D24" s="457"/>
      <c r="E24" s="452"/>
      <c r="F24" s="452"/>
      <c r="G24" s="452"/>
      <c r="H24" s="474"/>
      <c r="I24" s="487"/>
      <c r="J24" s="452"/>
      <c r="K24" s="452"/>
      <c r="L24" s="452"/>
      <c r="M24" s="474"/>
      <c r="N24" s="452"/>
      <c r="O24" s="452"/>
      <c r="P24" s="452"/>
      <c r="Q24" s="474"/>
      <c r="R24" s="452"/>
      <c r="S24" s="452"/>
      <c r="T24" s="452"/>
      <c r="U24" s="474"/>
      <c r="V24" s="452"/>
      <c r="W24" s="452"/>
      <c r="X24" s="452"/>
      <c r="Y24" s="474"/>
      <c r="Z24" s="487"/>
    </row>
    <row r="25" spans="1:26">
      <c r="A25" s="476" t="s">
        <v>744</v>
      </c>
      <c r="B25" s="477"/>
      <c r="H25" s="464"/>
      <c r="I25" s="487"/>
      <c r="M25" s="464"/>
      <c r="Q25" s="464"/>
      <c r="U25" s="464"/>
      <c r="Y25" s="464"/>
      <c r="Z25" s="487"/>
    </row>
    <row r="26" spans="1:26" s="469" customFormat="1">
      <c r="A26" s="466" t="s">
        <v>38</v>
      </c>
      <c r="B26" s="467"/>
      <c r="C26" s="468"/>
      <c r="H26" s="468"/>
      <c r="I26" s="468"/>
      <c r="M26" s="468"/>
      <c r="Q26" s="468"/>
      <c r="U26" s="468"/>
      <c r="Y26" s="468"/>
      <c r="Z26" s="468"/>
    </row>
    <row r="27" spans="1:26" outlineLevel="1">
      <c r="A27" s="441" t="s">
        <v>736</v>
      </c>
      <c r="B27" s="465">
        <v>1715709.35</v>
      </c>
      <c r="C27" s="443">
        <f>SUMIF($E$2:$L$2,"actual",E27:M27)+B27</f>
        <v>1931253.64</v>
      </c>
      <c r="E27" s="465">
        <v>181627.25</v>
      </c>
      <c r="F27" s="465">
        <v>3700.68</v>
      </c>
      <c r="G27" s="465">
        <v>30216.35</v>
      </c>
      <c r="H27" s="446">
        <f>SUM(E27:G27)</f>
        <v>215544.29</v>
      </c>
      <c r="I27" s="490">
        <v>1009532.19</v>
      </c>
      <c r="J27" s="465">
        <v>79355.91</v>
      </c>
      <c r="K27" s="465">
        <v>0</v>
      </c>
      <c r="L27" s="465">
        <v>0</v>
      </c>
      <c r="M27" s="446">
        <f>SUM(J27:L27)</f>
        <v>79355.91</v>
      </c>
      <c r="N27" s="465">
        <v>26451.59</v>
      </c>
      <c r="O27" s="465">
        <v>0</v>
      </c>
      <c r="P27" s="465">
        <v>0</v>
      </c>
      <c r="Q27" s="446">
        <f t="shared" ref="Q27:Q33" si="26">SUM(N27:P27)</f>
        <v>26451.59</v>
      </c>
      <c r="R27" s="465">
        <v>26451.59</v>
      </c>
      <c r="S27" s="465">
        <v>0</v>
      </c>
      <c r="T27" s="465">
        <v>0</v>
      </c>
      <c r="U27" s="446">
        <f t="shared" ref="U27:U30" si="27">SUM(R27:T27)</f>
        <v>26451.59</v>
      </c>
      <c r="V27" s="465">
        <v>26451.59</v>
      </c>
      <c r="W27" s="465">
        <v>0</v>
      </c>
      <c r="X27" s="465">
        <v>0</v>
      </c>
      <c r="Y27" s="446">
        <f t="shared" ref="Y27:Y30" si="28">SUM(V27:X27)</f>
        <v>26451.59</v>
      </c>
      <c r="Z27" s="490">
        <f>SUM(M27+Q27+U27+Y27)</f>
        <v>158710.67</v>
      </c>
    </row>
    <row r="28" spans="1:26" outlineLevel="1">
      <c r="A28" s="441" t="s">
        <v>737</v>
      </c>
      <c r="B28" s="465">
        <v>1718521.84</v>
      </c>
      <c r="C28" s="443">
        <f ca="1">SUMIF($E$2:$P$2,"actual",E28:H28)+B28</f>
        <v>1890733.81</v>
      </c>
      <c r="D28" s="449"/>
      <c r="E28" s="465">
        <v>80282.86</v>
      </c>
      <c r="F28" s="465">
        <v>81348.48</v>
      </c>
      <c r="G28" s="465">
        <v>10580.64</v>
      </c>
      <c r="H28" s="446">
        <f t="shared" ref="H28:H33" si="29">SUM(E28:G28)</f>
        <v>172211.97</v>
      </c>
      <c r="I28" s="490">
        <v>1002507.26</v>
      </c>
      <c r="J28" s="465">
        <v>10580.64</v>
      </c>
      <c r="K28" s="465">
        <v>10580.64</v>
      </c>
      <c r="L28" s="465">
        <v>10580.64</v>
      </c>
      <c r="M28" s="446">
        <f t="shared" ref="M28:M33" si="30">SUM(J28:L28)</f>
        <v>31741.92</v>
      </c>
      <c r="N28" s="465">
        <v>10580.64</v>
      </c>
      <c r="O28" s="465">
        <v>10580.64</v>
      </c>
      <c r="P28" s="465">
        <v>10580.64</v>
      </c>
      <c r="Q28" s="446">
        <f t="shared" si="26"/>
        <v>31741.92</v>
      </c>
      <c r="R28" s="465">
        <v>10580.64</v>
      </c>
      <c r="S28" s="465">
        <v>10580.64</v>
      </c>
      <c r="T28" s="465">
        <v>10580.64</v>
      </c>
      <c r="U28" s="446">
        <f t="shared" si="27"/>
        <v>31741.92</v>
      </c>
      <c r="V28" s="465">
        <v>10580.64</v>
      </c>
      <c r="W28" s="465">
        <v>10580.64</v>
      </c>
      <c r="X28" s="465">
        <v>10580.64</v>
      </c>
      <c r="Y28" s="446">
        <f t="shared" si="28"/>
        <v>31741.92</v>
      </c>
      <c r="Z28" s="490">
        <f t="shared" ref="Z28:Z31" si="31">SUM(M28+Q28+U28+Y28)</f>
        <v>126967.66</v>
      </c>
    </row>
    <row r="29" spans="1:26" outlineLevel="1">
      <c r="A29" s="437" t="s">
        <v>738</v>
      </c>
      <c r="B29" s="465">
        <v>1090167.77</v>
      </c>
      <c r="C29" s="471">
        <f ca="1">SUMIF($E$2:$P$2,"actual",E29:H29)+B29</f>
        <v>1199789.29</v>
      </c>
      <c r="D29" s="449"/>
      <c r="E29" s="472">
        <v>75609.37</v>
      </c>
      <c r="F29" s="472">
        <v>32591.81</v>
      </c>
      <c r="G29" s="472">
        <v>1420.34</v>
      </c>
      <c r="H29" s="446">
        <f t="shared" si="29"/>
        <v>109621.52</v>
      </c>
      <c r="I29" s="490">
        <v>587712.11</v>
      </c>
      <c r="J29" s="472">
        <f>'FCST 8874098591 35%'!T54</f>
        <v>0</v>
      </c>
      <c r="K29" s="472">
        <f>'FCST 8874098591 35%'!U54</f>
        <v>0</v>
      </c>
      <c r="L29" s="472">
        <f>'FCST 8874098591 35%'!V54</f>
        <v>0</v>
      </c>
      <c r="M29" s="446">
        <f t="shared" si="30"/>
        <v>0</v>
      </c>
      <c r="N29" s="472">
        <f>'FCST 8874098591 35%'!X54</f>
        <v>0</v>
      </c>
      <c r="O29" s="472">
        <f>'FCST 8874098591 35%'!Y54</f>
        <v>0</v>
      </c>
      <c r="P29" s="472">
        <f>'FCST 8874098591 35%'!Z54</f>
        <v>0</v>
      </c>
      <c r="Q29" s="446">
        <f t="shared" si="26"/>
        <v>0</v>
      </c>
      <c r="R29" s="472">
        <f>'FCST 8874098591 35%'!AB54</f>
        <v>0</v>
      </c>
      <c r="S29" s="472">
        <f>'FCST 8874098591 35%'!AC54</f>
        <v>0</v>
      </c>
      <c r="T29" s="472">
        <f>'FCST 8874098591 35%'!AD54</f>
        <v>0</v>
      </c>
      <c r="U29" s="446">
        <f t="shared" si="27"/>
        <v>0</v>
      </c>
      <c r="V29" s="472">
        <f>'FCST 8874098591 35%'!AF54</f>
        <v>0</v>
      </c>
      <c r="W29" s="472">
        <f>'FCST 8874098591 35%'!AG54</f>
        <v>0</v>
      </c>
      <c r="X29" s="472">
        <f>'FCST 8874098591 35%'!AH54</f>
        <v>0</v>
      </c>
      <c r="Y29" s="446">
        <f t="shared" si="28"/>
        <v>0</v>
      </c>
      <c r="Z29" s="490">
        <f t="shared" si="31"/>
        <v>0</v>
      </c>
    </row>
    <row r="30" spans="1:26" outlineLevel="1">
      <c r="A30" s="437" t="s">
        <v>739</v>
      </c>
      <c r="B30" s="465">
        <v>45925.14</v>
      </c>
      <c r="C30" s="471">
        <f>SUMIF($E$2:$H$2,"actual",E30:H30)+B30</f>
        <v>46584.98</v>
      </c>
      <c r="D30" s="449"/>
      <c r="E30" s="465">
        <v>217.06</v>
      </c>
      <c r="F30" s="465">
        <v>442.78</v>
      </c>
      <c r="G30" s="465"/>
      <c r="H30" s="446">
        <f t="shared" si="29"/>
        <v>659.85</v>
      </c>
      <c r="I30" s="490">
        <v>23470.88</v>
      </c>
      <c r="J30" s="465"/>
      <c r="K30" s="465">
        <v>0</v>
      </c>
      <c r="L30" s="465">
        <v>0</v>
      </c>
      <c r="M30" s="446">
        <f t="shared" si="30"/>
        <v>0</v>
      </c>
      <c r="N30" s="465"/>
      <c r="O30" s="465">
        <v>0</v>
      </c>
      <c r="P30" s="465">
        <v>0</v>
      </c>
      <c r="Q30" s="446">
        <f t="shared" si="26"/>
        <v>0</v>
      </c>
      <c r="R30" s="465"/>
      <c r="S30" s="465">
        <v>0</v>
      </c>
      <c r="T30" s="465">
        <v>0</v>
      </c>
      <c r="U30" s="446">
        <f t="shared" si="27"/>
        <v>0</v>
      </c>
      <c r="V30" s="465"/>
      <c r="W30" s="465">
        <v>0</v>
      </c>
      <c r="X30" s="465">
        <v>0</v>
      </c>
      <c r="Y30" s="446">
        <f t="shared" si="28"/>
        <v>0</v>
      </c>
      <c r="Z30" s="490">
        <f t="shared" si="31"/>
        <v>0</v>
      </c>
    </row>
    <row r="31" spans="1:26" outlineLevel="1">
      <c r="A31" s="437" t="s">
        <v>740</v>
      </c>
      <c r="B31" s="465">
        <v>24074.08</v>
      </c>
      <c r="C31" s="478">
        <f ca="1">SUMIF($E$2:$K$2,"actual",E31:H31)+B31</f>
        <v>31293.89</v>
      </c>
      <c r="D31" s="449"/>
      <c r="E31" s="465">
        <v>3677.25</v>
      </c>
      <c r="F31" s="465">
        <v>2700.96</v>
      </c>
      <c r="G31" s="465">
        <v>841.61</v>
      </c>
      <c r="H31" s="446">
        <f>SUM(E31:G31)</f>
        <v>7219.81</v>
      </c>
      <c r="I31" s="490">
        <v>27805.46</v>
      </c>
      <c r="J31" s="465">
        <v>327.82</v>
      </c>
      <c r="K31" s="465">
        <v>491.82</v>
      </c>
      <c r="L31" s="465">
        <v>264.52</v>
      </c>
      <c r="M31" s="446">
        <f>SUM(J31:L31)</f>
        <v>1084.17</v>
      </c>
      <c r="N31" s="465">
        <v>264.52</v>
      </c>
      <c r="O31" s="465">
        <v>322.71</v>
      </c>
      <c r="P31" s="465">
        <v>0</v>
      </c>
      <c r="Q31" s="446">
        <f>SUM(N31:P31)</f>
        <v>587.23</v>
      </c>
      <c r="R31" s="465">
        <v>264.52</v>
      </c>
      <c r="S31" s="465">
        <v>322.71</v>
      </c>
      <c r="T31" s="465">
        <v>0</v>
      </c>
      <c r="U31" s="446">
        <f>SUM(R31:T31)</f>
        <v>587.23</v>
      </c>
      <c r="V31" s="465">
        <v>264.52</v>
      </c>
      <c r="W31" s="465">
        <v>322.71</v>
      </c>
      <c r="X31" s="465">
        <v>0</v>
      </c>
      <c r="Y31" s="446">
        <f>SUM(V31:X31)</f>
        <v>587.23</v>
      </c>
      <c r="Z31" s="490">
        <f t="shared" si="31"/>
        <v>2845.86</v>
      </c>
    </row>
    <row r="32" spans="1:26" outlineLevel="1">
      <c r="A32" s="441" t="s">
        <v>676</v>
      </c>
      <c r="B32" s="442">
        <f>SUM(B29:B31)</f>
        <v>1160166.99</v>
      </c>
      <c r="C32" s="443">
        <f>SUMIF($E$2:$H$2,"actual",E32:H32)+B32</f>
        <v>1277668.17</v>
      </c>
      <c r="D32" s="449"/>
      <c r="E32" s="442">
        <f>SUM(E29:E31)</f>
        <v>79503.68</v>
      </c>
      <c r="F32" s="442">
        <f>SUM(F29:F31)</f>
        <v>35735.55</v>
      </c>
      <c r="G32" s="442">
        <f>SUM(G29:G31)</f>
        <v>2261.95</v>
      </c>
      <c r="H32" s="446">
        <f t="shared" si="29"/>
        <v>117501.18</v>
      </c>
      <c r="I32" s="490">
        <f>SUM(I29:I31)</f>
        <v>638988.45</v>
      </c>
      <c r="J32" s="442">
        <f>SUM(J29:J31)</f>
        <v>327.82</v>
      </c>
      <c r="K32" s="442">
        <f>SUM(K29:K31)</f>
        <v>491.82</v>
      </c>
      <c r="L32" s="442">
        <f>SUM(L29:L31)</f>
        <v>264.52</v>
      </c>
      <c r="M32" s="446">
        <f t="shared" si="30"/>
        <v>1084.17</v>
      </c>
      <c r="N32" s="442">
        <f>SUM(N29:N31)</f>
        <v>264.52</v>
      </c>
      <c r="O32" s="442">
        <f>SUM(O29:O31)</f>
        <v>322.71</v>
      </c>
      <c r="P32" s="442">
        <f>SUM(P29:P31)</f>
        <v>0</v>
      </c>
      <c r="Q32" s="446">
        <f t="shared" si="26"/>
        <v>587.23</v>
      </c>
      <c r="R32" s="442">
        <f>SUM(R29:R31)</f>
        <v>264.52</v>
      </c>
      <c r="S32" s="442">
        <f>SUM(S29:S31)</f>
        <v>322.71</v>
      </c>
      <c r="T32" s="442">
        <f>SUM(T29:T31)</f>
        <v>0</v>
      </c>
      <c r="U32" s="446">
        <f t="shared" ref="U32:U33" si="32">SUM(R32:T32)</f>
        <v>587.23</v>
      </c>
      <c r="V32" s="442">
        <f>SUM(V29:V31)</f>
        <v>264.52</v>
      </c>
      <c r="W32" s="442">
        <f>SUM(W29:W31)</f>
        <v>322.71</v>
      </c>
      <c r="X32" s="442">
        <f>SUM(X29:X31)</f>
        <v>0</v>
      </c>
      <c r="Y32" s="446">
        <f t="shared" ref="Y32:Y33" si="33">SUM(V32:X32)</f>
        <v>587.23</v>
      </c>
      <c r="Z32" s="490">
        <f>SUM(Z29:Z31)</f>
        <v>2845.86</v>
      </c>
    </row>
    <row r="33" spans="1:26" outlineLevel="1">
      <c r="A33" s="441" t="s">
        <v>741</v>
      </c>
      <c r="B33" s="442">
        <f>B28-B32</f>
        <v>558354.85</v>
      </c>
      <c r="C33" s="443">
        <f ca="1">SUMIF($E$2:$L$2,"actual",E33:H33)+B33</f>
        <v>613065.64</v>
      </c>
      <c r="D33" s="449"/>
      <c r="E33" s="448">
        <f>E28-E32</f>
        <v>779.17</v>
      </c>
      <c r="F33" s="448">
        <f>F28-F32</f>
        <v>45612.93</v>
      </c>
      <c r="G33" s="448">
        <f>G28-G32</f>
        <v>8318.69</v>
      </c>
      <c r="H33" s="446">
        <f t="shared" si="29"/>
        <v>54710.80</v>
      </c>
      <c r="I33" s="490">
        <v>363518.82</v>
      </c>
      <c r="J33" s="448">
        <f>J28-J32</f>
        <v>10252.82</v>
      </c>
      <c r="K33" s="448">
        <f>K28-K32</f>
        <v>10088.81</v>
      </c>
      <c r="L33" s="448">
        <f>L28-L32</f>
        <v>10316.12</v>
      </c>
      <c r="M33" s="446">
        <f t="shared" si="30"/>
        <v>30657.75</v>
      </c>
      <c r="N33" s="448">
        <f>N28-N32</f>
        <v>10316.12</v>
      </c>
      <c r="O33" s="448">
        <f>O28-O32</f>
        <v>10257.93</v>
      </c>
      <c r="P33" s="448">
        <f>P28-P32</f>
        <v>10580.64</v>
      </c>
      <c r="Q33" s="446">
        <f t="shared" si="26"/>
        <v>31154.69</v>
      </c>
      <c r="R33" s="448">
        <f>R28-R32</f>
        <v>10316.12</v>
      </c>
      <c r="S33" s="448">
        <f>S28-S32</f>
        <v>10257.93</v>
      </c>
      <c r="T33" s="448">
        <f>T28-T32</f>
        <v>10580.64</v>
      </c>
      <c r="U33" s="446">
        <f t="shared" si="32"/>
        <v>31154.69</v>
      </c>
      <c r="V33" s="448">
        <f>V28-V32</f>
        <v>10316.12</v>
      </c>
      <c r="W33" s="448">
        <f>W28-W32</f>
        <v>10257.93</v>
      </c>
      <c r="X33" s="448">
        <f>X28-X32</f>
        <v>10580.64</v>
      </c>
      <c r="Y33" s="446">
        <f t="shared" si="33"/>
        <v>31154.69</v>
      </c>
      <c r="Z33" s="490">
        <f>Z28-Z32</f>
        <v>124121.81</v>
      </c>
    </row>
    <row r="34" spans="1:26" outlineLevel="1">
      <c r="A34" s="441" t="s">
        <v>742</v>
      </c>
      <c r="B34" s="452">
        <f>IFERROR(B33/B28,0)</f>
        <v>0.32490413187490358</v>
      </c>
      <c r="C34" s="453">
        <f ca="1">IFERROR(C33/C28,0)</f>
        <v>0.32424746318164804</v>
      </c>
      <c r="D34" s="457"/>
      <c r="E34" s="452">
        <f>IFERROR(E33/E28,0)</f>
        <v>9.7053685768713604E-3</v>
      </c>
      <c r="F34" s="452">
        <f t="shared" ref="F34:G34" si="34">IFERROR(F33/F28,0)</f>
        <v>0.56071030787643339</v>
      </c>
      <c r="G34" s="452">
        <f t="shared" si="34"/>
        <v>0.78621823070155472</v>
      </c>
      <c r="H34" s="474">
        <f t="shared" ref="H34:N34" si="35">IFERROR(H33/H28,0)</f>
        <v>0.31769449550847101</v>
      </c>
      <c r="I34" s="491">
        <f>I33/I28</f>
        <v>0.36260965765863867</v>
      </c>
      <c r="J34" s="452">
        <f t="shared" si="35"/>
        <v>0.96901666676920617</v>
      </c>
      <c r="K34" s="452">
        <f t="shared" si="35"/>
        <v>0.95351654064562963</v>
      </c>
      <c r="L34" s="452">
        <f t="shared" si="35"/>
        <v>0.97499984619076041</v>
      </c>
      <c r="M34" s="474">
        <f t="shared" si="35"/>
        <v>0.9658443512018654</v>
      </c>
      <c r="N34" s="452">
        <f t="shared" si="35"/>
        <v>0.97499984619076041</v>
      </c>
      <c r="O34" s="452">
        <f t="shared" ref="O34:P34" si="36">IFERROR(O33/O28,0)</f>
        <v>0.96949962778164012</v>
      </c>
      <c r="P34" s="452">
        <f t="shared" si="36"/>
        <v>1</v>
      </c>
      <c r="Q34" s="474">
        <f>IFERROR(Q33/Q28,0)</f>
        <v>0.98149982465746677</v>
      </c>
      <c r="R34" s="452">
        <f t="shared" ref="R34:T34" si="37">IFERROR(R33/R28,0)</f>
        <v>0.97499984619076041</v>
      </c>
      <c r="S34" s="452">
        <f t="shared" si="37"/>
        <v>0.96949962778164012</v>
      </c>
      <c r="T34" s="452">
        <f t="shared" si="37"/>
        <v>1</v>
      </c>
      <c r="U34" s="474">
        <f>IFERROR(U33/U28,0)</f>
        <v>0.98149982465746677</v>
      </c>
      <c r="V34" s="452">
        <f t="shared" ref="V34:X34" si="38">IFERROR(V33/V28,0)</f>
        <v>0.97499984619076041</v>
      </c>
      <c r="W34" s="452">
        <f t="shared" si="38"/>
        <v>0.96949962778164012</v>
      </c>
      <c r="X34" s="452">
        <f t="shared" si="38"/>
        <v>1</v>
      </c>
      <c r="Y34" s="474">
        <f>IFERROR(Y33/Y28,0)</f>
        <v>0.98149982465746677</v>
      </c>
      <c r="Z34" s="491">
        <f>Z33/Z28</f>
        <v>0.97758595629356648</v>
      </c>
    </row>
    <row r="35" spans="1:26" outlineLevel="1">
      <c r="A35" s="441"/>
      <c r="B35" s="452"/>
      <c r="C35" s="453"/>
      <c r="D35" s="457"/>
      <c r="E35" s="479"/>
      <c r="F35" s="479"/>
      <c r="G35" s="479"/>
      <c r="H35" s="474"/>
      <c r="I35" s="487"/>
      <c r="J35" s="479"/>
      <c r="K35" s="479"/>
      <c r="L35" s="479"/>
      <c r="M35" s="474"/>
      <c r="N35" s="479"/>
      <c r="O35" s="479"/>
      <c r="P35" s="479"/>
      <c r="Q35" s="474"/>
      <c r="R35" s="479"/>
      <c r="S35" s="479"/>
      <c r="T35" s="479"/>
      <c r="U35" s="474"/>
      <c r="V35" s="479"/>
      <c r="W35" s="479"/>
      <c r="X35" s="479"/>
      <c r="Y35" s="474"/>
      <c r="Z35" s="487"/>
    </row>
    <row r="36" spans="1:26" outlineLevel="1">
      <c r="A36" s="441"/>
      <c r="B36" s="452"/>
      <c r="C36" s="453"/>
      <c r="D36" s="457"/>
      <c r="E36" s="479"/>
      <c r="F36" s="479"/>
      <c r="G36" s="479"/>
      <c r="H36" s="474"/>
      <c r="I36" s="487"/>
      <c r="J36" s="479"/>
      <c r="K36" s="479"/>
      <c r="L36" s="479"/>
      <c r="M36" s="474"/>
      <c r="N36" s="479"/>
      <c r="O36" s="479"/>
      <c r="P36" s="479"/>
      <c r="Q36" s="474"/>
      <c r="R36" s="479"/>
      <c r="S36" s="479"/>
      <c r="T36" s="479"/>
      <c r="U36" s="474"/>
      <c r="V36" s="479"/>
      <c r="W36" s="479"/>
      <c r="X36" s="479"/>
      <c r="Y36" s="474"/>
      <c r="Z36" s="487"/>
    </row>
    <row r="37" spans="1:26">
      <c r="F37" s="167"/>
      <c r="I37" s="487"/>
      <c r="Z37" s="487"/>
    </row>
    <row r="38" spans="1:26">
      <c r="F38" s="167"/>
      <c r="I38" s="487"/>
      <c r="Z38" s="487"/>
    </row>
    <row r="39" spans="1:26">
      <c r="F39" s="121"/>
      <c r="G39" s="121"/>
      <c r="H39" s="151"/>
      <c r="I39" s="489"/>
      <c r="J39" s="121"/>
      <c r="K39" s="121"/>
      <c r="Z39" s="489"/>
    </row>
    <row r="40" spans="1:26">
      <c r="E40" s="121"/>
      <c r="F40" s="121"/>
      <c r="H40" s="151"/>
      <c r="I40" s="489"/>
      <c r="J40" s="121"/>
      <c r="K40" s="121"/>
      <c r="P40" s="121"/>
      <c r="Q40" s="121"/>
      <c r="T40" s="121"/>
      <c r="U40" s="121"/>
      <c r="X40" s="121"/>
      <c r="Y40" s="121"/>
      <c r="Z40" s="489"/>
    </row>
    <row r="41" spans="1:26">
      <c r="E41" s="121"/>
      <c r="F41" s="121"/>
      <c r="G41" s="121"/>
      <c r="H41" s="151"/>
      <c r="I41" s="489"/>
      <c r="J41" s="121"/>
      <c r="K41" s="121"/>
      <c r="Z41" s="489"/>
    </row>
    <row r="42" spans="1:26">
      <c r="E42" s="121"/>
      <c r="F42" s="121"/>
      <c r="G42" s="121"/>
      <c r="H42" s="151"/>
      <c r="I42" s="489"/>
      <c r="J42" s="121"/>
      <c r="K42" s="121"/>
      <c r="L42" s="121"/>
      <c r="M42" s="121"/>
      <c r="N42" s="121"/>
      <c r="R42" s="121"/>
      <c r="V42" s="121"/>
      <c r="Z42" s="489"/>
    </row>
    <row r="43" spans="1:26">
      <c r="E43" s="121"/>
      <c r="H43" s="151"/>
      <c r="I43" s="489"/>
      <c r="J43" s="121"/>
      <c r="K43" s="121"/>
      <c r="Z43" s="489"/>
    </row>
    <row r="44" spans="1:26">
      <c r="H44" s="151"/>
      <c r="I44" s="489"/>
      <c r="J44" s="121"/>
      <c r="Z44" s="489"/>
    </row>
    <row r="45" spans="1:26">
      <c r="G45" s="121"/>
      <c r="I45" s="487"/>
      <c r="Z45" s="487"/>
    </row>
    <row r="46" spans="1:26">
      <c r="I46" s="487"/>
      <c r="Z46" s="487"/>
    </row>
    <row r="47" spans="1:26">
      <c r="I47" s="487"/>
      <c r="Z47" s="487"/>
    </row>
    <row r="48" spans="1:26">
      <c r="I48" s="487"/>
      <c r="Z48" s="487"/>
    </row>
    <row r="49" spans="9:26">
      <c r="I49" s="487"/>
      <c r="Z49" s="487"/>
    </row>
    <row r="50" spans="9:26">
      <c r="I50" s="487"/>
      <c r="Z50" s="487"/>
    </row>
    <row r="51" spans="9:26">
      <c r="I51" s="487"/>
      <c r="Z51" s="487"/>
    </row>
    <row r="52" spans="9:26">
      <c r="I52" s="487"/>
      <c r="Z52" s="487"/>
    </row>
    <row r="53" spans="9:26">
      <c r="I53" s="487"/>
      <c r="Z53" s="487"/>
    </row>
    <row r="54" spans="9:26">
      <c r="I54" s="487"/>
      <c r="Z54" s="487"/>
    </row>
    <row r="55" spans="9:26">
      <c r="I55" s="486"/>
      <c r="Z55" s="486"/>
    </row>
  </sheetData>
  <scenarios current="2" show="2">
    <scenario name="sac 2 - originale" locked="1" count="1" user="Author">
      <inputCells r="K20" undone="1" val="-134000"/>
    </scenario>
    <scenario name="sac2 - prima 15na" locked="1" count="1" user="Author">
      <inputCells r="K20" undone="1" val="0" numFmtId="164"/>
    </scenario>
    <scenario name="sac2 - seconda 15na" locked="1" count="1" user="Author">
      <inputCells r="K20" undone="1" val="0" numFmtId="164"/>
    </scenario>
  </scenarios>
  <autoFilter ref="A1:C1" xr:uid="{4A9E7F9A-3479-4E35-A982-2EF501425BAD}"/>
  <conditionalFormatting sqref="E2:G2">
    <cfRule type="timePeriod" dxfId="55" priority="9" timePeriod="yesterday">
      <formula>FLOOR(E2,1)=TODAY()-1</formula>
    </cfRule>
  </conditionalFormatting>
  <conditionalFormatting sqref="I2">
    <cfRule type="cellIs" dxfId="54" priority="5" operator="equal">
      <formula>"forecast"</formula>
    </cfRule>
    <cfRule type="cellIs" dxfId="53" priority="6" operator="equal">
      <formula>"actual"</formula>
    </cfRule>
  </conditionalFormatting>
  <conditionalFormatting sqref="J2">
    <cfRule type="timePeriod" dxfId="52" priority="11" timePeriod="yesterday">
      <formula>FLOOR(J2,1)=TODAY()-1</formula>
    </cfRule>
  </conditionalFormatting>
  <conditionalFormatting sqref="J2:Y2 A2:H2">
    <cfRule type="cellIs" dxfId="51" priority="16" operator="equal">
      <formula>"forecast"</formula>
    </cfRule>
    <cfRule type="cellIs" dxfId="50" priority="17" operator="equal">
      <formula>"actual"</formula>
    </cfRule>
  </conditionalFormatting>
  <conditionalFormatting sqref="N2">
    <cfRule type="timePeriod" dxfId="49" priority="12" timePeriod="yesterday">
      <formula>FLOOR(N2,1)=TODAY()-1</formula>
    </cfRule>
  </conditionalFormatting>
  <conditionalFormatting sqref="R2">
    <cfRule type="timePeriod" dxfId="48" priority="4" timePeriod="yesterday">
      <formula>FLOOR(R2,1)=TODAY()-1</formula>
    </cfRule>
  </conditionalFormatting>
  <conditionalFormatting sqref="V2">
    <cfRule type="timePeriod" dxfId="47" priority="3" timePeriod="yesterday">
      <formula>FLOOR(V2,1)=TODAY()-1</formula>
    </cfRule>
  </conditionalFormatting>
  <conditionalFormatting sqref="Z2:XFD2">
    <cfRule type="cellIs" dxfId="46" priority="1" operator="equal">
      <formula>"forecast"</formula>
    </cfRule>
    <cfRule type="cellIs" dxfId="45" priority="2" operator="equal">
      <formula>"actual"</formula>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DF741-D0F5-4A01-99D3-AE66F0D8B072}">
  <sheetPr codeName="Sheet4">
    <tabColor theme="9"/>
  </sheetPr>
  <dimension ref="A1:S64"/>
  <sheetViews>
    <sheetView showGridLines="0" zoomScale="54" zoomScaleNormal="54" workbookViewId="0">
      <pane ySplit="2" topLeftCell="A3" activePane="bottomLeft" state="frozen"/>
      <selection pane="bottomLeft" activeCell="R14" sqref="R14"/>
    </sheetView>
  </sheetViews>
  <sheetFormatPr defaultColWidth="12.54296875" defaultRowHeight="14.5"/>
  <cols>
    <col min="1" max="1" width="6.26953125" style="9" customWidth="1"/>
    <col min="2" max="2" width="19" bestFit="1" customWidth="1"/>
    <col min="3" max="3" width="7.90625" bestFit="1" customWidth="1"/>
    <col min="4" max="4" width="11.54296875" bestFit="1" customWidth="1"/>
    <col min="5" max="5" width="10" bestFit="1" customWidth="1"/>
    <col min="6" max="6" width="3.453125" style="9" customWidth="1"/>
    <col min="7" max="7" width="29.54296875" style="9" customWidth="1"/>
    <col min="8" max="11" width="11.453125" style="9" customWidth="1"/>
    <col min="12" max="17" width="12.54296875" style="9"/>
    <col min="18" max="18" width="14.453125" style="9" bestFit="1" customWidth="1"/>
    <col min="19" max="16384" width="12.54296875" style="9"/>
  </cols>
  <sheetData>
    <row r="1" spans="1:19" ht="15" thickBot="1">
      <c r="A1" s="258" t="s">
        <v>101</v>
      </c>
      <c r="B1" s="256" t="s">
        <v>41</v>
      </c>
      <c r="C1" s="25" t="s">
        <v>99</v>
      </c>
      <c r="D1" s="25" t="s">
        <v>42</v>
      </c>
      <c r="E1" s="31" t="s">
        <v>102</v>
      </c>
    </row>
    <row r="2" spans="1:19" ht="15" customHeight="1">
      <c r="B2" s="22" t="s">
        <v>68</v>
      </c>
      <c r="C2" s="3">
        <f>VLOOKUP(B2,'Costi vs Forecast'!B5:C22,2,FALSE)</f>
        <v>88.64</v>
      </c>
      <c r="D2" s="13">
        <v>594.46</v>
      </c>
      <c r="E2" s="13">
        <v>49.87</v>
      </c>
      <c r="H2" s="26">
        <v>45901</v>
      </c>
      <c r="I2" s="26">
        <v>45931</v>
      </c>
      <c r="J2" s="26">
        <v>45962</v>
      </c>
      <c r="K2" s="26">
        <v>45992</v>
      </c>
      <c r="L2" s="26">
        <v>46023</v>
      </c>
      <c r="M2" s="26">
        <v>46054</v>
      </c>
      <c r="N2" s="26">
        <v>46082</v>
      </c>
      <c r="O2" s="26">
        <v>46113</v>
      </c>
      <c r="P2" s="26">
        <v>46143</v>
      </c>
      <c r="Q2" s="26">
        <v>46174</v>
      </c>
      <c r="R2" s="26">
        <v>46204</v>
      </c>
      <c r="S2" s="26">
        <v>46235</v>
      </c>
    </row>
    <row r="3" spans="1:19">
      <c r="B3" s="22" t="s">
        <v>69</v>
      </c>
      <c r="C3" s="3">
        <f>VLOOKUP(B3,'Costi vs Forecast'!B6:C23,2,FALSE)</f>
        <v>34.61</v>
      </c>
      <c r="D3" s="13">
        <v>294.69</v>
      </c>
      <c r="E3" s="13"/>
      <c r="G3" s="6" t="s">
        <v>68</v>
      </c>
      <c r="H3" s="14"/>
      <c r="I3" s="14"/>
      <c r="J3" s="14"/>
      <c r="K3" s="14"/>
      <c r="L3" s="5"/>
      <c r="M3" s="14">
        <v>94.88</v>
      </c>
      <c r="N3" s="14"/>
      <c r="O3" s="14"/>
      <c r="P3" s="14">
        <v>89.18</v>
      </c>
      <c r="Q3" s="14">
        <v>3.82</v>
      </c>
      <c r="R3" s="14">
        <v>56.55</v>
      </c>
      <c r="S3" s="14"/>
    </row>
    <row r="4" spans="1:19">
      <c r="B4" s="22" t="s">
        <v>70</v>
      </c>
      <c r="C4" s="3">
        <f>VLOOKUP(B4,'Costi vs Forecast'!B7:C24,2,FALSE)</f>
        <v>29.14</v>
      </c>
      <c r="D4" s="13">
        <v>203.03</v>
      </c>
      <c r="E4" s="13">
        <v>20.30</v>
      </c>
      <c r="G4" s="15" t="s">
        <v>43</v>
      </c>
      <c r="H4" s="16">
        <v>0</v>
      </c>
      <c r="I4" s="16">
        <v>0</v>
      </c>
      <c r="J4" s="16">
        <v>0</v>
      </c>
      <c r="K4" s="16">
        <v>0</v>
      </c>
      <c r="L4" s="16">
        <v>0</v>
      </c>
      <c r="M4" s="16">
        <v>9723.99</v>
      </c>
      <c r="N4" s="16">
        <v>0</v>
      </c>
      <c r="O4" s="16">
        <v>0</v>
      </c>
      <c r="P4" s="16">
        <v>9140.21</v>
      </c>
      <c r="Q4" s="16">
        <f t="shared" ref="Q4:S4" si="0">Q3*$C$2</f>
        <v>416.63</v>
      </c>
      <c r="R4" s="16">
        <f t="shared" si="0"/>
        <v>6160.79</v>
      </c>
      <c r="S4" s="16">
        <f t="shared" si="0"/>
        <v>0</v>
      </c>
    </row>
    <row r="5" spans="1:19">
      <c r="B5" s="22" t="s">
        <v>98</v>
      </c>
      <c r="C5" s="3">
        <f>VLOOKUP(B5,'Costi vs Forecast'!B8:C25,2,FALSE)</f>
        <v>227.98</v>
      </c>
      <c r="D5" s="13">
        <v>1512.05</v>
      </c>
      <c r="E5" s="13">
        <v>127.08</v>
      </c>
      <c r="G5" s="6" t="s">
        <v>69</v>
      </c>
      <c r="H5" s="14"/>
      <c r="I5" s="14">
        <v>67.37</v>
      </c>
      <c r="J5" s="14"/>
      <c r="K5" s="14">
        <v>35.15</v>
      </c>
      <c r="L5" s="14">
        <v>113.51</v>
      </c>
      <c r="M5" s="14">
        <v>114.49</v>
      </c>
      <c r="N5" s="14">
        <v>123.03</v>
      </c>
      <c r="O5" s="5"/>
      <c r="P5" s="14">
        <v>111.31</v>
      </c>
      <c r="Q5" s="14">
        <v>52.73</v>
      </c>
      <c r="R5" s="14">
        <v>129.22</v>
      </c>
      <c r="S5" s="14">
        <v>64.45</v>
      </c>
    </row>
    <row r="6" spans="1:19" ht="14.5" customHeight="1">
      <c r="B6" s="22" t="s">
        <v>71</v>
      </c>
      <c r="C6" s="3">
        <f>VLOOKUP(B6,'Costi vs Forecast'!B9:C26,2,FALSE)</f>
        <v>91.35</v>
      </c>
      <c r="D6" s="13">
        <v>736</v>
      </c>
      <c r="E6" s="13">
        <v>61.71</v>
      </c>
      <c r="G6" s="15" t="s">
        <v>43</v>
      </c>
      <c r="H6" s="16">
        <v>0</v>
      </c>
      <c r="I6" s="16">
        <v>2845.22</v>
      </c>
      <c r="J6" s="16">
        <v>0</v>
      </c>
      <c r="K6" s="16">
        <v>1495.01</v>
      </c>
      <c r="L6" s="16">
        <v>4827.63</v>
      </c>
      <c r="M6" s="16">
        <v>4869.16</v>
      </c>
      <c r="N6" s="16">
        <v>5232.53</v>
      </c>
      <c r="O6" s="16">
        <v>0</v>
      </c>
      <c r="P6" s="16">
        <v>4734.19</v>
      </c>
      <c r="Q6" s="16">
        <f t="shared" ref="Q6:S6" si="1">Q5*$C$3</f>
        <v>2242.51</v>
      </c>
      <c r="R6" s="16">
        <f t="shared" si="1"/>
        <v>5495.54</v>
      </c>
      <c r="S6" s="16">
        <f t="shared" si="1"/>
        <v>2740.85</v>
      </c>
    </row>
    <row r="7" spans="1:19" ht="14.5" customHeight="1">
      <c r="B7" s="22" t="s">
        <v>282</v>
      </c>
      <c r="C7" s="3">
        <v>40.49</v>
      </c>
      <c r="D7" s="13">
        <v>0</v>
      </c>
      <c r="E7" s="13"/>
      <c r="G7" s="6" t="s">
        <v>70</v>
      </c>
      <c r="H7" s="14"/>
      <c r="I7" s="14"/>
      <c r="J7" s="14">
        <v>57.94</v>
      </c>
      <c r="K7" s="14"/>
      <c r="L7" s="14">
        <v>57.94</v>
      </c>
      <c r="M7" s="14"/>
      <c r="N7" s="14"/>
      <c r="O7" s="14"/>
      <c r="P7" s="14">
        <v>86.90</v>
      </c>
      <c r="Q7" s="14"/>
      <c r="R7" s="14">
        <v>133.28</v>
      </c>
      <c r="S7" s="14">
        <v>121.65</v>
      </c>
    </row>
    <row r="8" spans="1:19" ht="14.5" customHeight="1">
      <c r="B8" s="22" t="s">
        <v>109</v>
      </c>
      <c r="C8" s="3">
        <v>43.50</v>
      </c>
      <c r="D8" s="33">
        <v>300.42</v>
      </c>
      <c r="E8" s="33">
        <v>26.75</v>
      </c>
      <c r="G8" s="15" t="s">
        <v>43</v>
      </c>
      <c r="H8" s="75">
        <v>0</v>
      </c>
      <c r="I8" s="75">
        <v>0</v>
      </c>
      <c r="J8" s="75">
        <v>1807.01</v>
      </c>
      <c r="K8" s="75">
        <v>0</v>
      </c>
      <c r="L8" s="16">
        <v>2074.67</v>
      </c>
      <c r="M8" s="16">
        <v>0</v>
      </c>
      <c r="N8" s="16">
        <v>0</v>
      </c>
      <c r="O8" s="16">
        <v>0</v>
      </c>
      <c r="P8" s="16">
        <v>3112.00</v>
      </c>
      <c r="Q8" s="16">
        <f t="shared" ref="Q8:S8" si="2">Q7*$C$4</f>
        <v>0</v>
      </c>
      <c r="R8" s="16">
        <f t="shared" si="2"/>
        <v>4772.90</v>
      </c>
      <c r="S8" s="16">
        <f t="shared" si="2"/>
        <v>4356.22</v>
      </c>
    </row>
    <row r="9" spans="1:19">
      <c r="B9" s="22" t="s">
        <v>142</v>
      </c>
      <c r="C9" s="3">
        <f>VLOOKUP(B9,'Costi vs Forecast'!B12:C29,2,FALSE)</f>
        <v>33.35</v>
      </c>
      <c r="D9" s="33">
        <v>202.12</v>
      </c>
      <c r="E9" s="33">
        <v>22.38</v>
      </c>
      <c r="G9" s="6" t="s">
        <v>109</v>
      </c>
      <c r="H9" s="14"/>
      <c r="I9" s="14"/>
      <c r="J9" s="14">
        <v>44.18</v>
      </c>
      <c r="K9" s="14"/>
      <c r="L9" s="14">
        <v>63</v>
      </c>
      <c r="M9" s="5"/>
      <c r="N9" s="5"/>
      <c r="O9" s="5"/>
      <c r="P9" s="5"/>
      <c r="Q9" s="14"/>
      <c r="R9" s="14">
        <v>64.77</v>
      </c>
      <c r="S9" s="14">
        <v>31.33</v>
      </c>
    </row>
    <row r="10" spans="1:19">
      <c r="B10" s="22" t="s">
        <v>143</v>
      </c>
      <c r="C10" s="3">
        <v>33.35</v>
      </c>
      <c r="D10" s="33">
        <v>202.12</v>
      </c>
      <c r="E10" s="33">
        <v>18.96</v>
      </c>
      <c r="G10" s="15" t="s">
        <v>43</v>
      </c>
      <c r="H10" s="16">
        <v>0</v>
      </c>
      <c r="I10" s="16">
        <v>0</v>
      </c>
      <c r="J10" s="16">
        <v>2038.65</v>
      </c>
      <c r="K10" s="16">
        <v>0</v>
      </c>
      <c r="L10" s="16">
        <v>2566.23</v>
      </c>
      <c r="M10" s="16">
        <v>0</v>
      </c>
      <c r="N10" s="16">
        <v>0</v>
      </c>
      <c r="O10" s="16">
        <v>0</v>
      </c>
      <c r="P10" s="16">
        <v>0</v>
      </c>
      <c r="Q10" s="16">
        <f t="shared" ref="Q10:S10" si="3">$C$8*Q9</f>
        <v>0</v>
      </c>
      <c r="R10" s="16">
        <f t="shared" si="3"/>
        <v>3462.63</v>
      </c>
      <c r="S10" s="16">
        <f t="shared" si="3"/>
        <v>1674.77</v>
      </c>
    </row>
    <row r="11" spans="1:19">
      <c r="B11" s="22" t="s">
        <v>177</v>
      </c>
      <c r="C11" s="3">
        <v>33.35</v>
      </c>
      <c r="D11" s="33">
        <v>263.44</v>
      </c>
      <c r="E11" s="33">
        <v>22.10</v>
      </c>
      <c r="G11" s="6" t="s">
        <v>411</v>
      </c>
      <c r="H11" s="14"/>
      <c r="I11" s="14">
        <v>23.43</v>
      </c>
      <c r="J11" s="14">
        <v>22.86</v>
      </c>
      <c r="K11" s="14"/>
      <c r="L11" s="5"/>
      <c r="M11" s="5"/>
      <c r="N11" s="5"/>
      <c r="O11" s="5"/>
      <c r="P11" s="5"/>
      <c r="Q11" s="5"/>
      <c r="R11" s="559">
        <v>66.40</v>
      </c>
      <c r="S11" s="5"/>
    </row>
    <row r="12" spans="1:19">
      <c r="B12" s="22" t="s">
        <v>265</v>
      </c>
      <c r="C12" s="3">
        <f>VLOOKUP(B12,'Costi vs Forecast'!B15:C32,2,FALSE)</f>
        <v>26.48</v>
      </c>
      <c r="D12" s="33"/>
      <c r="E12" s="33"/>
      <c r="G12" s="15" t="s">
        <v>43</v>
      </c>
      <c r="H12" s="75">
        <v>0</v>
      </c>
      <c r="I12" s="75">
        <v>2630.76</v>
      </c>
      <c r="J12" s="75">
        <v>2566.82</v>
      </c>
      <c r="K12" s="75">
        <v>0</v>
      </c>
      <c r="L12" s="16">
        <v>0</v>
      </c>
      <c r="M12" s="16">
        <v>0</v>
      </c>
      <c r="N12" s="16">
        <v>0</v>
      </c>
      <c r="O12" s="16">
        <v>0</v>
      </c>
      <c r="P12" s="16">
        <v>0</v>
      </c>
      <c r="Q12" s="16">
        <f t="shared" ref="Q12:S12" si="4">Q11*$C$6</f>
        <v>0</v>
      </c>
      <c r="R12" s="16">
        <f t="shared" si="4"/>
        <v>7453.83</v>
      </c>
      <c r="S12" s="16">
        <f t="shared" si="4"/>
        <v>0</v>
      </c>
    </row>
    <row r="13" spans="1:19">
      <c r="B13" s="22" t="s">
        <v>266</v>
      </c>
      <c r="C13" s="3">
        <f>VLOOKUP(B13,'Costi vs Forecast'!B16:C33,2,FALSE)</f>
        <v>79.64</v>
      </c>
      <c r="D13" s="33"/>
      <c r="E13" s="33"/>
      <c r="G13" s="6" t="s">
        <v>142</v>
      </c>
      <c r="H13" s="14"/>
      <c r="I13" s="14"/>
      <c r="J13" s="14">
        <v>55.82</v>
      </c>
      <c r="K13" s="14"/>
      <c r="L13" s="14">
        <v>28.72</v>
      </c>
      <c r="M13" s="14">
        <v>23.11</v>
      </c>
      <c r="N13" s="14"/>
      <c r="O13" s="5"/>
      <c r="P13" s="5"/>
      <c r="Q13" s="5"/>
      <c r="R13" s="14">
        <v>62.57</v>
      </c>
      <c r="S13" s="14"/>
    </row>
    <row r="14" spans="1:19">
      <c r="B14" s="22" t="s">
        <v>256</v>
      </c>
      <c r="C14" s="3">
        <v>29.14</v>
      </c>
      <c r="D14" s="33"/>
      <c r="E14" s="33"/>
      <c r="G14" s="15" t="s">
        <v>43</v>
      </c>
      <c r="H14" s="16">
        <v>0</v>
      </c>
      <c r="I14" s="16">
        <v>0</v>
      </c>
      <c r="J14" s="16">
        <v>1809.68</v>
      </c>
      <c r="K14" s="16">
        <v>0</v>
      </c>
      <c r="L14" s="16">
        <v>1177.09</v>
      </c>
      <c r="M14" s="16">
        <v>947.01</v>
      </c>
      <c r="N14" s="16">
        <v>0</v>
      </c>
      <c r="O14" s="16">
        <v>0</v>
      </c>
      <c r="P14" s="16">
        <v>0</v>
      </c>
      <c r="Q14" s="16">
        <f t="shared" ref="Q14:S14" si="5">Q13*$C$9</f>
        <v>0</v>
      </c>
      <c r="R14" s="16">
        <f t="shared" si="5"/>
        <v>2564.26</v>
      </c>
      <c r="S14" s="16">
        <f t="shared" si="5"/>
        <v>0</v>
      </c>
    </row>
    <row r="15" spans="1:19">
      <c r="B15" s="22" t="s">
        <v>286</v>
      </c>
      <c r="C15" s="3">
        <v>29.14</v>
      </c>
      <c r="D15" s="33"/>
      <c r="E15" s="33"/>
      <c r="G15" s="6" t="s">
        <v>143</v>
      </c>
      <c r="H15" s="14"/>
      <c r="I15" s="14">
        <v>17.41</v>
      </c>
      <c r="J15" s="14">
        <v>42</v>
      </c>
      <c r="K15" s="14">
        <v>25.88</v>
      </c>
      <c r="L15" s="5"/>
      <c r="M15" s="5"/>
      <c r="N15" s="5"/>
      <c r="O15" s="5"/>
      <c r="P15" s="5"/>
      <c r="Q15" s="14"/>
      <c r="R15" s="14">
        <v>77</v>
      </c>
      <c r="S15" s="14"/>
    </row>
    <row r="16" spans="1:19">
      <c r="B16" s="22" t="s">
        <v>335</v>
      </c>
      <c r="C16" s="3" t="e">
        <f>VLOOKUP(B16,'Costi vs Forecast'!B19:C36,2,FALSE)</f>
        <v>#N/A</v>
      </c>
      <c r="D16" s="5"/>
      <c r="E16" s="33"/>
      <c r="G16" s="15" t="s">
        <v>43</v>
      </c>
      <c r="H16" s="16">
        <v>0</v>
      </c>
      <c r="I16" s="16">
        <v>564.54</v>
      </c>
      <c r="J16" s="16">
        <v>1107.97</v>
      </c>
      <c r="K16" s="16">
        <v>898.40</v>
      </c>
      <c r="L16" s="16">
        <v>0</v>
      </c>
      <c r="M16" s="16">
        <v>0</v>
      </c>
      <c r="N16" s="16">
        <v>0</v>
      </c>
      <c r="O16" s="16">
        <v>0</v>
      </c>
      <c r="P16" s="16">
        <v>0</v>
      </c>
      <c r="Q16" s="16">
        <f t="shared" ref="Q16:S16" si="6">Q15*$C$10</f>
        <v>0</v>
      </c>
      <c r="R16" s="16">
        <f t="shared" si="6"/>
        <v>2567.60</v>
      </c>
      <c r="S16" s="16">
        <f t="shared" si="6"/>
        <v>0</v>
      </c>
    </row>
    <row r="17" spans="2:19">
      <c r="B17" s="22" t="s">
        <v>394</v>
      </c>
      <c r="C17" s="3">
        <f>VLOOKUP(B17,'Costi vs Forecast'!B20:C37,2,FALSE)</f>
        <v>29.14</v>
      </c>
      <c r="D17" s="5"/>
      <c r="E17" s="33"/>
      <c r="G17" s="6" t="s">
        <v>177</v>
      </c>
      <c r="H17" s="77"/>
      <c r="I17" s="77"/>
      <c r="J17" s="14"/>
      <c r="K17" s="14">
        <v>97</v>
      </c>
      <c r="L17" s="14"/>
      <c r="M17" s="14"/>
      <c r="N17" s="14"/>
      <c r="O17" s="14"/>
      <c r="P17" s="14"/>
      <c r="Q17" s="14"/>
      <c r="R17" s="14">
        <v>63.88</v>
      </c>
      <c r="S17" s="14">
        <v>17.33</v>
      </c>
    </row>
    <row r="18" spans="2:19">
      <c r="B18" s="22" t="s">
        <v>291</v>
      </c>
      <c r="C18" s="3">
        <v>79.64</v>
      </c>
      <c r="D18" s="5">
        <v>63.71</v>
      </c>
      <c r="E18" s="33"/>
      <c r="G18" s="15" t="s">
        <v>43</v>
      </c>
      <c r="H18" s="16">
        <v>0</v>
      </c>
      <c r="I18" s="16">
        <v>0</v>
      </c>
      <c r="J18" s="16">
        <v>0</v>
      </c>
      <c r="K18" s="16">
        <v>3234.51</v>
      </c>
      <c r="L18" s="16">
        <v>0</v>
      </c>
      <c r="M18" s="16">
        <v>0</v>
      </c>
      <c r="N18" s="16">
        <v>0</v>
      </c>
      <c r="O18" s="16">
        <v>0</v>
      </c>
      <c r="P18" s="16">
        <v>0</v>
      </c>
      <c r="Q18" s="16">
        <f t="shared" ref="Q18:S18" si="7">Q17*$C$11</f>
        <v>0</v>
      </c>
      <c r="R18" s="16">
        <f t="shared" si="7"/>
        <v>2617.62</v>
      </c>
      <c r="S18" s="16">
        <f t="shared" si="7"/>
        <v>710.26</v>
      </c>
    </row>
    <row r="19" spans="2:19">
      <c r="B19" s="22" t="s">
        <v>292</v>
      </c>
      <c r="C19" s="3">
        <v>25.58</v>
      </c>
      <c r="D19" s="5"/>
      <c r="E19" s="33"/>
      <c r="G19" s="6" t="s">
        <v>282</v>
      </c>
      <c r="H19" s="14"/>
      <c r="I19" s="14"/>
      <c r="J19" s="14">
        <v>70</v>
      </c>
      <c r="K19" s="14"/>
      <c r="L19" s="14">
        <v>126</v>
      </c>
      <c r="M19" s="14">
        <v>126</v>
      </c>
      <c r="N19" s="14"/>
      <c r="O19" s="14"/>
      <c r="P19" s="14">
        <v>70</v>
      </c>
      <c r="Q19" s="14"/>
      <c r="R19" s="5"/>
      <c r="S19" s="5"/>
    </row>
    <row r="20" spans="2:19">
      <c r="B20" s="22" t="s">
        <v>354</v>
      </c>
      <c r="C20" s="3" t="e">
        <f>VLOOKUP(B20,'Costi vs Forecast'!B23:C40,2,FALSE)</f>
        <v>#N/A</v>
      </c>
      <c r="D20" s="5"/>
      <c r="E20" s="33"/>
      <c r="G20" s="15" t="s">
        <v>43</v>
      </c>
      <c r="H20" s="75">
        <v>0</v>
      </c>
      <c r="I20" s="75">
        <v>0</v>
      </c>
      <c r="J20" s="75">
        <v>2579.10</v>
      </c>
      <c r="K20" s="75">
        <v>0</v>
      </c>
      <c r="L20" s="16">
        <v>5101.70</v>
      </c>
      <c r="M20" s="16">
        <v>5101.70</v>
      </c>
      <c r="N20" s="16">
        <v>0</v>
      </c>
      <c r="O20" s="16">
        <v>0</v>
      </c>
      <c r="P20" s="16">
        <v>2834.28</v>
      </c>
      <c r="Q20" s="16">
        <f t="shared" ref="Q20:S20" si="8">Q19*$C$7</f>
        <v>0</v>
      </c>
      <c r="R20" s="16">
        <f t="shared" si="8"/>
        <v>0</v>
      </c>
      <c r="S20" s="16">
        <f t="shared" si="8"/>
        <v>0</v>
      </c>
    </row>
    <row r="21" spans="2:19">
      <c r="B21" s="22" t="s">
        <v>255</v>
      </c>
      <c r="C21" s="3">
        <v>28.25</v>
      </c>
      <c r="D21" s="5"/>
      <c r="E21" s="33"/>
      <c r="G21" s="6" t="s">
        <v>701</v>
      </c>
      <c r="H21" s="14"/>
      <c r="I21" s="14"/>
      <c r="J21" s="14"/>
      <c r="K21" s="14"/>
      <c r="L21" s="5"/>
      <c r="M21" s="5"/>
      <c r="N21" s="5"/>
      <c r="O21" s="5"/>
      <c r="P21" s="5"/>
      <c r="Q21" s="5"/>
      <c r="R21" s="5"/>
      <c r="S21" s="5"/>
    </row>
    <row r="22" spans="2:19">
      <c r="B22" s="22" t="s">
        <v>412</v>
      </c>
      <c r="C22" s="3">
        <v>28.25</v>
      </c>
      <c r="D22" s="5"/>
      <c r="E22" s="33">
        <v>16.40</v>
      </c>
      <c r="G22" s="15" t="s">
        <v>43</v>
      </c>
      <c r="H22" s="16">
        <v>0</v>
      </c>
      <c r="I22" s="16">
        <v>548.76</v>
      </c>
      <c r="J22" s="16">
        <v>548.76</v>
      </c>
      <c r="K22" s="16">
        <v>13069.45</v>
      </c>
      <c r="L22" s="16">
        <v>0</v>
      </c>
      <c r="M22" s="16">
        <v>0</v>
      </c>
      <c r="N22" s="16">
        <v>5043.88</v>
      </c>
      <c r="O22" s="16">
        <v>35803</v>
      </c>
      <c r="P22" s="16">
        <v>7323</v>
      </c>
      <c r="Q22" s="16">
        <v>15460</v>
      </c>
      <c r="R22" s="16">
        <v>8951</v>
      </c>
      <c r="S22" s="16">
        <f>6000+2000+1000</f>
        <v>7323</v>
      </c>
    </row>
    <row r="23" spans="2:19">
      <c r="B23" s="236"/>
      <c r="D23" s="9"/>
      <c r="E23" s="237"/>
      <c r="G23" s="6" t="s">
        <v>265</v>
      </c>
      <c r="H23" s="14">
        <v>63.06</v>
      </c>
      <c r="I23" s="75"/>
      <c r="J23" s="75"/>
      <c r="K23" s="75"/>
      <c r="L23" s="5"/>
      <c r="M23" s="5"/>
      <c r="N23" s="5"/>
      <c r="O23" s="5"/>
      <c r="P23" s="14">
        <v>57.94</v>
      </c>
      <c r="Q23" s="14"/>
      <c r="R23" s="14">
        <v>75.27</v>
      </c>
      <c r="S23" s="14">
        <v>121.65</v>
      </c>
    </row>
    <row r="24" spans="2:19">
      <c r="B24" s="236"/>
      <c r="C24" s="139"/>
      <c r="D24" s="9"/>
      <c r="E24" s="237"/>
      <c r="G24" s="15" t="s">
        <v>43</v>
      </c>
      <c r="H24" s="16">
        <v>1966.90</v>
      </c>
      <c r="I24" s="16">
        <v>0</v>
      </c>
      <c r="J24" s="16">
        <v>0</v>
      </c>
      <c r="K24" s="16">
        <v>0</v>
      </c>
      <c r="L24" s="16">
        <v>0</v>
      </c>
      <c r="M24" s="16">
        <v>0</v>
      </c>
      <c r="N24" s="16">
        <v>0</v>
      </c>
      <c r="O24" s="16">
        <v>0</v>
      </c>
      <c r="P24" s="16">
        <v>1885.22</v>
      </c>
      <c r="Q24" s="16">
        <f t="shared" ref="Q24:S24" si="9">Q23*$C$12</f>
        <v>0</v>
      </c>
      <c r="R24" s="16">
        <f t="shared" si="9"/>
        <v>2449.20</v>
      </c>
      <c r="S24" s="16">
        <f t="shared" si="9"/>
        <v>3958.43</v>
      </c>
    </row>
    <row r="25" spans="2:19">
      <c r="B25" s="236"/>
      <c r="C25" s="139"/>
      <c r="D25" s="9"/>
      <c r="E25" s="237"/>
      <c r="G25" s="6" t="s">
        <v>266</v>
      </c>
      <c r="H25" s="14"/>
      <c r="I25" s="14"/>
      <c r="J25" s="14"/>
      <c r="K25" s="14">
        <v>41.25</v>
      </c>
      <c r="L25" s="14"/>
      <c r="M25" s="14"/>
      <c r="N25" s="14">
        <v>61.19</v>
      </c>
      <c r="O25" s="14"/>
      <c r="P25" s="14">
        <v>61.19</v>
      </c>
      <c r="Q25" s="14"/>
      <c r="R25" s="14">
        <v>63.14</v>
      </c>
      <c r="S25" s="14">
        <v>17.98</v>
      </c>
    </row>
    <row r="26" spans="2:19">
      <c r="B26" s="9"/>
      <c r="C26" s="9"/>
      <c r="D26" s="9"/>
      <c r="E26" s="9"/>
      <c r="G26" s="15" t="s">
        <v>43</v>
      </c>
      <c r="H26" s="16">
        <v>0</v>
      </c>
      <c r="I26" s="16">
        <v>0</v>
      </c>
      <c r="J26" s="16">
        <v>0</v>
      </c>
      <c r="K26" s="16">
        <v>4037.59</v>
      </c>
      <c r="L26" s="16">
        <v>0</v>
      </c>
      <c r="M26" s="16">
        <v>0</v>
      </c>
      <c r="N26" s="16">
        <v>5988.69</v>
      </c>
      <c r="O26" s="16">
        <v>0</v>
      </c>
      <c r="P26" s="16">
        <v>5988.69</v>
      </c>
      <c r="Q26" s="16">
        <f t="shared" ref="Q26:S26" si="10">Q25*$C$13</f>
        <v>0</v>
      </c>
      <c r="R26" s="16">
        <f t="shared" si="10"/>
        <v>6179.82</v>
      </c>
      <c r="S26" s="16">
        <f t="shared" si="10"/>
        <v>1759.97</v>
      </c>
    </row>
    <row r="27" spans="2:19" ht="14.5" customHeight="1">
      <c r="B27" s="9"/>
      <c r="C27" s="9"/>
      <c r="D27" s="9"/>
      <c r="G27" s="6" t="s">
        <v>256</v>
      </c>
      <c r="H27" s="14"/>
      <c r="I27" s="14"/>
      <c r="J27" s="14">
        <v>57.94</v>
      </c>
      <c r="K27" s="14">
        <v>97.73</v>
      </c>
      <c r="L27" s="5"/>
      <c r="M27" s="5"/>
      <c r="N27" s="5"/>
      <c r="O27" s="5"/>
      <c r="P27" s="5"/>
      <c r="Q27" s="5"/>
      <c r="R27" s="14">
        <v>120.92</v>
      </c>
      <c r="S27" s="14">
        <v>35.40</v>
      </c>
    </row>
    <row r="28" spans="2:19" ht="14.5" customHeight="1">
      <c r="B28" s="9"/>
      <c r="C28" s="9"/>
      <c r="D28" s="9"/>
      <c r="E28" s="9"/>
      <c r="G28" s="15" t="s">
        <v>43</v>
      </c>
      <c r="H28" s="16">
        <v>0</v>
      </c>
      <c r="I28" s="16">
        <v>0</v>
      </c>
      <c r="J28" s="16">
        <v>2025.42</v>
      </c>
      <c r="K28" s="16">
        <v>3499.55</v>
      </c>
      <c r="L28" s="16">
        <v>0</v>
      </c>
      <c r="M28" s="16">
        <v>0</v>
      </c>
      <c r="N28" s="16">
        <v>0</v>
      </c>
      <c r="O28" s="16">
        <v>0</v>
      </c>
      <c r="P28" s="16">
        <v>0</v>
      </c>
      <c r="Q28" s="16">
        <f t="shared" ref="Q28:S28" si="11">Q27*$C$14</f>
        <v>0</v>
      </c>
      <c r="R28" s="16">
        <f>R27*$C$14</f>
        <v>4330.00</v>
      </c>
      <c r="S28" s="16">
        <f t="shared" si="11"/>
        <v>1267.53</v>
      </c>
    </row>
    <row r="29" spans="2:19">
      <c r="B29" s="9"/>
      <c r="C29" s="9"/>
      <c r="D29" s="9"/>
      <c r="E29" s="9"/>
      <c r="G29" s="6" t="s">
        <v>286</v>
      </c>
      <c r="H29" s="14"/>
      <c r="I29" s="14"/>
      <c r="J29" s="14">
        <v>28.97</v>
      </c>
      <c r="K29" s="14">
        <v>40.52</v>
      </c>
      <c r="L29" s="5"/>
      <c r="M29" s="5"/>
      <c r="N29" s="14">
        <v>57.94</v>
      </c>
      <c r="O29" s="14"/>
      <c r="P29" s="14"/>
      <c r="Q29" s="14"/>
      <c r="R29" s="14">
        <v>107.16</v>
      </c>
      <c r="S29" s="14">
        <v>57.94</v>
      </c>
    </row>
    <row r="30" spans="2:19">
      <c r="D30" s="23"/>
      <c r="G30" s="15" t="s">
        <v>43</v>
      </c>
      <c r="H30" s="16">
        <v>0</v>
      </c>
      <c r="I30" s="16">
        <v>0</v>
      </c>
      <c r="J30" s="16">
        <v>1012.71</v>
      </c>
      <c r="K30" s="16">
        <v>1451.10</v>
      </c>
      <c r="L30" s="16">
        <v>0</v>
      </c>
      <c r="M30" s="16">
        <v>0</v>
      </c>
      <c r="N30" s="16">
        <v>2074.67</v>
      </c>
      <c r="O30" s="16">
        <v>0</v>
      </c>
      <c r="P30" s="16">
        <v>0</v>
      </c>
      <c r="Q30" s="16">
        <f t="shared" ref="Q30:S30" si="12">Q29*$C$15</f>
        <v>0</v>
      </c>
      <c r="R30" s="16">
        <f>R29*$C$15</f>
        <v>3837.55</v>
      </c>
      <c r="S30" s="16">
        <f t="shared" si="12"/>
        <v>2074.67</v>
      </c>
    </row>
    <row r="31" spans="2:19">
      <c r="D31" s="23"/>
      <c r="G31" s="6" t="s">
        <v>291</v>
      </c>
      <c r="H31" s="16"/>
      <c r="I31" s="14">
        <v>33.20</v>
      </c>
      <c r="J31" s="16"/>
      <c r="K31" s="14">
        <v>52</v>
      </c>
      <c r="L31" s="14"/>
      <c r="M31" s="14">
        <v>80</v>
      </c>
      <c r="N31" s="14">
        <v>83</v>
      </c>
      <c r="O31" s="14"/>
      <c r="P31" s="14">
        <v>80</v>
      </c>
      <c r="Q31" s="14"/>
      <c r="R31" s="14">
        <v>102</v>
      </c>
      <c r="S31" s="14">
        <v>45.81</v>
      </c>
    </row>
    <row r="32" spans="2:19">
      <c r="G32" s="15" t="s">
        <v>43</v>
      </c>
      <c r="H32" s="16">
        <v>0</v>
      </c>
      <c r="I32" s="16">
        <v>3373.68</v>
      </c>
      <c r="J32" s="16">
        <v>0</v>
      </c>
      <c r="K32" s="16">
        <v>4141.11</v>
      </c>
      <c r="L32" s="16">
        <v>0</v>
      </c>
      <c r="M32" s="16">
        <v>6370.95</v>
      </c>
      <c r="N32" s="16">
        <v>6609.86</v>
      </c>
      <c r="O32" s="16">
        <v>0</v>
      </c>
      <c r="P32" s="16">
        <v>6370.95</v>
      </c>
      <c r="Q32" s="16">
        <f>Q31*$C$18</f>
        <v>0</v>
      </c>
      <c r="R32" s="16">
        <f>R31*$C$18</f>
        <v>8122.96</v>
      </c>
      <c r="S32" s="16">
        <f>S31*$C$18</f>
        <v>4483.55</v>
      </c>
    </row>
    <row r="33" spans="1:19">
      <c r="A33" s="9" t="s">
        <v>123</v>
      </c>
      <c r="G33" s="6" t="s">
        <v>292</v>
      </c>
      <c r="H33" s="16"/>
      <c r="I33" s="16"/>
      <c r="J33" s="16"/>
      <c r="K33" s="16"/>
      <c r="L33" s="5"/>
      <c r="M33" s="14"/>
      <c r="N33" s="14">
        <v>129.87</v>
      </c>
      <c r="O33" s="14"/>
      <c r="P33" s="14">
        <v>152</v>
      </c>
      <c r="Q33" s="14"/>
      <c r="R33" s="14">
        <v>134.10</v>
      </c>
      <c r="S33" s="14">
        <v>49.47</v>
      </c>
    </row>
    <row r="34" spans="1:19">
      <c r="G34" s="15" t="s">
        <v>43</v>
      </c>
      <c r="H34" s="16">
        <v>0</v>
      </c>
      <c r="I34" s="16">
        <v>0</v>
      </c>
      <c r="J34" s="16">
        <v>0</v>
      </c>
      <c r="K34" s="16">
        <v>0</v>
      </c>
      <c r="L34" s="16">
        <v>0</v>
      </c>
      <c r="M34" s="16">
        <v>0</v>
      </c>
      <c r="N34" s="16">
        <v>4083.00</v>
      </c>
      <c r="O34" s="16">
        <v>0</v>
      </c>
      <c r="P34" s="16">
        <v>3888.57</v>
      </c>
      <c r="Q34" s="16">
        <f>Q33*$C$19</f>
        <v>0</v>
      </c>
      <c r="R34" s="16">
        <f>R33*$C$19</f>
        <v>4216.03</v>
      </c>
      <c r="S34" s="16">
        <f>S33*$C$19</f>
        <v>1555.43</v>
      </c>
    </row>
    <row r="35" spans="1:19" hidden="1">
      <c r="G35" s="6" t="s">
        <v>335</v>
      </c>
      <c r="H35" s="14">
        <v>63.71</v>
      </c>
      <c r="I35" s="14"/>
      <c r="J35" s="14">
        <v>64</v>
      </c>
      <c r="K35" s="14"/>
      <c r="L35" s="5"/>
      <c r="M35" s="5"/>
      <c r="N35" s="5"/>
      <c r="O35" s="5"/>
      <c r="P35" s="5"/>
      <c r="Q35" s="5"/>
      <c r="R35" s="5"/>
      <c r="S35" s="5"/>
    </row>
    <row r="36" spans="1:19" hidden="1">
      <c r="G36" s="15" t="s">
        <v>43</v>
      </c>
      <c r="H36" s="16">
        <v>1987.20</v>
      </c>
      <c r="I36" s="16">
        <v>0</v>
      </c>
      <c r="J36" s="16">
        <v>1624.28</v>
      </c>
      <c r="K36" s="16">
        <v>0</v>
      </c>
      <c r="L36" s="16">
        <v>0</v>
      </c>
      <c r="M36" s="16">
        <v>0</v>
      </c>
      <c r="N36" s="16">
        <v>0</v>
      </c>
      <c r="O36" s="16">
        <v>0</v>
      </c>
      <c r="P36" s="16">
        <v>0</v>
      </c>
      <c r="Q36" s="16">
        <v>0</v>
      </c>
      <c r="R36" s="16">
        <v>0</v>
      </c>
      <c r="S36" s="16">
        <v>0</v>
      </c>
    </row>
    <row r="37" spans="1:19" hidden="1">
      <c r="G37" s="6" t="s">
        <v>354</v>
      </c>
      <c r="H37" s="6"/>
      <c r="I37" s="6"/>
      <c r="J37" s="6"/>
      <c r="K37" s="6"/>
      <c r="L37" s="5"/>
      <c r="M37" s="5"/>
      <c r="N37" s="5"/>
      <c r="O37" s="5"/>
      <c r="P37" s="5"/>
      <c r="Q37" s="5"/>
      <c r="R37" s="5"/>
      <c r="S37" s="5"/>
    </row>
    <row r="38" spans="1:19" hidden="1">
      <c r="B38" s="168"/>
      <c r="G38" s="15" t="s">
        <v>43</v>
      </c>
      <c r="H38" s="16">
        <v>0</v>
      </c>
      <c r="I38" s="16">
        <v>0</v>
      </c>
      <c r="J38" s="16">
        <v>0</v>
      </c>
      <c r="K38" s="16">
        <v>0</v>
      </c>
      <c r="L38" s="16">
        <v>0</v>
      </c>
      <c r="M38" s="16">
        <v>0</v>
      </c>
      <c r="N38" s="16">
        <v>0</v>
      </c>
      <c r="O38" s="16">
        <v>0</v>
      </c>
      <c r="P38" s="16">
        <v>0</v>
      </c>
      <c r="Q38" s="16">
        <v>0</v>
      </c>
      <c r="R38" s="16">
        <v>0</v>
      </c>
      <c r="S38" s="16">
        <v>0</v>
      </c>
    </row>
    <row r="39" spans="1:19">
      <c r="B39" s="168"/>
      <c r="G39" s="6" t="s">
        <v>394</v>
      </c>
      <c r="H39" s="16"/>
      <c r="I39" s="16"/>
      <c r="J39" s="16"/>
      <c r="K39" s="14">
        <v>57</v>
      </c>
      <c r="L39" s="5"/>
      <c r="M39" s="5"/>
      <c r="N39" s="14">
        <v>23.19</v>
      </c>
      <c r="O39" s="14"/>
      <c r="P39" s="14">
        <v>110.09</v>
      </c>
      <c r="Q39" s="14"/>
      <c r="R39" s="14">
        <v>127.51</v>
      </c>
      <c r="S39" s="14">
        <v>110.01</v>
      </c>
    </row>
    <row r="40" spans="1:19">
      <c r="B40" s="168"/>
      <c r="G40" s="15" t="s">
        <v>43</v>
      </c>
      <c r="H40" s="16">
        <v>0</v>
      </c>
      <c r="I40" s="16">
        <v>0</v>
      </c>
      <c r="J40" s="16">
        <v>0</v>
      </c>
      <c r="K40" s="16">
        <v>1660.90</v>
      </c>
      <c r="L40" s="16">
        <v>0</v>
      </c>
      <c r="M40" s="16">
        <v>0</v>
      </c>
      <c r="N40" s="16">
        <v>830.45</v>
      </c>
      <c r="O40" s="16">
        <v>0</v>
      </c>
      <c r="P40" s="16">
        <v>3942.45</v>
      </c>
      <c r="Q40" s="16">
        <f>Q39*$C$17</f>
        <v>0</v>
      </c>
      <c r="R40" s="16">
        <f>R39*$C$17</f>
        <v>4566.02</v>
      </c>
      <c r="S40" s="16">
        <f>S39*$C$17</f>
        <v>3939.54</v>
      </c>
    </row>
    <row r="41" spans="1:19">
      <c r="B41" s="168"/>
      <c r="G41" s="6" t="s">
        <v>255</v>
      </c>
      <c r="H41" s="16"/>
      <c r="I41" s="16"/>
      <c r="J41" s="14"/>
      <c r="K41" s="14">
        <v>138</v>
      </c>
      <c r="L41" s="14">
        <v>94.80</v>
      </c>
      <c r="M41" s="5"/>
      <c r="N41" s="14"/>
      <c r="O41" s="5"/>
      <c r="P41" s="5"/>
      <c r="Q41" s="5"/>
      <c r="R41" s="14">
        <v>125.23</v>
      </c>
      <c r="S41" s="14">
        <v>83.97</v>
      </c>
    </row>
    <row r="42" spans="1:19">
      <c r="B42" s="168"/>
      <c r="G42" s="15" t="s">
        <v>43</v>
      </c>
      <c r="H42" s="16">
        <v>0</v>
      </c>
      <c r="I42" s="16">
        <v>0</v>
      </c>
      <c r="J42" s="16">
        <v>0</v>
      </c>
      <c r="K42" s="16">
        <v>3372.09</v>
      </c>
      <c r="L42" s="16">
        <v>2846.73</v>
      </c>
      <c r="M42" s="16">
        <v>0</v>
      </c>
      <c r="N42" s="16">
        <v>0</v>
      </c>
      <c r="O42" s="16">
        <v>0</v>
      </c>
      <c r="P42" s="16">
        <v>0</v>
      </c>
      <c r="Q42" s="16">
        <f>Q41*$C$21</f>
        <v>0</v>
      </c>
      <c r="R42" s="16">
        <f>R41*$C$21</f>
        <v>4347.93</v>
      </c>
      <c r="S42" s="16">
        <f>S41*$C$21</f>
        <v>2915.57</v>
      </c>
    </row>
    <row r="43" spans="1:19">
      <c r="B43" s="168"/>
      <c r="G43" s="6" t="s">
        <v>98</v>
      </c>
      <c r="H43" s="14"/>
      <c r="I43" s="14"/>
      <c r="J43" s="14">
        <v>11</v>
      </c>
      <c r="K43" s="16"/>
      <c r="L43" s="5"/>
      <c r="M43" s="5"/>
      <c r="N43" s="14">
        <v>9</v>
      </c>
      <c r="O43" s="14"/>
      <c r="P43" s="14"/>
      <c r="Q43" s="14"/>
      <c r="R43" s="14">
        <v>9</v>
      </c>
      <c r="S43" s="14">
        <v>9</v>
      </c>
    </row>
    <row r="44" spans="1:19">
      <c r="B44" s="168"/>
      <c r="G44" s="15" t="s">
        <v>43</v>
      </c>
      <c r="H44" s="16">
        <v>0</v>
      </c>
      <c r="I44" s="16">
        <v>0</v>
      </c>
      <c r="J44" s="16">
        <v>2098.67</v>
      </c>
      <c r="K44" s="16">
        <v>0</v>
      </c>
      <c r="L44" s="16">
        <v>0</v>
      </c>
      <c r="M44" s="16">
        <v>0</v>
      </c>
      <c r="N44" s="16">
        <v>1704.06</v>
      </c>
      <c r="O44" s="16">
        <v>0</v>
      </c>
      <c r="P44" s="16">
        <v>0</v>
      </c>
      <c r="Q44" s="16">
        <f t="shared" ref="Q44:S44" si="13">Q43*$C$5</f>
        <v>0</v>
      </c>
      <c r="R44" s="16">
        <f>R43*$C$5</f>
        <v>2051.84</v>
      </c>
      <c r="S44" s="16">
        <f t="shared" si="13"/>
        <v>2051.84</v>
      </c>
    </row>
    <row r="45" spans="1:19">
      <c r="B45" s="168"/>
      <c r="G45" s="6" t="s">
        <v>412</v>
      </c>
      <c r="H45" s="16"/>
      <c r="I45" s="16"/>
      <c r="J45" s="14">
        <v>57.94</v>
      </c>
      <c r="K45" s="14"/>
      <c r="L45" s="5"/>
      <c r="M45" s="5"/>
      <c r="N45" s="14">
        <v>31.90</v>
      </c>
      <c r="O45" s="5"/>
      <c r="P45" s="5"/>
      <c r="Q45" s="5"/>
      <c r="R45" s="14">
        <v>33.28</v>
      </c>
      <c r="S45" s="14">
        <v>23.19</v>
      </c>
    </row>
    <row r="46" spans="1:19">
      <c r="B46" s="168"/>
      <c r="G46" s="15" t="s">
        <v>43</v>
      </c>
      <c r="H46" s="16">
        <v>0</v>
      </c>
      <c r="I46" s="16">
        <v>0</v>
      </c>
      <c r="J46" s="16">
        <v>1740.38</v>
      </c>
      <c r="K46" s="16">
        <v>0</v>
      </c>
      <c r="L46" s="16">
        <v>0</v>
      </c>
      <c r="M46" s="16">
        <v>0</v>
      </c>
      <c r="N46" s="16">
        <v>1034.10</v>
      </c>
      <c r="O46" s="16">
        <v>0</v>
      </c>
      <c r="P46" s="16">
        <v>0</v>
      </c>
      <c r="Q46" s="16">
        <f>Q45*$C$22</f>
        <v>0</v>
      </c>
      <c r="R46" s="16">
        <f>R45*$C$22</f>
        <v>1155.49</v>
      </c>
      <c r="S46" s="16">
        <f>S45*$C$22</f>
        <v>805.17</v>
      </c>
    </row>
    <row r="47" spans="1:19" ht="19" customHeight="1">
      <c r="B47" s="168"/>
      <c r="G47" s="27" t="s">
        <v>30</v>
      </c>
      <c r="H47" s="28">
        <v>3954.10</v>
      </c>
      <c r="I47" s="28">
        <v>9962.96</v>
      </c>
      <c r="J47" s="28">
        <v>20959.44</v>
      </c>
      <c r="K47" s="28">
        <v>36859.71</v>
      </c>
      <c r="L47" s="235">
        <v>18594.05</v>
      </c>
      <c r="M47" s="235">
        <v>27012.80</v>
      </c>
      <c r="N47" s="235">
        <v>33451.66</v>
      </c>
      <c r="O47" s="235">
        <f>SUM(O4,O10,O14,O16,O18,O22,O24,O26,O28,O30,O32,O34,O36,O38,O40,O42,O44,O6,O8,O12,O20,O46)</f>
        <v>35803</v>
      </c>
      <c r="P47" s="235">
        <f t="shared" ref="P47:S47" si="14">SUM(P4,P10,P14,P16,P18,P22,P24,P26,P28,P30,P32,P34,P36,P38,P40,P42,P44,P6,P8,P12,P20,P46)</f>
        <v>49219.87</v>
      </c>
      <c r="Q47" s="235">
        <f t="shared" si="14"/>
        <v>18119.44</v>
      </c>
      <c r="R47" s="235">
        <f t="shared" si="14"/>
        <v>85302.71</v>
      </c>
      <c r="S47" s="235">
        <f t="shared" si="14"/>
        <v>41617.10</v>
      </c>
    </row>
    <row r="48" spans="1:19">
      <c r="B48" s="168"/>
      <c r="G48" s="27" t="s">
        <v>44</v>
      </c>
      <c r="H48" s="28">
        <v>0</v>
      </c>
      <c r="I48" s="28">
        <v>0</v>
      </c>
      <c r="J48" s="28">
        <v>0</v>
      </c>
      <c r="K48" s="28">
        <v>0</v>
      </c>
      <c r="L48" s="235">
        <v>0</v>
      </c>
      <c r="M48" s="235">
        <v>0</v>
      </c>
      <c r="N48" s="235">
        <v>0</v>
      </c>
      <c r="O48" s="235">
        <v>0</v>
      </c>
      <c r="P48" s="235">
        <v>0</v>
      </c>
      <c r="Q48" s="235">
        <v>0</v>
      </c>
      <c r="R48" s="235">
        <v>0</v>
      </c>
      <c r="S48" s="235">
        <v>0</v>
      </c>
    </row>
    <row r="49" spans="2:19">
      <c r="B49" s="168"/>
    </row>
    <row r="50" spans="2:19">
      <c r="B50" s="168"/>
      <c r="G50" s="27" t="s">
        <v>79</v>
      </c>
      <c r="H50" s="28">
        <v>3954.10</v>
      </c>
      <c r="I50" s="28">
        <v>9962.96</v>
      </c>
      <c r="J50" s="28">
        <v>20959.44</v>
      </c>
      <c r="K50" s="28">
        <v>36859.71</v>
      </c>
      <c r="L50" s="235">
        <v>18594.05</v>
      </c>
      <c r="M50" s="235">
        <v>27012.80</v>
      </c>
      <c r="N50" s="235">
        <f t="shared" ref="N50:S50" si="15">SUM(N47:N48)</f>
        <v>33451.66</v>
      </c>
      <c r="O50" s="235">
        <f t="shared" si="15"/>
        <v>35803</v>
      </c>
      <c r="P50" s="235">
        <f t="shared" si="15"/>
        <v>49219.87</v>
      </c>
      <c r="Q50" s="235">
        <f t="shared" si="15"/>
        <v>18119.44</v>
      </c>
      <c r="R50" s="235">
        <f t="shared" si="15"/>
        <v>85302.71</v>
      </c>
      <c r="S50" s="235">
        <f t="shared" si="15"/>
        <v>41617.10</v>
      </c>
    </row>
    <row r="51" spans="2:19">
      <c r="B51" s="168"/>
    </row>
    <row r="54" spans="2:19">
      <c r="G54" s="18"/>
    </row>
    <row r="55" spans="2:19">
      <c r="G55" s="18"/>
    </row>
    <row r="57" spans="2:19">
      <c r="G57" s="17"/>
    </row>
    <row r="58" spans="2:19">
      <c r="G58" s="19"/>
    </row>
    <row r="60" spans="2:19">
      <c r="G60" s="17"/>
    </row>
    <row r="64" spans="2:19">
      <c r="G64" s="17"/>
    </row>
  </sheetData>
  <conditionalFormatting sqref="B2">
    <cfRule type="duplicateValues" dxfId="43" priority="6"/>
  </conditionalFormatting>
  <conditionalFormatting sqref="B3:B7">
    <cfRule type="duplicateValues" dxfId="42" priority="9"/>
  </conditionalFormatting>
  <conditionalFormatting sqref="B8">
    <cfRule type="duplicateValues" dxfId="41" priority="5"/>
  </conditionalFormatting>
  <conditionalFormatting sqref="B9:B10">
    <cfRule type="duplicateValues" dxfId="40" priority="10"/>
  </conditionalFormatting>
  <conditionalFormatting sqref="B11">
    <cfRule type="duplicateValues" dxfId="39" priority="4"/>
  </conditionalFormatting>
  <conditionalFormatting sqref="B12:B13">
    <cfRule type="duplicateValues" dxfId="38" priority="8"/>
  </conditionalFormatting>
  <conditionalFormatting sqref="B14:B15">
    <cfRule type="duplicateValues" dxfId="37" priority="7"/>
  </conditionalFormatting>
  <conditionalFormatting sqref="B16">
    <cfRule type="duplicateValues" dxfId="36" priority="3"/>
  </conditionalFormatting>
  <conditionalFormatting sqref="B17">
    <cfRule type="duplicateValues" dxfId="35" priority="2"/>
  </conditionalFormatting>
  <conditionalFormatting sqref="B18:B19">
    <cfRule type="duplicateValues" dxfId="34" priority="11"/>
  </conditionalFormatting>
  <conditionalFormatting sqref="B20:B25">
    <cfRule type="duplicateValues" dxfId="33" priority="1"/>
  </conditionalFormatting>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B8A00-4748-4475-A178-E308FCE76F17}">
  <sheetPr codeName="Sheet5">
    <tabColor theme="9"/>
  </sheetPr>
  <dimension ref="A1:U68"/>
  <sheetViews>
    <sheetView showGridLines="0" zoomScale="59" zoomScaleNormal="57" workbookViewId="0">
      <pane ySplit="2" topLeftCell="A3" activePane="bottomLeft" state="frozen"/>
      <selection pane="bottomLeft" activeCell="R51" sqref="R51"/>
    </sheetView>
  </sheetViews>
  <sheetFormatPr defaultColWidth="12.54296875" defaultRowHeight="14.5"/>
  <cols>
    <col min="1" max="1" width="4.26953125" style="9" bestFit="1" customWidth="1"/>
    <col min="2" max="2" width="19" bestFit="1" customWidth="1"/>
    <col min="3" max="3" width="7.7265625" bestFit="1" customWidth="1"/>
    <col min="4" max="4" width="11.54296875" bestFit="1" customWidth="1"/>
    <col min="5" max="5" width="10" bestFit="1" customWidth="1"/>
    <col min="6" max="6" width="3.453125" style="9" customWidth="1"/>
    <col min="7" max="7" width="29.54296875" style="9" customWidth="1"/>
    <col min="8" max="11" width="11.453125" style="9" customWidth="1"/>
    <col min="12" max="16384" width="12.54296875" style="9"/>
  </cols>
  <sheetData>
    <row r="1" spans="1:21" ht="15" thickBot="1">
      <c r="A1" s="257" t="s">
        <v>20</v>
      </c>
      <c r="B1" s="256" t="s">
        <v>41</v>
      </c>
      <c r="C1" s="25" t="s">
        <v>99</v>
      </c>
      <c r="D1" s="25" t="s">
        <v>42</v>
      </c>
      <c r="E1" s="31" t="s">
        <v>102</v>
      </c>
    </row>
    <row r="2" spans="1:21" ht="15" customHeight="1">
      <c r="B2" s="22" t="s">
        <v>68</v>
      </c>
      <c r="C2" s="3">
        <f>VLOOKUP(B2,'FCST 8871789615 35%'!B2:C22,2,FALSE)</f>
        <v>88.64</v>
      </c>
      <c r="D2" s="13">
        <v>594.46</v>
      </c>
      <c r="E2" s="13">
        <v>49.87</v>
      </c>
      <c r="H2" s="26">
        <v>45901</v>
      </c>
      <c r="I2" s="26">
        <v>45931</v>
      </c>
      <c r="J2" s="26">
        <v>45962</v>
      </c>
      <c r="K2" s="26">
        <v>45992</v>
      </c>
      <c r="L2" s="26">
        <v>46023</v>
      </c>
      <c r="M2" s="26">
        <v>46054</v>
      </c>
      <c r="N2" s="26">
        <v>46082</v>
      </c>
      <c r="O2" s="26">
        <v>46113</v>
      </c>
      <c r="P2" s="26">
        <v>46143</v>
      </c>
      <c r="Q2" s="26">
        <v>46174</v>
      </c>
      <c r="R2" s="26">
        <v>46204</v>
      </c>
      <c r="S2" s="26">
        <v>46235</v>
      </c>
    </row>
    <row r="3" spans="1:21">
      <c r="B3" s="22" t="s">
        <v>69</v>
      </c>
      <c r="C3" s="3">
        <f>VLOOKUP(B3,'FCST 8871789615 35%'!B3:C23,2,FALSE)</f>
        <v>34.61</v>
      </c>
      <c r="D3" s="13">
        <v>294.69</v>
      </c>
      <c r="E3" s="13"/>
      <c r="G3" s="6" t="s">
        <v>68</v>
      </c>
      <c r="H3" s="14"/>
      <c r="I3" s="14"/>
      <c r="J3" s="14"/>
      <c r="K3" s="238"/>
      <c r="L3" s="14">
        <v>94.80</v>
      </c>
      <c r="M3" s="5"/>
      <c r="N3" s="5"/>
      <c r="O3" s="5"/>
      <c r="P3" s="14"/>
      <c r="Q3" s="14"/>
      <c r="R3" s="14"/>
      <c r="S3" s="14"/>
    </row>
    <row r="4" spans="1:21" ht="15" customHeight="1">
      <c r="B4" s="22" t="s">
        <v>70</v>
      </c>
      <c r="C4" s="3">
        <f>VLOOKUP(B4,'FCST 8871789615 35%'!B4:C24,2,FALSE)</f>
        <v>29.14</v>
      </c>
      <c r="D4" s="13">
        <v>203.03</v>
      </c>
      <c r="E4" s="13"/>
      <c r="G4" s="15" t="s">
        <v>43</v>
      </c>
      <c r="H4" s="16">
        <v>0</v>
      </c>
      <c r="I4" s="16">
        <v>0</v>
      </c>
      <c r="J4" s="16">
        <v>0</v>
      </c>
      <c r="K4" s="239">
        <v>0</v>
      </c>
      <c r="L4" s="16">
        <v>9715.65</v>
      </c>
      <c r="M4" s="16">
        <v>0</v>
      </c>
      <c r="N4" s="16">
        <v>0</v>
      </c>
      <c r="O4" s="16">
        <v>0</v>
      </c>
      <c r="P4" s="16">
        <v>0</v>
      </c>
      <c r="Q4" s="16">
        <f t="shared" ref="Q4:S4" si="0">Q3*$C$2</f>
        <v>0</v>
      </c>
      <c r="R4" s="16">
        <f t="shared" si="0"/>
        <v>0</v>
      </c>
      <c r="S4" s="16">
        <f t="shared" si="0"/>
        <v>0</v>
      </c>
    </row>
    <row r="5" spans="1:21">
      <c r="B5" s="22" t="s">
        <v>98</v>
      </c>
      <c r="C5" s="3">
        <f>VLOOKUP(B5,'FCST 8871789615 35%'!B5:C25,2,FALSE)</f>
        <v>227.98</v>
      </c>
      <c r="D5" s="13">
        <v>1512.05</v>
      </c>
      <c r="E5" s="13">
        <v>126.85</v>
      </c>
      <c r="G5" s="6" t="s">
        <v>69</v>
      </c>
      <c r="H5" s="14">
        <v>120.75</v>
      </c>
      <c r="I5" s="14">
        <v>64.45</v>
      </c>
      <c r="J5" s="14">
        <v>70.30</v>
      </c>
      <c r="K5" s="238"/>
      <c r="L5" s="5"/>
      <c r="M5" s="5"/>
      <c r="N5" s="5"/>
      <c r="O5" s="14">
        <v>122.30</v>
      </c>
      <c r="P5" s="14"/>
      <c r="Q5" s="14">
        <v>72</v>
      </c>
      <c r="R5" s="14"/>
      <c r="S5" s="14"/>
    </row>
    <row r="6" spans="1:21">
      <c r="B6" s="22" t="s">
        <v>71</v>
      </c>
      <c r="C6" s="3">
        <f>VLOOKUP(B6,'FCST 8871789615 35%'!B6:C26,2,FALSE)</f>
        <v>91.35</v>
      </c>
      <c r="D6" s="13">
        <v>736</v>
      </c>
      <c r="E6" s="13">
        <v>61.71</v>
      </c>
      <c r="G6" s="15" t="s">
        <v>43</v>
      </c>
      <c r="H6" s="16">
        <v>5099.40</v>
      </c>
      <c r="I6" s="16">
        <v>2721.51</v>
      </c>
      <c r="J6" s="16">
        <v>2968.92</v>
      </c>
      <c r="K6" s="239">
        <v>0</v>
      </c>
      <c r="L6" s="16">
        <v>0</v>
      </c>
      <c r="M6" s="16">
        <v>0</v>
      </c>
      <c r="N6" s="16">
        <v>0</v>
      </c>
      <c r="O6" s="16">
        <v>5201.38</v>
      </c>
      <c r="P6" s="16">
        <v>0</v>
      </c>
      <c r="Q6" s="16">
        <f t="shared" ref="Q6:S6" si="1">Q5*$C$3</f>
        <v>2491.68</v>
      </c>
      <c r="R6" s="16">
        <f t="shared" si="1"/>
        <v>0</v>
      </c>
      <c r="S6" s="16">
        <f t="shared" si="1"/>
        <v>0</v>
      </c>
    </row>
    <row r="7" spans="1:21">
      <c r="B7" s="22" t="s">
        <v>282</v>
      </c>
      <c r="C7" s="3">
        <f>VLOOKUP(B7,'FCST 8871789615 35%'!B7:C27,2,FALSE)</f>
        <v>40.49</v>
      </c>
      <c r="D7" s="13">
        <f>C7*8</f>
        <v>323.92</v>
      </c>
      <c r="E7" s="13"/>
      <c r="G7" s="6" t="s">
        <v>70</v>
      </c>
      <c r="H7" s="14">
        <v>127.43</v>
      </c>
      <c r="I7" s="14">
        <v>34.74</v>
      </c>
      <c r="J7" s="14">
        <v>57.94</v>
      </c>
      <c r="K7" s="14">
        <v>92.68</v>
      </c>
      <c r="L7" s="14"/>
      <c r="M7" s="14">
        <v>92.44</v>
      </c>
      <c r="N7" s="14"/>
      <c r="O7" s="14"/>
      <c r="P7" s="14"/>
      <c r="Q7" s="14"/>
      <c r="R7" s="14"/>
      <c r="S7" s="14"/>
    </row>
    <row r="8" spans="1:21">
      <c r="B8" s="22" t="s">
        <v>109</v>
      </c>
      <c r="C8" s="3">
        <f>VLOOKUP(B8,'FCST 8871789615 35%'!B8:C28,2,FALSE)</f>
        <v>43.50</v>
      </c>
      <c r="D8" s="13">
        <f t="shared" ref="D8:D22" si="2">C8*8</f>
        <v>348.00</v>
      </c>
      <c r="E8" s="33"/>
      <c r="G8" s="15" t="s">
        <v>43</v>
      </c>
      <c r="H8" s="75">
        <v>3974.40</v>
      </c>
      <c r="I8" s="75">
        <v>1083.70</v>
      </c>
      <c r="J8" s="75">
        <v>1807.01</v>
      </c>
      <c r="K8" s="240">
        <v>3318.89</v>
      </c>
      <c r="L8" s="16">
        <v>0</v>
      </c>
      <c r="M8" s="16">
        <v>3310.14</v>
      </c>
      <c r="N8" s="16">
        <v>0</v>
      </c>
      <c r="O8" s="16">
        <v>0</v>
      </c>
      <c r="P8" s="16">
        <v>0</v>
      </c>
      <c r="Q8" s="16">
        <f t="shared" ref="Q8:S8" si="3">Q7*$C$4</f>
        <v>0</v>
      </c>
      <c r="R8" s="16">
        <f t="shared" si="3"/>
        <v>0</v>
      </c>
      <c r="S8" s="75">
        <f t="shared" si="3"/>
        <v>0</v>
      </c>
      <c r="U8" s="17"/>
    </row>
    <row r="9" spans="1:21">
      <c r="B9" s="22" t="s">
        <v>142</v>
      </c>
      <c r="C9" s="3">
        <f>VLOOKUP(B9,'FCST 8871789615 35%'!B9:C29,2,FALSE)</f>
        <v>33.35</v>
      </c>
      <c r="D9" s="13">
        <f t="shared" si="2"/>
        <v>266.76</v>
      </c>
      <c r="E9" s="33">
        <v>16.96</v>
      </c>
      <c r="G9" s="6" t="s">
        <v>109</v>
      </c>
      <c r="H9" s="14">
        <v>59.81</v>
      </c>
      <c r="I9" s="14">
        <v>65.50</v>
      </c>
      <c r="J9" s="14"/>
      <c r="K9" s="238">
        <v>44.83</v>
      </c>
      <c r="L9" s="5"/>
      <c r="M9" s="238">
        <v>70</v>
      </c>
      <c r="N9" s="238"/>
      <c r="O9" s="238"/>
      <c r="P9" s="238">
        <v>54</v>
      </c>
      <c r="Q9" s="238">
        <v>31.33</v>
      </c>
      <c r="R9" s="238"/>
      <c r="S9" s="6"/>
    </row>
    <row r="10" spans="1:21">
      <c r="B10" s="22" t="s">
        <v>143</v>
      </c>
      <c r="C10" s="3">
        <f>VLOOKUP(B10,'FCST 8871789615 35%'!B10:C30,2,FALSE)</f>
        <v>33.35</v>
      </c>
      <c r="D10" s="13">
        <f t="shared" si="2"/>
        <v>266.76</v>
      </c>
      <c r="E10" s="33">
        <v>16.96</v>
      </c>
      <c r="G10" s="15" t="s">
        <v>43</v>
      </c>
      <c r="H10" s="16">
        <v>2759.49</v>
      </c>
      <c r="I10" s="16">
        <v>3022.30</v>
      </c>
      <c r="J10" s="16">
        <v>0</v>
      </c>
      <c r="K10" s="239">
        <v>2244.43</v>
      </c>
      <c r="L10" s="16">
        <v>0</v>
      </c>
      <c r="M10" s="16">
        <v>2851.37</v>
      </c>
      <c r="N10" s="16">
        <v>0</v>
      </c>
      <c r="O10" s="16">
        <v>0</v>
      </c>
      <c r="P10" s="16">
        <v>2199.63</v>
      </c>
      <c r="Q10" s="16">
        <f t="shared" ref="Q10:S10" si="4">$C$8*Q9</f>
        <v>1674.77</v>
      </c>
      <c r="R10" s="16">
        <f t="shared" si="4"/>
        <v>0</v>
      </c>
      <c r="S10" s="306">
        <f t="shared" si="4"/>
        <v>0</v>
      </c>
    </row>
    <row r="11" spans="1:21">
      <c r="B11" s="22" t="s">
        <v>177</v>
      </c>
      <c r="C11" s="3">
        <f>VLOOKUP(B11,'FCST 8871789615 35%'!B11:C31,2,FALSE)</f>
        <v>33.35</v>
      </c>
      <c r="D11" s="13">
        <f t="shared" si="2"/>
        <v>266.76</v>
      </c>
      <c r="E11" s="33">
        <v>22.10</v>
      </c>
      <c r="G11" s="6" t="s">
        <v>411</v>
      </c>
      <c r="H11" s="14">
        <v>78.03</v>
      </c>
      <c r="I11" s="14">
        <v>39.55</v>
      </c>
      <c r="J11" s="14">
        <v>31.00</v>
      </c>
      <c r="K11" s="14">
        <v>40.85</v>
      </c>
      <c r="L11" s="14">
        <v>51.83</v>
      </c>
      <c r="M11" s="14">
        <v>59.07</v>
      </c>
      <c r="N11" s="14"/>
      <c r="O11" s="14"/>
      <c r="P11" s="14">
        <v>59.07</v>
      </c>
      <c r="Q11" s="14">
        <v>48.17</v>
      </c>
      <c r="R11" s="14"/>
      <c r="S11" s="14"/>
    </row>
    <row r="12" spans="1:21">
      <c r="B12" s="22" t="s">
        <v>265</v>
      </c>
      <c r="C12" s="3">
        <f>VLOOKUP(B12,'FCST 8871789615 35%'!B12:C32,2,FALSE)</f>
        <v>26.48</v>
      </c>
      <c r="D12" s="13">
        <f t="shared" si="2"/>
        <v>211.82</v>
      </c>
      <c r="E12" s="33"/>
      <c r="G12" s="15" t="s">
        <v>43</v>
      </c>
      <c r="H12" s="75">
        <v>8760.08</v>
      </c>
      <c r="I12" s="75">
        <v>4439.41</v>
      </c>
      <c r="J12" s="75">
        <v>3480.28</v>
      </c>
      <c r="K12" s="240">
        <v>4585.57</v>
      </c>
      <c r="L12" s="16">
        <v>5818.74</v>
      </c>
      <c r="M12" s="16">
        <v>6631.72</v>
      </c>
      <c r="N12" s="16">
        <v>0</v>
      </c>
      <c r="O12" s="16">
        <v>0</v>
      </c>
      <c r="P12" s="16">
        <v>6631.72</v>
      </c>
      <c r="Q12" s="16">
        <f t="shared" ref="Q12:S12" si="5">Q11*$C$6</f>
        <v>5407.68</v>
      </c>
      <c r="R12" s="16">
        <f t="shared" si="5"/>
        <v>0</v>
      </c>
      <c r="S12" s="16">
        <f t="shared" si="5"/>
        <v>0</v>
      </c>
    </row>
    <row r="13" spans="1:21">
      <c r="B13" s="22" t="s">
        <v>266</v>
      </c>
      <c r="C13" s="3">
        <f>VLOOKUP(B13,'FCST 8871789615 35%'!B13:C33,2,FALSE)</f>
        <v>79.64</v>
      </c>
      <c r="D13" s="13">
        <f t="shared" si="2"/>
        <v>637.09</v>
      </c>
      <c r="E13" s="33"/>
      <c r="G13" s="6" t="s">
        <v>142</v>
      </c>
      <c r="H13" s="6">
        <v>61.52</v>
      </c>
      <c r="I13" s="6">
        <v>65.50</v>
      </c>
      <c r="J13" s="14"/>
      <c r="K13" s="238">
        <v>44.18</v>
      </c>
      <c r="L13" s="5"/>
      <c r="M13" s="238">
        <v>27.83</v>
      </c>
      <c r="N13" s="5"/>
      <c r="O13" s="238">
        <v>53.87</v>
      </c>
      <c r="P13" s="238">
        <v>55.01</v>
      </c>
      <c r="Q13" s="238">
        <v>26.12</v>
      </c>
      <c r="R13" s="238"/>
      <c r="S13" s="6">
        <v>17.33</v>
      </c>
    </row>
    <row r="14" spans="1:21">
      <c r="B14" s="22" t="s">
        <v>256</v>
      </c>
      <c r="C14" s="3">
        <f>VLOOKUP(B14,'FCST 8871789615 35%'!B14:C34,2,FALSE)</f>
        <v>29.14</v>
      </c>
      <c r="D14" s="13">
        <f t="shared" si="2"/>
        <v>233.11</v>
      </c>
      <c r="E14" s="33"/>
      <c r="G14" s="15" t="s">
        <v>43</v>
      </c>
      <c r="H14" s="16">
        <v>1994.34</v>
      </c>
      <c r="I14" s="16">
        <v>2123.60</v>
      </c>
      <c r="J14" s="16">
        <v>0</v>
      </c>
      <c r="K14" s="239">
        <v>1810.66</v>
      </c>
      <c r="L14" s="16">
        <v>0</v>
      </c>
      <c r="M14" s="16">
        <v>1140.41</v>
      </c>
      <c r="N14" s="16">
        <v>0</v>
      </c>
      <c r="O14" s="16">
        <v>2207.47</v>
      </c>
      <c r="P14" s="16">
        <v>2254.15</v>
      </c>
      <c r="Q14" s="16">
        <f t="shared" ref="Q14:S14" si="6">Q13*$C$9</f>
        <v>1070.39</v>
      </c>
      <c r="R14" s="16">
        <f t="shared" si="6"/>
        <v>0</v>
      </c>
      <c r="S14" s="16">
        <f t="shared" si="6"/>
        <v>710.26</v>
      </c>
    </row>
    <row r="15" spans="1:21">
      <c r="B15" s="22" t="s">
        <v>286</v>
      </c>
      <c r="C15" s="3">
        <f>VLOOKUP(B15,'FCST 8871789615 35%'!B15:C35,2,FALSE)</f>
        <v>29.14</v>
      </c>
      <c r="D15" s="13">
        <f t="shared" si="2"/>
        <v>233.11</v>
      </c>
      <c r="E15" s="33"/>
      <c r="G15" s="6" t="s">
        <v>143</v>
      </c>
      <c r="H15" s="6">
        <v>53.62</v>
      </c>
      <c r="I15" s="6">
        <v>19.12</v>
      </c>
      <c r="J15" s="14"/>
      <c r="K15" s="238"/>
      <c r="L15" s="14">
        <v>28.40</v>
      </c>
      <c r="M15" s="14">
        <v>29.46</v>
      </c>
      <c r="N15" s="14"/>
      <c r="O15" s="14">
        <v>29</v>
      </c>
      <c r="P15" s="14">
        <v>52.65</v>
      </c>
      <c r="Q15" s="14">
        <v>28.97</v>
      </c>
      <c r="R15" s="14"/>
      <c r="S15" s="14">
        <v>17.33</v>
      </c>
    </row>
    <row r="16" spans="1:21">
      <c r="B16" s="22" t="s">
        <v>335</v>
      </c>
      <c r="C16" s="3" t="e">
        <f>VLOOKUP(B16,'FCST 8871789615 35%'!B16:C36,2,FALSE)</f>
        <v>#N/A</v>
      </c>
      <c r="D16" s="13" t="e">
        <f t="shared" si="2"/>
        <v>#N/A</v>
      </c>
      <c r="E16" s="5"/>
      <c r="G16" s="15" t="s">
        <v>43</v>
      </c>
      <c r="H16" s="16">
        <v>1738.45</v>
      </c>
      <c r="I16" s="16">
        <v>619.93</v>
      </c>
      <c r="J16" s="16">
        <v>0</v>
      </c>
      <c r="K16" s="239">
        <v>0</v>
      </c>
      <c r="L16" s="16">
        <v>985.98</v>
      </c>
      <c r="M16" s="16">
        <v>1022.71</v>
      </c>
      <c r="N16" s="16">
        <v>0</v>
      </c>
      <c r="O16" s="16">
        <v>819.30</v>
      </c>
      <c r="P16" s="16">
        <v>1827.88</v>
      </c>
      <c r="Q16" s="16">
        <f t="shared" ref="Q16:S16" si="7">Q15*$C$10</f>
        <v>1187.10</v>
      </c>
      <c r="R16" s="16">
        <f t="shared" si="7"/>
        <v>0</v>
      </c>
      <c r="S16" s="16">
        <f t="shared" si="7"/>
        <v>710.26</v>
      </c>
    </row>
    <row r="17" spans="2:19">
      <c r="B17" s="22" t="s">
        <v>394</v>
      </c>
      <c r="C17" s="3">
        <f>VLOOKUP(B17,'FCST 8871789615 35%'!B17:C37,2,FALSE)</f>
        <v>29.14</v>
      </c>
      <c r="D17" s="13">
        <f t="shared" si="2"/>
        <v>233.11</v>
      </c>
      <c r="E17" s="5"/>
      <c r="G17" s="6" t="s">
        <v>177</v>
      </c>
      <c r="H17" s="14">
        <v>59.89</v>
      </c>
      <c r="I17" s="14">
        <v>117.25</v>
      </c>
      <c r="J17" s="14">
        <v>129</v>
      </c>
      <c r="K17" s="14"/>
      <c r="L17" s="14">
        <v>87.55</v>
      </c>
      <c r="M17" s="14">
        <v>101.31</v>
      </c>
      <c r="N17" s="14"/>
      <c r="O17" s="14">
        <v>20.59</v>
      </c>
      <c r="P17" s="14">
        <v>40.93</v>
      </c>
      <c r="Q17" s="14">
        <v>32</v>
      </c>
      <c r="R17" s="14"/>
      <c r="S17" s="14"/>
    </row>
    <row r="18" spans="2:19">
      <c r="B18" s="22" t="s">
        <v>291</v>
      </c>
      <c r="C18" s="3">
        <f>VLOOKUP(B18,'FCST 8871789615 35%'!B18:C38,2,FALSE)</f>
        <v>79.64</v>
      </c>
      <c r="D18" s="13">
        <f t="shared" si="2"/>
        <v>637.09</v>
      </c>
      <c r="E18" s="5"/>
      <c r="G18" s="15" t="s">
        <v>43</v>
      </c>
      <c r="H18" s="16">
        <v>2454.22</v>
      </c>
      <c r="I18" s="16">
        <v>4805.08</v>
      </c>
      <c r="J18" s="16">
        <v>4301.56</v>
      </c>
      <c r="K18" s="239">
        <v>0</v>
      </c>
      <c r="L18" s="16">
        <v>3587.97</v>
      </c>
      <c r="M18" s="16">
        <v>4151.51</v>
      </c>
      <c r="N18" s="16">
        <v>0</v>
      </c>
      <c r="O18" s="16">
        <v>843.64</v>
      </c>
      <c r="P18" s="16">
        <v>1677.27</v>
      </c>
      <c r="Q18" s="16">
        <f t="shared" ref="Q18:S18" si="8">Q17*$C$11</f>
        <v>1067.05</v>
      </c>
      <c r="R18" s="16">
        <f t="shared" si="8"/>
        <v>0</v>
      </c>
      <c r="S18" s="16">
        <f t="shared" si="8"/>
        <v>0</v>
      </c>
    </row>
    <row r="19" spans="2:19">
      <c r="B19" s="22" t="s">
        <v>292</v>
      </c>
      <c r="C19" s="3">
        <f>VLOOKUP(B19,'FCST 8871789615 35%'!B19:C39,2,FALSE)</f>
        <v>25.58</v>
      </c>
      <c r="D19" s="13">
        <f t="shared" si="2"/>
        <v>204.66</v>
      </c>
      <c r="E19" s="5"/>
      <c r="G19" s="6" t="s">
        <v>282</v>
      </c>
      <c r="H19" s="14">
        <v>81.78</v>
      </c>
      <c r="I19" s="14">
        <v>123.11</v>
      </c>
      <c r="J19" s="14">
        <v>70</v>
      </c>
      <c r="K19" s="14">
        <v>78.28</v>
      </c>
      <c r="L19" s="14"/>
      <c r="M19" s="14"/>
      <c r="N19" s="14"/>
      <c r="O19" s="14"/>
      <c r="P19" s="14"/>
      <c r="Q19" s="14"/>
      <c r="R19" s="14"/>
      <c r="S19" s="14"/>
    </row>
    <row r="20" spans="2:19">
      <c r="B20" s="22" t="s">
        <v>354</v>
      </c>
      <c r="C20" s="3" t="e">
        <f>VLOOKUP(B20,'FCST 8871789615 35%'!B20:C40,2,FALSE)</f>
        <v>#N/A</v>
      </c>
      <c r="D20" s="13" t="e">
        <f t="shared" si="2"/>
        <v>#N/A</v>
      </c>
      <c r="E20" s="5"/>
      <c r="G20" s="15" t="s">
        <v>43</v>
      </c>
      <c r="H20" s="75">
        <v>3702.86</v>
      </c>
      <c r="I20" s="75">
        <v>5574.55</v>
      </c>
      <c r="J20" s="75">
        <v>2579.10</v>
      </c>
      <c r="K20" s="240">
        <v>3895.11</v>
      </c>
      <c r="L20" s="16">
        <v>0</v>
      </c>
      <c r="M20" s="16">
        <v>0</v>
      </c>
      <c r="N20" s="16">
        <v>0</v>
      </c>
      <c r="O20" s="16">
        <v>0</v>
      </c>
      <c r="P20" s="16">
        <v>0</v>
      </c>
      <c r="Q20" s="16">
        <f t="shared" ref="Q20:S20" si="9">Q19*$C$7</f>
        <v>0</v>
      </c>
      <c r="R20" s="16">
        <f t="shared" si="9"/>
        <v>0</v>
      </c>
      <c r="S20" s="16">
        <f t="shared" si="9"/>
        <v>0</v>
      </c>
    </row>
    <row r="21" spans="2:19">
      <c r="B21" s="22" t="s">
        <v>255</v>
      </c>
      <c r="C21" s="3">
        <f>VLOOKUP(B21,'FCST 8871789615 35%'!B21:C41,2,FALSE)</f>
        <v>28.25</v>
      </c>
      <c r="D21" s="13">
        <f t="shared" si="2"/>
        <v>226.01</v>
      </c>
      <c r="E21" s="5"/>
      <c r="G21" s="6" t="s">
        <v>537</v>
      </c>
      <c r="H21" s="14"/>
      <c r="I21" s="14"/>
      <c r="J21" s="14"/>
      <c r="K21" s="238"/>
      <c r="L21" s="5"/>
      <c r="M21" s="5"/>
      <c r="N21" s="5"/>
      <c r="O21" s="5"/>
      <c r="P21" s="5"/>
      <c r="Q21" s="5"/>
      <c r="R21" s="5"/>
      <c r="S21" s="5"/>
    </row>
    <row r="22" spans="2:19">
      <c r="B22" s="22" t="s">
        <v>412</v>
      </c>
      <c r="C22" s="3">
        <f>VLOOKUP(B22,'FCST 8871789615 35%'!B22:C42,2,FALSE)</f>
        <v>28.25</v>
      </c>
      <c r="D22" s="13">
        <f t="shared" si="2"/>
        <v>226.01</v>
      </c>
      <c r="E22" s="5"/>
      <c r="G22" s="15" t="s">
        <v>43</v>
      </c>
      <c r="H22" s="16">
        <v>3748.33</v>
      </c>
      <c r="I22" s="16">
        <v>1741.97</v>
      </c>
      <c r="J22" s="16">
        <v>4336.96</v>
      </c>
      <c r="K22" s="239">
        <v>1115.41</v>
      </c>
      <c r="L22" s="16">
        <v>1831</v>
      </c>
      <c r="M22" s="16">
        <v>11060.83</v>
      </c>
      <c r="N22" s="16">
        <v>76133.22</v>
      </c>
      <c r="O22" s="16">
        <v>0</v>
      </c>
      <c r="P22" s="16">
        <v>0</v>
      </c>
      <c r="Q22" s="16">
        <f>28800+2700+3870</f>
        <v>28781</v>
      </c>
      <c r="R22" s="16">
        <f>39000</f>
        <v>31734</v>
      </c>
      <c r="S22" s="16">
        <v>0</v>
      </c>
    </row>
    <row r="23" spans="2:19">
      <c r="B23" s="22" t="s">
        <v>541</v>
      </c>
      <c r="C23" s="3" t="e">
        <f>VLOOKUP(B23,'FCST 8871789615 35%'!B23:C43,2,FALSE)</f>
        <v>#N/A</v>
      </c>
      <c r="D23" s="13" t="e">
        <f t="shared" ref="D23" si="10">C23*8</f>
        <v>#N/A</v>
      </c>
      <c r="E23" s="5"/>
      <c r="G23" s="6" t="s">
        <v>265</v>
      </c>
      <c r="H23" s="6">
        <v>63.71</v>
      </c>
      <c r="I23" s="6">
        <v>133.20</v>
      </c>
      <c r="J23" s="6">
        <v>117.50</v>
      </c>
      <c r="K23" s="6">
        <v>81.94</v>
      </c>
      <c r="L23" s="6">
        <v>101.31</v>
      </c>
      <c r="M23" s="6">
        <v>80.47</v>
      </c>
      <c r="N23" s="6"/>
      <c r="O23" s="6">
        <v>118.72</v>
      </c>
      <c r="P23" s="6">
        <v>57.94</v>
      </c>
      <c r="Q23" s="6"/>
      <c r="R23" s="6"/>
      <c r="S23" s="6"/>
    </row>
    <row r="24" spans="2:19">
      <c r="B24" s="22" t="s">
        <v>318</v>
      </c>
      <c r="C24" s="3" t="e">
        <f>VLOOKUP(B24,'FCST 8871789615 35%'!B24:C44,2,FALSE)</f>
        <v>#N/A</v>
      </c>
      <c r="D24" s="13" t="e">
        <f t="shared" ref="D24" si="11">C24*8</f>
        <v>#N/A</v>
      </c>
      <c r="E24" s="5"/>
      <c r="G24" s="15" t="s">
        <v>43</v>
      </c>
      <c r="H24" s="16">
        <v>1987.20</v>
      </c>
      <c r="I24" s="16">
        <v>4154.59</v>
      </c>
      <c r="J24" s="16">
        <v>3664.77</v>
      </c>
      <c r="K24" s="239">
        <v>2666.31</v>
      </c>
      <c r="L24" s="16">
        <v>3296.49</v>
      </c>
      <c r="M24" s="16">
        <v>2618.65</v>
      </c>
      <c r="N24" s="16">
        <v>0</v>
      </c>
      <c r="O24" s="16">
        <v>3863.11</v>
      </c>
      <c r="P24" s="16">
        <v>1885.22</v>
      </c>
      <c r="Q24" s="16">
        <f t="shared" ref="Q24:S24" si="12">Q23*$C$12</f>
        <v>0</v>
      </c>
      <c r="R24" s="16">
        <f t="shared" si="12"/>
        <v>0</v>
      </c>
      <c r="S24" s="16">
        <f t="shared" si="12"/>
        <v>0</v>
      </c>
    </row>
    <row r="25" spans="2:19" ht="14.5" customHeight="1">
      <c r="B25" s="236"/>
      <c r="C25" s="139"/>
      <c r="D25" s="9"/>
      <c r="E25" s="9"/>
      <c r="G25" s="6" t="s">
        <v>266</v>
      </c>
      <c r="H25" s="6">
        <v>52.00</v>
      </c>
      <c r="I25" s="6">
        <v>67.29</v>
      </c>
      <c r="J25" s="14">
        <v>61.19</v>
      </c>
      <c r="K25" s="238"/>
      <c r="L25" s="14">
        <v>55.09</v>
      </c>
      <c r="M25" s="14">
        <v>61.19</v>
      </c>
      <c r="N25" s="5"/>
      <c r="O25" s="14">
        <v>61.19</v>
      </c>
      <c r="P25" s="14"/>
      <c r="Q25" s="14">
        <v>58.10</v>
      </c>
      <c r="R25" s="14"/>
      <c r="S25" s="14"/>
    </row>
    <row r="26" spans="2:19" ht="14.5" customHeight="1">
      <c r="B26" s="9"/>
      <c r="C26" s="9"/>
      <c r="D26" s="9"/>
      <c r="E26" s="9"/>
      <c r="G26" s="15" t="s">
        <v>43</v>
      </c>
      <c r="H26" s="16">
        <v>4206.43</v>
      </c>
      <c r="I26" s="16">
        <v>5444.00</v>
      </c>
      <c r="J26" s="16">
        <v>4950.29</v>
      </c>
      <c r="K26" s="239">
        <v>0</v>
      </c>
      <c r="L26" s="16">
        <v>5391.41</v>
      </c>
      <c r="M26" s="16">
        <v>5988.69</v>
      </c>
      <c r="N26" s="16">
        <v>0</v>
      </c>
      <c r="O26" s="16">
        <v>5988.69</v>
      </c>
      <c r="P26" s="16">
        <v>0</v>
      </c>
      <c r="Q26" s="16">
        <f t="shared" ref="Q26:S26" si="13">Q25*$C$13</f>
        <v>5686.07</v>
      </c>
      <c r="R26" s="16">
        <f t="shared" si="13"/>
        <v>0</v>
      </c>
      <c r="S26" s="16">
        <f t="shared" si="13"/>
        <v>0</v>
      </c>
    </row>
    <row r="27" spans="2:19" ht="14.5" customHeight="1">
      <c r="B27" s="9"/>
      <c r="C27" s="9"/>
      <c r="D27" s="9"/>
      <c r="E27" s="9"/>
      <c r="G27" s="6" t="s">
        <v>256</v>
      </c>
      <c r="H27" s="6">
        <v>118.72</v>
      </c>
      <c r="I27" s="6">
        <v>133.28</v>
      </c>
      <c r="J27" s="14">
        <v>57.94</v>
      </c>
      <c r="K27" s="238"/>
      <c r="L27" s="6">
        <v>109.28</v>
      </c>
      <c r="M27" s="6">
        <v>110.09</v>
      </c>
      <c r="N27" s="6"/>
      <c r="O27" s="6">
        <v>115.87</v>
      </c>
      <c r="P27" s="6">
        <v>115.87</v>
      </c>
      <c r="Q27" s="6"/>
      <c r="R27" s="6"/>
      <c r="S27" s="6"/>
    </row>
    <row r="28" spans="2:19" ht="14.5" customHeight="1">
      <c r="B28" s="9"/>
      <c r="C28" s="9"/>
      <c r="D28" s="9"/>
      <c r="E28" s="9"/>
      <c r="G28" s="15" t="s">
        <v>43</v>
      </c>
      <c r="H28" s="16">
        <v>4150.41</v>
      </c>
      <c r="I28" s="16">
        <v>4659.61</v>
      </c>
      <c r="J28" s="16">
        <v>2025.42</v>
      </c>
      <c r="K28" s="239">
        <v>0</v>
      </c>
      <c r="L28" s="16">
        <v>3913.31</v>
      </c>
      <c r="M28" s="16">
        <v>3942.45</v>
      </c>
      <c r="N28" s="16">
        <v>0</v>
      </c>
      <c r="O28" s="16">
        <v>4149.34</v>
      </c>
      <c r="P28" s="16">
        <v>4149.34</v>
      </c>
      <c r="Q28" s="16">
        <f t="shared" ref="Q28:S28" si="14">Q27*$C$14</f>
        <v>0</v>
      </c>
      <c r="R28" s="16">
        <f t="shared" si="14"/>
        <v>0</v>
      </c>
      <c r="S28" s="16">
        <f t="shared" si="14"/>
        <v>0</v>
      </c>
    </row>
    <row r="29" spans="2:19">
      <c r="B29" s="9"/>
      <c r="C29" s="9"/>
      <c r="D29" s="9"/>
      <c r="E29" s="9"/>
      <c r="G29" s="6" t="s">
        <v>286</v>
      </c>
      <c r="H29" s="6">
        <v>63.79</v>
      </c>
      <c r="I29" s="6">
        <v>66.64</v>
      </c>
      <c r="J29" s="14">
        <v>28.97</v>
      </c>
      <c r="K29" s="238"/>
      <c r="L29" s="6">
        <v>47.52</v>
      </c>
      <c r="M29" s="6">
        <v>57.94</v>
      </c>
      <c r="N29" s="6"/>
      <c r="O29" s="6">
        <v>104.23</v>
      </c>
      <c r="P29" s="6">
        <v>110.01</v>
      </c>
      <c r="Q29" s="6">
        <v>121</v>
      </c>
      <c r="R29" s="6"/>
      <c r="S29" s="6"/>
    </row>
    <row r="30" spans="2:19">
      <c r="G30" s="15" t="s">
        <v>43</v>
      </c>
      <c r="H30" s="16">
        <v>2230.24</v>
      </c>
      <c r="I30" s="16">
        <v>2329.81</v>
      </c>
      <c r="J30" s="16">
        <v>1012.71</v>
      </c>
      <c r="K30" s="239">
        <v>0</v>
      </c>
      <c r="L30" s="16">
        <v>1701.69</v>
      </c>
      <c r="M30" s="16">
        <v>2074.67</v>
      </c>
      <c r="N30" s="16">
        <v>0</v>
      </c>
      <c r="O30" s="16">
        <v>3732.65</v>
      </c>
      <c r="P30" s="16">
        <v>3939.54</v>
      </c>
      <c r="Q30" s="16">
        <f t="shared" ref="Q30:S30" si="15">Q29*$C$15</f>
        <v>3525.77</v>
      </c>
      <c r="R30" s="16">
        <f t="shared" si="15"/>
        <v>0</v>
      </c>
      <c r="S30" s="16">
        <f t="shared" si="15"/>
        <v>0</v>
      </c>
    </row>
    <row r="31" spans="2:19">
      <c r="G31" s="6" t="s">
        <v>291</v>
      </c>
      <c r="H31" s="6">
        <v>68</v>
      </c>
      <c r="I31" s="6">
        <v>36</v>
      </c>
      <c r="J31" s="6">
        <v>66.40</v>
      </c>
      <c r="K31" s="6"/>
      <c r="L31" s="6">
        <v>72</v>
      </c>
      <c r="M31" s="6"/>
      <c r="N31" s="6"/>
      <c r="O31" s="6">
        <v>80</v>
      </c>
      <c r="P31" s="6"/>
      <c r="Q31" s="6">
        <v>56</v>
      </c>
      <c r="R31" s="6"/>
      <c r="S31" s="5"/>
    </row>
    <row r="32" spans="2:19">
      <c r="G32" s="15" t="s">
        <v>43</v>
      </c>
      <c r="H32" s="16">
        <v>5622.80</v>
      </c>
      <c r="I32" s="16">
        <v>2976.77</v>
      </c>
      <c r="J32" s="16">
        <v>6747.36</v>
      </c>
      <c r="K32" s="239">
        <v>0</v>
      </c>
      <c r="L32" s="16">
        <v>5733.85</v>
      </c>
      <c r="M32" s="16">
        <v>0</v>
      </c>
      <c r="N32" s="16">
        <v>0</v>
      </c>
      <c r="O32" s="16">
        <v>6370.95</v>
      </c>
      <c r="P32" s="16">
        <v>0</v>
      </c>
      <c r="Q32" s="16">
        <f t="shared" ref="Q32:S32" si="16">Q31*$C$18</f>
        <v>4459.66</v>
      </c>
      <c r="R32" s="16">
        <f t="shared" si="16"/>
        <v>0</v>
      </c>
      <c r="S32" s="16">
        <f t="shared" si="16"/>
        <v>0</v>
      </c>
    </row>
    <row r="33" spans="7:19">
      <c r="G33" s="6" t="s">
        <v>292</v>
      </c>
      <c r="H33" s="6">
        <v>126.77</v>
      </c>
      <c r="I33" s="6">
        <v>134.50</v>
      </c>
      <c r="J33" s="6">
        <v>112.86</v>
      </c>
      <c r="K33" s="6">
        <v>95.85</v>
      </c>
      <c r="L33" s="6">
        <v>109.77</v>
      </c>
      <c r="M33" s="6">
        <v>111.31</v>
      </c>
      <c r="N33" s="6"/>
      <c r="O33" s="6">
        <v>128.32</v>
      </c>
      <c r="P33" s="6"/>
      <c r="Q33" s="6">
        <v>98.95</v>
      </c>
      <c r="R33" s="5"/>
      <c r="S33" s="290"/>
    </row>
    <row r="34" spans="7:19">
      <c r="G34" s="15" t="s">
        <v>43</v>
      </c>
      <c r="H34" s="16">
        <v>3862.82</v>
      </c>
      <c r="I34" s="16">
        <v>4098.36</v>
      </c>
      <c r="J34" s="16">
        <v>3438.85</v>
      </c>
      <c r="K34" s="239">
        <v>3013.65</v>
      </c>
      <c r="L34" s="239">
        <v>3451.11</v>
      </c>
      <c r="M34" s="239">
        <v>3499.72</v>
      </c>
      <c r="N34" s="239">
        <v>0</v>
      </c>
      <c r="O34" s="239">
        <v>4034.40</v>
      </c>
      <c r="P34" s="239">
        <v>0</v>
      </c>
      <c r="Q34" s="239">
        <f t="shared" ref="Q34:R34" si="17">Q33*$C$19</f>
        <v>3110.86</v>
      </c>
      <c r="R34" s="239">
        <f t="shared" si="17"/>
        <v>0</v>
      </c>
      <c r="S34" s="16">
        <f>S33*$C$19</f>
        <v>0</v>
      </c>
    </row>
    <row r="35" spans="7:19" hidden="1">
      <c r="G35" s="6" t="s">
        <v>335</v>
      </c>
      <c r="H35" s="6">
        <v>62.25</v>
      </c>
      <c r="I35" s="6">
        <v>161</v>
      </c>
      <c r="J35" s="14">
        <v>57.94</v>
      </c>
      <c r="K35" s="238">
        <v>113</v>
      </c>
      <c r="L35" s="6">
        <v>104.23</v>
      </c>
      <c r="M35" s="5"/>
      <c r="N35" s="5"/>
      <c r="O35" s="5"/>
      <c r="P35" s="5"/>
      <c r="Q35" s="5"/>
      <c r="R35" s="5"/>
      <c r="S35" s="307"/>
    </row>
    <row r="36" spans="7:19" hidden="1">
      <c r="G36" s="15" t="s">
        <v>43</v>
      </c>
      <c r="H36" s="16">
        <v>1941.52</v>
      </c>
      <c r="I36" s="16">
        <v>4086.07</v>
      </c>
      <c r="J36" s="16">
        <v>1807.01</v>
      </c>
      <c r="K36" s="16">
        <v>2991.99</v>
      </c>
      <c r="L36" s="16">
        <v>3391.81</v>
      </c>
      <c r="M36" s="16">
        <v>0</v>
      </c>
      <c r="N36" s="16">
        <v>0</v>
      </c>
      <c r="O36" s="16">
        <v>0</v>
      </c>
      <c r="P36" s="16">
        <v>0</v>
      </c>
      <c r="Q36" s="16">
        <v>0</v>
      </c>
      <c r="R36" s="16">
        <v>0</v>
      </c>
      <c r="S36" s="16">
        <v>0</v>
      </c>
    </row>
    <row r="37" spans="7:19" hidden="1">
      <c r="G37" s="6" t="s">
        <v>354</v>
      </c>
      <c r="H37" s="6">
        <v>54.68</v>
      </c>
      <c r="I37" s="6">
        <v>72</v>
      </c>
      <c r="J37" s="6">
        <v>32</v>
      </c>
      <c r="K37" s="301"/>
      <c r="L37" s="5"/>
      <c r="M37" s="5"/>
      <c r="N37" s="5"/>
      <c r="O37" s="5"/>
      <c r="P37" s="5"/>
      <c r="Q37" s="5"/>
      <c r="R37" s="5"/>
      <c r="S37" s="5"/>
    </row>
    <row r="38" spans="7:19" hidden="1">
      <c r="G38" s="15" t="s">
        <v>43</v>
      </c>
      <c r="H38" s="16">
        <v>2401.03</v>
      </c>
      <c r="I38" s="16">
        <v>2572.53</v>
      </c>
      <c r="J38" s="16">
        <v>1143.35</v>
      </c>
      <c r="K38" s="239">
        <v>0</v>
      </c>
      <c r="L38" s="16">
        <v>0</v>
      </c>
      <c r="M38" s="16">
        <v>0</v>
      </c>
      <c r="N38" s="16">
        <v>0</v>
      </c>
      <c r="O38" s="16">
        <v>0</v>
      </c>
      <c r="P38" s="16">
        <v>0</v>
      </c>
      <c r="Q38" s="16">
        <v>0</v>
      </c>
      <c r="R38" s="16">
        <v>0</v>
      </c>
      <c r="S38" s="16">
        <v>0</v>
      </c>
    </row>
    <row r="39" spans="7:19">
      <c r="G39" s="6" t="s">
        <v>394</v>
      </c>
      <c r="H39" s="16"/>
      <c r="I39" s="6">
        <v>32</v>
      </c>
      <c r="J39" s="6">
        <v>57.94</v>
      </c>
      <c r="K39" s="239"/>
      <c r="L39" s="6">
        <v>43.45</v>
      </c>
      <c r="M39" s="6">
        <v>57.94</v>
      </c>
      <c r="N39" s="6"/>
      <c r="O39" s="6">
        <v>118.72</v>
      </c>
      <c r="P39" s="6"/>
      <c r="Q39" s="6">
        <v>110.09</v>
      </c>
      <c r="R39" s="6"/>
      <c r="S39" s="6"/>
    </row>
    <row r="40" spans="7:19">
      <c r="G40" s="15" t="s">
        <v>43</v>
      </c>
      <c r="H40" s="16">
        <v>0</v>
      </c>
      <c r="I40" s="16">
        <v>910.30</v>
      </c>
      <c r="J40" s="16">
        <v>2025.42</v>
      </c>
      <c r="K40" s="239">
        <v>0</v>
      </c>
      <c r="L40" s="16">
        <v>1556.00</v>
      </c>
      <c r="M40" s="16">
        <v>2074.67</v>
      </c>
      <c r="N40" s="16">
        <v>0</v>
      </c>
      <c r="O40" s="16">
        <v>4251.32</v>
      </c>
      <c r="P40" s="16">
        <v>0</v>
      </c>
      <c r="Q40" s="16">
        <f t="shared" ref="Q40:S40" si="18">Q39*$C$17</f>
        <v>3942.45</v>
      </c>
      <c r="R40" s="16">
        <f t="shared" si="18"/>
        <v>0</v>
      </c>
      <c r="S40" s="16">
        <f t="shared" si="18"/>
        <v>0</v>
      </c>
    </row>
    <row r="41" spans="7:19">
      <c r="G41" s="6" t="s">
        <v>255</v>
      </c>
      <c r="H41" s="16"/>
      <c r="I41" s="6">
        <v>28.97</v>
      </c>
      <c r="J41" s="6">
        <v>107.33</v>
      </c>
      <c r="K41" s="239"/>
      <c r="L41" s="5"/>
      <c r="M41" s="6">
        <v>101.31</v>
      </c>
      <c r="N41" s="6"/>
      <c r="O41" s="6">
        <v>113.67</v>
      </c>
      <c r="P41" s="6">
        <v>110.09</v>
      </c>
      <c r="Q41" s="6">
        <v>57.94</v>
      </c>
      <c r="R41" s="6"/>
      <c r="S41" s="6"/>
    </row>
    <row r="42" spans="7:19">
      <c r="G42" s="15" t="s">
        <v>43</v>
      </c>
      <c r="H42" s="16">
        <v>0</v>
      </c>
      <c r="I42" s="16">
        <v>870.19</v>
      </c>
      <c r="J42" s="16">
        <v>3224.10</v>
      </c>
      <c r="K42" s="239">
        <v>0</v>
      </c>
      <c r="L42" s="16">
        <v>0</v>
      </c>
      <c r="M42" s="16">
        <v>3042.21</v>
      </c>
      <c r="N42" s="16">
        <v>0</v>
      </c>
      <c r="O42" s="16">
        <v>3413.63</v>
      </c>
      <c r="P42" s="16">
        <v>3306.11</v>
      </c>
      <c r="Q42" s="16">
        <f t="shared" ref="Q42:S42" si="19">Q41*$C$21</f>
        <v>2011.52</v>
      </c>
      <c r="R42" s="16">
        <f t="shared" si="19"/>
        <v>0</v>
      </c>
      <c r="S42" s="16">
        <f t="shared" si="19"/>
        <v>0</v>
      </c>
    </row>
    <row r="43" spans="7:19">
      <c r="G43" s="6" t="s">
        <v>98</v>
      </c>
      <c r="H43" s="14">
        <v>9</v>
      </c>
      <c r="I43" s="14">
        <v>9</v>
      </c>
      <c r="J43" s="14">
        <v>11.80</v>
      </c>
      <c r="K43" s="14">
        <v>9</v>
      </c>
      <c r="L43" s="14">
        <v>9</v>
      </c>
      <c r="M43" s="14">
        <v>9</v>
      </c>
      <c r="N43" s="14"/>
      <c r="O43" s="14">
        <v>9</v>
      </c>
      <c r="P43" s="14">
        <v>9</v>
      </c>
      <c r="Q43" s="14">
        <v>9</v>
      </c>
      <c r="R43" s="14"/>
      <c r="S43" s="14"/>
    </row>
    <row r="44" spans="7:19">
      <c r="G44" s="15" t="s">
        <v>43</v>
      </c>
      <c r="H44" s="16">
        <v>1717.09</v>
      </c>
      <c r="I44" s="16">
        <v>1717.09</v>
      </c>
      <c r="J44" s="16">
        <v>2766.43</v>
      </c>
      <c r="K44" s="239">
        <v>1704.06</v>
      </c>
      <c r="L44" s="16">
        <v>1704.06</v>
      </c>
      <c r="M44" s="16">
        <v>1704.06</v>
      </c>
      <c r="N44" s="16">
        <v>0</v>
      </c>
      <c r="O44" s="16">
        <v>1704.06</v>
      </c>
      <c r="P44" s="16">
        <v>1704.06</v>
      </c>
      <c r="Q44" s="16">
        <f t="shared" ref="Q44:S44" si="20">Q43*$C$5</f>
        <v>2051.84</v>
      </c>
      <c r="R44" s="16">
        <f t="shared" si="20"/>
        <v>0</v>
      </c>
      <c r="S44" s="16">
        <f t="shared" si="20"/>
        <v>0</v>
      </c>
    </row>
    <row r="45" spans="7:19">
      <c r="G45" s="6" t="s">
        <v>412</v>
      </c>
      <c r="H45" s="16"/>
      <c r="I45" s="14">
        <v>57.94</v>
      </c>
      <c r="J45" s="16"/>
      <c r="K45" s="14">
        <v>28.97</v>
      </c>
      <c r="L45" s="14">
        <v>28.32</v>
      </c>
      <c r="M45" s="14">
        <v>28.97</v>
      </c>
      <c r="N45" s="14"/>
      <c r="O45" s="14">
        <v>30.43</v>
      </c>
      <c r="P45" s="14">
        <v>28.97</v>
      </c>
      <c r="Q45" s="14">
        <v>28.97</v>
      </c>
      <c r="R45" s="14"/>
      <c r="S45" s="14"/>
    </row>
    <row r="46" spans="7:19">
      <c r="G46" s="15" t="s">
        <v>43</v>
      </c>
      <c r="H46" s="16">
        <v>0</v>
      </c>
      <c r="I46" s="16">
        <v>1740.38</v>
      </c>
      <c r="J46" s="16">
        <v>0</v>
      </c>
      <c r="K46" s="239">
        <v>939.13</v>
      </c>
      <c r="L46" s="16">
        <v>918.03</v>
      </c>
      <c r="M46" s="16">
        <v>939.13</v>
      </c>
      <c r="N46" s="16">
        <v>0</v>
      </c>
      <c r="O46" s="16">
        <v>986.62</v>
      </c>
      <c r="P46" s="16">
        <v>939.13</v>
      </c>
      <c r="Q46" s="16">
        <f t="shared" ref="Q46:S46" si="21">Q45*$C$22</f>
        <v>1005.76</v>
      </c>
      <c r="R46" s="16">
        <f t="shared" si="21"/>
        <v>0</v>
      </c>
      <c r="S46" s="16">
        <f t="shared" si="21"/>
        <v>0</v>
      </c>
    </row>
    <row r="47" spans="7:19" hidden="1">
      <c r="G47" s="6" t="s">
        <v>541</v>
      </c>
      <c r="H47" s="16"/>
      <c r="I47" s="14"/>
      <c r="J47" s="16"/>
      <c r="K47" s="14"/>
      <c r="L47" s="14"/>
      <c r="M47" s="14"/>
      <c r="N47" s="5"/>
      <c r="O47" s="14">
        <v>25.63</v>
      </c>
      <c r="P47" s="14"/>
      <c r="Q47" s="14"/>
      <c r="R47" s="14"/>
      <c r="S47" s="14"/>
    </row>
    <row r="48" spans="7:19" hidden="1">
      <c r="G48" s="15" t="s">
        <v>43</v>
      </c>
      <c r="H48" s="16">
        <v>0</v>
      </c>
      <c r="I48" s="16">
        <v>1740.38</v>
      </c>
      <c r="J48" s="16">
        <v>0</v>
      </c>
      <c r="K48" s="239">
        <v>0</v>
      </c>
      <c r="L48" s="16">
        <v>0</v>
      </c>
      <c r="M48" s="16">
        <v>0</v>
      </c>
      <c r="N48" s="16">
        <v>0</v>
      </c>
      <c r="O48" s="16">
        <v>1255.69</v>
      </c>
      <c r="P48" s="16">
        <v>0</v>
      </c>
      <c r="Q48" s="16">
        <v>0</v>
      </c>
      <c r="R48" s="16">
        <v>0</v>
      </c>
      <c r="S48" s="16">
        <v>0</v>
      </c>
    </row>
    <row r="49" spans="7:19" hidden="1">
      <c r="G49" s="6" t="s">
        <v>318</v>
      </c>
      <c r="H49" s="16"/>
      <c r="I49" s="16"/>
      <c r="J49" s="16"/>
      <c r="K49" s="16"/>
      <c r="L49" s="16"/>
      <c r="M49" s="16"/>
      <c r="N49" s="14"/>
      <c r="O49" s="14">
        <v>28.97</v>
      </c>
      <c r="P49" s="14">
        <v>55.41</v>
      </c>
      <c r="Q49" s="14">
        <v>40.52</v>
      </c>
      <c r="R49" s="14"/>
      <c r="S49" s="14"/>
    </row>
    <row r="50" spans="7:19" ht="11" hidden="1">
      <c r="G50" s="15" t="s">
        <v>43</v>
      </c>
      <c r="H50" s="16">
        <v>0</v>
      </c>
      <c r="I50" s="16">
        <v>0</v>
      </c>
      <c r="J50" s="16">
        <v>0</v>
      </c>
      <c r="K50" s="16">
        <v>0</v>
      </c>
      <c r="L50" s="16">
        <v>0</v>
      </c>
      <c r="M50" s="16">
        <v>0</v>
      </c>
      <c r="N50" s="16">
        <v>0</v>
      </c>
      <c r="O50" s="16">
        <v>893.07</v>
      </c>
      <c r="P50" s="16">
        <v>1708.38</v>
      </c>
      <c r="Q50" s="16">
        <f>Q49*30.83</f>
        <v>1249.30</v>
      </c>
      <c r="R50" s="16">
        <v>0</v>
      </c>
      <c r="S50" s="16">
        <v>0</v>
      </c>
    </row>
    <row r="51" spans="7:19">
      <c r="G51" s="27" t="s">
        <v>30</v>
      </c>
      <c r="H51" s="28">
        <v>58648.25</v>
      </c>
      <c r="I51" s="28">
        <v>61691.76</v>
      </c>
      <c r="J51" s="28">
        <v>52279.54</v>
      </c>
      <c r="K51" s="28">
        <v>28285.21</v>
      </c>
      <c r="L51" s="241">
        <v>52996.92</v>
      </c>
      <c r="M51" s="241">
        <v>56052.94</v>
      </c>
      <c r="N51" s="241">
        <v>76133.22</v>
      </c>
      <c r="O51" s="241">
        <v>49715.31</v>
      </c>
      <c r="P51" s="241">
        <v>32222.43</v>
      </c>
      <c r="Q51" s="241">
        <f t="shared" ref="Q51:S51" si="22">SUM(Q4,Q10,Q14,Q16,Q18,Q22,Q24,Q26,Q28,Q30,Q32,Q34,Q36,Q38,Q40,Q42,Q44,Q6,Q8,Q12,Q20,Q46,Q48+Q50)</f>
        <v>68722.47</v>
      </c>
      <c r="R51" s="241">
        <f t="shared" si="22"/>
        <v>31734</v>
      </c>
      <c r="S51" s="241">
        <f t="shared" si="22"/>
        <v>1420.52</v>
      </c>
    </row>
    <row r="52" spans="7:19">
      <c r="G52" s="27" t="s">
        <v>44</v>
      </c>
      <c r="H52" s="28">
        <v>0</v>
      </c>
      <c r="I52" s="28">
        <v>0</v>
      </c>
      <c r="J52" s="28">
        <v>0</v>
      </c>
      <c r="K52" s="28">
        <v>0</v>
      </c>
      <c r="L52" s="235">
        <v>0</v>
      </c>
      <c r="M52" s="235">
        <v>0</v>
      </c>
      <c r="N52" s="235">
        <v>0</v>
      </c>
      <c r="O52" s="235">
        <v>0</v>
      </c>
      <c r="P52" s="235">
        <v>0</v>
      </c>
      <c r="Q52" s="235">
        <v>0</v>
      </c>
      <c r="R52" s="235">
        <v>0</v>
      </c>
      <c r="S52" s="235">
        <v>0</v>
      </c>
    </row>
    <row r="54" spans="7:19">
      <c r="G54" s="27" t="s">
        <v>79</v>
      </c>
      <c r="H54" s="28">
        <v>58648.25</v>
      </c>
      <c r="I54" s="28">
        <v>61691.76</v>
      </c>
      <c r="J54" s="28">
        <v>52279.54</v>
      </c>
      <c r="K54" s="28">
        <v>28285.21</v>
      </c>
      <c r="L54" s="235">
        <v>52996.92</v>
      </c>
      <c r="M54" s="235">
        <v>56052.94</v>
      </c>
      <c r="N54" s="235">
        <v>76133.22</v>
      </c>
      <c r="O54" s="235">
        <v>49715.31</v>
      </c>
      <c r="P54" s="235">
        <v>32222.43</v>
      </c>
      <c r="Q54" s="235">
        <f t="shared" ref="Q54:S54" si="23">SUM(Q51:Q52)</f>
        <v>68722.47</v>
      </c>
      <c r="R54" s="235">
        <f t="shared" si="23"/>
        <v>31734</v>
      </c>
      <c r="S54" s="235">
        <f t="shared" si="23"/>
        <v>1420.52</v>
      </c>
    </row>
    <row r="58" spans="7:19">
      <c r="G58" s="18"/>
      <c r="P58" s="17"/>
    </row>
    <row r="59" spans="7:19">
      <c r="G59" s="18"/>
    </row>
    <row r="60" spans="7:19">
      <c r="J60" s="259"/>
    </row>
    <row r="61" spans="7:19">
      <c r="G61" s="17"/>
      <c r="J61" s="259"/>
    </row>
    <row r="62" spans="7:19">
      <c r="G62" s="19"/>
    </row>
    <row r="63" spans="7:19">
      <c r="J63" s="152"/>
    </row>
    <row r="64" spans="7:19">
      <c r="G64" s="17"/>
    </row>
    <row r="65" spans="7:7" hidden="1"/>
    <row r="66" spans="7:7" hidden="1"/>
    <row r="67" spans="7:7" hidden="1"/>
    <row r="68" spans="7:7" hidden="1">
      <c r="G68" s="17"/>
    </row>
  </sheetData>
  <conditionalFormatting sqref="B2">
    <cfRule type="duplicateValues" dxfId="32" priority="6"/>
  </conditionalFormatting>
  <conditionalFormatting sqref="B3:B7">
    <cfRule type="duplicateValues" dxfId="31" priority="9"/>
  </conditionalFormatting>
  <conditionalFormatting sqref="B8">
    <cfRule type="duplicateValues" dxfId="30" priority="5"/>
  </conditionalFormatting>
  <conditionalFormatting sqref="B9:B10">
    <cfRule type="duplicateValues" dxfId="29" priority="10"/>
  </conditionalFormatting>
  <conditionalFormatting sqref="B11">
    <cfRule type="duplicateValues" dxfId="28" priority="4"/>
  </conditionalFormatting>
  <conditionalFormatting sqref="B12:B13">
    <cfRule type="duplicateValues" dxfId="27" priority="8"/>
  </conditionalFormatting>
  <conditionalFormatting sqref="B14:B15">
    <cfRule type="duplicateValues" dxfId="26" priority="7"/>
  </conditionalFormatting>
  <conditionalFormatting sqref="B16">
    <cfRule type="duplicateValues" dxfId="25" priority="3"/>
  </conditionalFormatting>
  <conditionalFormatting sqref="B17">
    <cfRule type="duplicateValues" dxfId="24" priority="2"/>
  </conditionalFormatting>
  <conditionalFormatting sqref="B18:B19">
    <cfRule type="duplicateValues" dxfId="23" priority="11"/>
  </conditionalFormatting>
  <conditionalFormatting sqref="B20:B24">
    <cfRule type="duplicateValues" dxfId="22" priority="1"/>
  </conditionalFormatting>
  <conditionalFormatting sqref="B25">
    <cfRule type="duplicateValues" dxfId="21" priority="12"/>
  </conditionalFormatting>
  <pageMargins left="0.7" right="0.7" top="0.75" bottom="0.75" header="0.3" footer="0.3"/>
  <pageSetup orientation="portrait"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0DC3C-0CFC-4FAC-9FE6-8BD75B92B986}">
  <sheetPr codeName="Sheet6">
    <tabColor theme="9"/>
  </sheetPr>
  <dimension ref="A1:S60"/>
  <sheetViews>
    <sheetView showGridLines="0" zoomScale="59" zoomScaleNormal="59" workbookViewId="0">
      <pane ySplit="2" topLeftCell="A3" activePane="bottomLeft" state="frozen"/>
      <selection activeCell="C1" sqref="C1"/>
      <selection pane="bottomLeft" activeCell="D50" sqref="D50"/>
    </sheetView>
  </sheetViews>
  <sheetFormatPr defaultColWidth="12.54296875" defaultRowHeight="14.5"/>
  <cols>
    <col min="1" max="1" width="12.81640625" style="9" customWidth="1"/>
    <col min="2" max="2" width="19.81640625" style="9" bestFit="1" customWidth="1"/>
    <col min="3" max="3" width="9.1796875" style="9" customWidth="1"/>
    <col min="4" max="4" width="14.54296875" style="9" customWidth="1"/>
    <col min="5" max="5" width="12.1796875" style="9" customWidth="1"/>
    <col min="6" max="6" width="3.453125" style="9" customWidth="1"/>
    <col min="7" max="7" width="29.54296875" style="9" customWidth="1"/>
    <col min="8" max="12" width="11.453125" style="9" customWidth="1"/>
    <col min="13" max="16384" width="12.54296875" style="9"/>
  </cols>
  <sheetData>
    <row r="1" spans="1:19" ht="15" thickBot="1">
      <c r="A1" s="37" t="s">
        <v>73</v>
      </c>
      <c r="B1" s="24" t="s">
        <v>41</v>
      </c>
      <c r="C1" s="25" t="s">
        <v>99</v>
      </c>
      <c r="D1" s="25" t="s">
        <v>42</v>
      </c>
      <c r="E1" s="31" t="s">
        <v>102</v>
      </c>
    </row>
    <row r="2" spans="1:19" ht="15" customHeight="1">
      <c r="B2" s="22" t="s">
        <v>68</v>
      </c>
      <c r="C2" s="3">
        <f>VLOOKUP(B2,'FCST 8871789615 35%'!B2:C22,2,FALSE)</f>
        <v>88.64</v>
      </c>
      <c r="D2" s="33">
        <v>594.46</v>
      </c>
      <c r="E2" s="33">
        <v>49.87</v>
      </c>
      <c r="H2" s="26">
        <v>45901</v>
      </c>
      <c r="I2" s="26">
        <v>45931</v>
      </c>
      <c r="J2" s="26">
        <v>45962</v>
      </c>
      <c r="K2" s="26">
        <v>45992</v>
      </c>
      <c r="L2" s="26">
        <v>46023</v>
      </c>
      <c r="M2" s="26">
        <v>46054</v>
      </c>
      <c r="N2" s="26">
        <v>46082</v>
      </c>
      <c r="O2" s="26">
        <v>46113</v>
      </c>
      <c r="P2" s="26">
        <v>46143</v>
      </c>
      <c r="Q2" s="26">
        <v>46174</v>
      </c>
      <c r="R2" s="26">
        <v>46204</v>
      </c>
      <c r="S2" s="26">
        <v>46235</v>
      </c>
    </row>
    <row r="3" spans="1:19" ht="15" customHeight="1">
      <c r="B3" s="22" t="s">
        <v>69</v>
      </c>
      <c r="C3" s="3">
        <f>VLOOKUP(B3,'FCST 8871789615 35%'!B3:C23,2,FALSE)</f>
        <v>34.61</v>
      </c>
      <c r="D3" s="33">
        <v>294.69</v>
      </c>
      <c r="E3" s="33"/>
      <c r="G3" s="6" t="s">
        <v>68</v>
      </c>
      <c r="H3" s="14"/>
      <c r="I3" s="14"/>
      <c r="J3" s="14"/>
      <c r="K3" s="14"/>
      <c r="L3" s="238"/>
      <c r="M3" s="5"/>
      <c r="N3" s="5"/>
      <c r="O3" s="5"/>
      <c r="P3" s="5"/>
      <c r="Q3" s="5"/>
      <c r="R3" s="5"/>
      <c r="S3" s="5"/>
    </row>
    <row r="4" spans="1:19" ht="15" customHeight="1">
      <c r="B4" s="22" t="s">
        <v>70</v>
      </c>
      <c r="C4" s="3">
        <f>VLOOKUP(B4,'FCST 8871789615 35%'!B4:C24,2,FALSE)</f>
        <v>29.14</v>
      </c>
      <c r="D4" s="33">
        <v>203.03</v>
      </c>
      <c r="E4" s="33"/>
      <c r="G4" s="15" t="s">
        <v>43</v>
      </c>
      <c r="H4" s="16">
        <v>0</v>
      </c>
      <c r="I4" s="16">
        <v>0</v>
      </c>
      <c r="J4" s="16">
        <v>0</v>
      </c>
      <c r="K4" s="16">
        <v>0</v>
      </c>
      <c r="L4" s="239">
        <v>0</v>
      </c>
      <c r="M4" s="16">
        <v>0</v>
      </c>
      <c r="N4" s="16">
        <v>0</v>
      </c>
      <c r="O4" s="16">
        <v>0</v>
      </c>
      <c r="P4" s="16">
        <v>0</v>
      </c>
      <c r="Q4" s="16">
        <v>0</v>
      </c>
      <c r="R4" s="16">
        <v>0</v>
      </c>
      <c r="S4" s="16">
        <v>0</v>
      </c>
    </row>
    <row r="5" spans="1:19">
      <c r="B5" s="22" t="s">
        <v>98</v>
      </c>
      <c r="C5" s="3">
        <f>VLOOKUP(B5,'FCST 8871789615 35%'!B5:C25,2,FALSE)</f>
        <v>227.98</v>
      </c>
      <c r="D5" s="33">
        <v>1512.05</v>
      </c>
      <c r="E5" s="33">
        <v>126.85</v>
      </c>
      <c r="G5" s="6" t="s">
        <v>69</v>
      </c>
      <c r="H5" s="14"/>
      <c r="I5" s="14"/>
      <c r="J5" s="14"/>
      <c r="K5" s="14"/>
      <c r="L5" s="238"/>
      <c r="M5" s="5"/>
      <c r="N5" s="5"/>
      <c r="O5" s="5"/>
      <c r="P5" s="5"/>
      <c r="Q5" s="5"/>
      <c r="R5" s="5"/>
      <c r="S5" s="5"/>
    </row>
    <row r="6" spans="1:19" ht="15" customHeight="1">
      <c r="B6" s="22" t="s">
        <v>71</v>
      </c>
      <c r="C6" s="3">
        <f>VLOOKUP(B6,'FCST 8871789615 35%'!B6:C26,2,FALSE)</f>
        <v>91.35</v>
      </c>
      <c r="D6" s="33">
        <v>736</v>
      </c>
      <c r="E6" s="33">
        <v>61.71</v>
      </c>
      <c r="G6" s="15" t="s">
        <v>43</v>
      </c>
      <c r="H6" s="16">
        <v>0</v>
      </c>
      <c r="I6" s="16">
        <v>0</v>
      </c>
      <c r="J6" s="16">
        <v>0</v>
      </c>
      <c r="K6" s="16">
        <v>0</v>
      </c>
      <c r="L6" s="239">
        <v>0</v>
      </c>
      <c r="M6" s="16">
        <v>0</v>
      </c>
      <c r="N6" s="16">
        <v>0</v>
      </c>
      <c r="O6" s="16">
        <v>0</v>
      </c>
      <c r="P6" s="16">
        <v>0</v>
      </c>
      <c r="Q6" s="16">
        <v>0</v>
      </c>
      <c r="R6" s="16">
        <v>0</v>
      </c>
      <c r="S6" s="16">
        <v>0</v>
      </c>
    </row>
    <row r="7" spans="1:19">
      <c r="B7" s="22" t="s">
        <v>282</v>
      </c>
      <c r="C7" s="3">
        <f>VLOOKUP(B7,'FCST 8871789615 35%'!B7:C27,2,FALSE)</f>
        <v>40.49</v>
      </c>
      <c r="D7" s="33">
        <v>0</v>
      </c>
      <c r="E7" s="33"/>
      <c r="G7" s="6" t="s">
        <v>70</v>
      </c>
      <c r="H7" s="14"/>
      <c r="I7" s="14"/>
      <c r="J7" s="14"/>
      <c r="K7" s="14"/>
      <c r="L7" s="238"/>
      <c r="M7" s="5"/>
      <c r="N7" s="5"/>
      <c r="O7" s="5"/>
      <c r="P7" s="5"/>
      <c r="Q7" s="5"/>
      <c r="R7" s="5"/>
      <c r="S7" s="5"/>
    </row>
    <row r="8" spans="1:19">
      <c r="B8" s="22" t="s">
        <v>109</v>
      </c>
      <c r="C8" s="3">
        <f>VLOOKUP(B8,'FCST 8871789615 35%'!B8:C28,2,FALSE)</f>
        <v>43.50</v>
      </c>
      <c r="D8" s="33">
        <v>300.42</v>
      </c>
      <c r="E8" s="33"/>
      <c r="G8" s="15" t="s">
        <v>43</v>
      </c>
      <c r="H8" s="16">
        <v>0</v>
      </c>
      <c r="I8" s="16">
        <v>0</v>
      </c>
      <c r="J8" s="16">
        <v>0</v>
      </c>
      <c r="K8" s="16">
        <v>0</v>
      </c>
      <c r="L8" s="239">
        <v>0</v>
      </c>
      <c r="M8" s="16">
        <v>0</v>
      </c>
      <c r="N8" s="16">
        <v>0</v>
      </c>
      <c r="O8" s="16">
        <v>0</v>
      </c>
      <c r="P8" s="16">
        <v>0</v>
      </c>
      <c r="Q8" s="16">
        <v>0</v>
      </c>
      <c r="R8" s="16">
        <v>0</v>
      </c>
      <c r="S8" s="16">
        <v>0</v>
      </c>
    </row>
    <row r="9" spans="1:19">
      <c r="B9" s="22" t="s">
        <v>142</v>
      </c>
      <c r="C9" s="3">
        <f>VLOOKUP(B9,'FCST 8871789615 35%'!B9:C29,2,FALSE)</f>
        <v>33.35</v>
      </c>
      <c r="D9" s="33">
        <v>202.12</v>
      </c>
      <c r="E9" s="33">
        <v>16.96</v>
      </c>
      <c r="G9" s="6" t="s">
        <v>109</v>
      </c>
      <c r="H9" s="14"/>
      <c r="I9" s="14"/>
      <c r="J9" s="14"/>
      <c r="K9" s="14"/>
      <c r="L9" s="238"/>
      <c r="M9" s="5"/>
      <c r="N9" s="5"/>
      <c r="O9" s="5"/>
      <c r="P9" s="5"/>
      <c r="Q9" s="5"/>
      <c r="R9" s="5"/>
      <c r="S9" s="5"/>
    </row>
    <row r="10" spans="1:19">
      <c r="B10" s="22" t="s">
        <v>143</v>
      </c>
      <c r="C10" s="3">
        <f>VLOOKUP(B10,'FCST 8871789615 35%'!B10:C30,2,FALSE)</f>
        <v>33.35</v>
      </c>
      <c r="D10" s="33">
        <v>202.12</v>
      </c>
      <c r="E10" s="33">
        <v>16.96</v>
      </c>
      <c r="G10" s="15" t="s">
        <v>43</v>
      </c>
      <c r="H10" s="16">
        <v>0</v>
      </c>
      <c r="I10" s="16">
        <v>0</v>
      </c>
      <c r="J10" s="16">
        <v>0</v>
      </c>
      <c r="K10" s="16">
        <v>0</v>
      </c>
      <c r="L10" s="239">
        <v>0</v>
      </c>
      <c r="M10" s="16">
        <v>0</v>
      </c>
      <c r="N10" s="16">
        <v>0</v>
      </c>
      <c r="O10" s="16">
        <v>0</v>
      </c>
      <c r="P10" s="16">
        <v>0</v>
      </c>
      <c r="Q10" s="16">
        <v>0</v>
      </c>
      <c r="R10" s="16">
        <v>0</v>
      </c>
      <c r="S10" s="16">
        <v>0</v>
      </c>
    </row>
    <row r="11" spans="1:19">
      <c r="B11" s="22" t="s">
        <v>177</v>
      </c>
      <c r="C11" s="3">
        <f>VLOOKUP(B11,'FCST 8871789615 35%'!B11:C31,2,FALSE)</f>
        <v>33.35</v>
      </c>
      <c r="D11" s="33">
        <v>263.44</v>
      </c>
      <c r="E11" s="33">
        <v>22.10</v>
      </c>
      <c r="G11" s="6" t="s">
        <v>411</v>
      </c>
      <c r="H11" s="14"/>
      <c r="I11" s="14">
        <v>13.59</v>
      </c>
      <c r="J11" s="14">
        <v>13.59</v>
      </c>
      <c r="K11" s="14">
        <v>17</v>
      </c>
      <c r="L11" s="14">
        <v>17</v>
      </c>
      <c r="M11" s="14">
        <v>17</v>
      </c>
      <c r="N11" s="14">
        <v>17</v>
      </c>
      <c r="O11" s="14">
        <v>17</v>
      </c>
      <c r="P11" s="14">
        <v>17</v>
      </c>
      <c r="Q11" s="14">
        <v>17</v>
      </c>
      <c r="R11" s="14">
        <v>17</v>
      </c>
      <c r="S11" s="14">
        <v>3.66</v>
      </c>
    </row>
    <row r="12" spans="1:19">
      <c r="B12" s="22" t="s">
        <v>265</v>
      </c>
      <c r="C12" s="3">
        <f>VLOOKUP(B12,'FCST 8871789615 35%'!B12:C32,2,FALSE)</f>
        <v>26.48</v>
      </c>
      <c r="D12" s="33"/>
      <c r="E12" s="33"/>
      <c r="G12" s="15" t="s">
        <v>43</v>
      </c>
      <c r="H12" s="16">
        <v>0</v>
      </c>
      <c r="I12" s="16">
        <v>1550.21</v>
      </c>
      <c r="J12" s="16">
        <v>1550.21</v>
      </c>
      <c r="K12" s="16">
        <v>1552.88</v>
      </c>
      <c r="L12" s="239">
        <v>1552.88</v>
      </c>
      <c r="M12" s="16">
        <v>1552.88</v>
      </c>
      <c r="N12" s="16">
        <v>1552.88</v>
      </c>
      <c r="O12" s="16">
        <v>1552.88</v>
      </c>
      <c r="P12" s="16">
        <v>1552.88</v>
      </c>
      <c r="Q12" s="16">
        <v>1552.88</v>
      </c>
      <c r="R12" s="16">
        <v>1552.88</v>
      </c>
      <c r="S12" s="16">
        <v>411.06</v>
      </c>
    </row>
    <row r="13" spans="1:19">
      <c r="B13" s="22" t="s">
        <v>266</v>
      </c>
      <c r="C13" s="3">
        <f>VLOOKUP(B13,'FCST 8871789615 35%'!B13:C33,2,FALSE)</f>
        <v>79.64</v>
      </c>
      <c r="D13" s="33"/>
      <c r="E13" s="33"/>
      <c r="G13" s="6" t="s">
        <v>142</v>
      </c>
      <c r="H13" s="14"/>
      <c r="I13" s="14"/>
      <c r="J13" s="14"/>
      <c r="K13" s="14"/>
      <c r="L13" s="238"/>
      <c r="M13" s="5"/>
      <c r="N13" s="5"/>
      <c r="O13" s="5"/>
      <c r="P13" s="5"/>
      <c r="Q13" s="5"/>
      <c r="R13" s="5"/>
      <c r="S13" s="5"/>
    </row>
    <row r="14" spans="1:19">
      <c r="B14" s="22" t="s">
        <v>256</v>
      </c>
      <c r="C14" s="3">
        <f>VLOOKUP(B14,'FCST 8871789615 35%'!B14:C34,2,FALSE)</f>
        <v>29.14</v>
      </c>
      <c r="D14" s="33"/>
      <c r="E14" s="33"/>
      <c r="G14" s="15" t="s">
        <v>43</v>
      </c>
      <c r="H14" s="16">
        <v>0</v>
      </c>
      <c r="I14" s="16">
        <v>0</v>
      </c>
      <c r="J14" s="16">
        <v>0</v>
      </c>
      <c r="K14" s="16">
        <v>0</v>
      </c>
      <c r="L14" s="239">
        <v>0</v>
      </c>
      <c r="M14" s="16">
        <v>0</v>
      </c>
      <c r="N14" s="16">
        <v>0</v>
      </c>
      <c r="O14" s="16">
        <v>0</v>
      </c>
      <c r="P14" s="16">
        <v>0</v>
      </c>
      <c r="Q14" s="16">
        <v>0</v>
      </c>
      <c r="R14" s="16">
        <v>0</v>
      </c>
      <c r="S14" s="16">
        <v>0</v>
      </c>
    </row>
    <row r="15" spans="1:19">
      <c r="B15" s="22" t="s">
        <v>286</v>
      </c>
      <c r="C15" s="3">
        <f>VLOOKUP(B15,'FCST 8871789615 35%'!B15:C35,2,FALSE)</f>
        <v>29.14</v>
      </c>
      <c r="D15" s="33"/>
      <c r="E15" s="33"/>
      <c r="G15" s="6" t="s">
        <v>143</v>
      </c>
      <c r="H15" s="14"/>
      <c r="I15" s="14"/>
      <c r="J15" s="14"/>
      <c r="K15" s="14"/>
      <c r="L15" s="238"/>
      <c r="M15" s="5"/>
      <c r="N15" s="5"/>
      <c r="O15" s="5"/>
      <c r="P15" s="5"/>
      <c r="Q15" s="5"/>
      <c r="R15" s="5"/>
      <c r="S15" s="14"/>
    </row>
    <row r="16" spans="1:19">
      <c r="B16" s="22" t="s">
        <v>335</v>
      </c>
      <c r="C16" s="3" t="e">
        <f>VLOOKUP(B16,'FCST 8871789615 35%'!B16:C36,2,FALSE)</f>
        <v>#N/A</v>
      </c>
      <c r="D16" s="5"/>
      <c r="E16" s="5"/>
      <c r="G16" s="15" t="s">
        <v>43</v>
      </c>
      <c r="H16" s="16">
        <v>0</v>
      </c>
      <c r="I16" s="16">
        <v>0</v>
      </c>
      <c r="J16" s="16">
        <v>0</v>
      </c>
      <c r="K16" s="16">
        <v>0</v>
      </c>
      <c r="L16" s="239">
        <v>0</v>
      </c>
      <c r="M16" s="16">
        <v>0</v>
      </c>
      <c r="N16" s="16">
        <v>0</v>
      </c>
      <c r="O16" s="16">
        <v>0</v>
      </c>
      <c r="P16" s="16">
        <v>0</v>
      </c>
      <c r="Q16" s="16">
        <v>0</v>
      </c>
      <c r="R16" s="16">
        <v>0</v>
      </c>
      <c r="S16" s="16">
        <v>0</v>
      </c>
    </row>
    <row r="17" spans="2:19">
      <c r="B17" s="22" t="s">
        <v>394</v>
      </c>
      <c r="C17" s="3">
        <f>VLOOKUP(B17,'FCST 8871789615 35%'!B17:C37,2,FALSE)</f>
        <v>29.14</v>
      </c>
      <c r="D17" s="5"/>
      <c r="E17" s="5"/>
      <c r="G17" s="6" t="s">
        <v>177</v>
      </c>
      <c r="H17" s="14"/>
      <c r="I17" s="14"/>
      <c r="J17" s="14"/>
      <c r="K17" s="14"/>
      <c r="L17" s="238"/>
      <c r="M17" s="5"/>
      <c r="N17" s="5"/>
      <c r="O17" s="5"/>
      <c r="P17" s="5"/>
      <c r="Q17" s="5"/>
      <c r="R17" s="5"/>
      <c r="S17" s="5"/>
    </row>
    <row r="18" spans="2:19">
      <c r="B18" s="22" t="s">
        <v>291</v>
      </c>
      <c r="C18" s="3">
        <f>VLOOKUP(B18,'FCST 8871789615 35%'!B18:C38,2,FALSE)</f>
        <v>79.64</v>
      </c>
      <c r="D18" s="5"/>
      <c r="E18" s="5"/>
      <c r="G18" s="15" t="s">
        <v>43</v>
      </c>
      <c r="H18" s="16">
        <v>0</v>
      </c>
      <c r="I18" s="16">
        <v>0</v>
      </c>
      <c r="J18" s="16">
        <v>0</v>
      </c>
      <c r="K18" s="16">
        <v>0</v>
      </c>
      <c r="L18" s="239">
        <v>0</v>
      </c>
      <c r="M18" s="16">
        <v>0</v>
      </c>
      <c r="N18" s="16">
        <v>0</v>
      </c>
      <c r="O18" s="16">
        <v>0</v>
      </c>
      <c r="P18" s="16">
        <v>0</v>
      </c>
      <c r="Q18" s="16">
        <v>0</v>
      </c>
      <c r="R18" s="16">
        <v>0</v>
      </c>
      <c r="S18" s="16">
        <v>0</v>
      </c>
    </row>
    <row r="19" spans="2:19">
      <c r="B19" s="22" t="s">
        <v>292</v>
      </c>
      <c r="C19" s="3">
        <f>VLOOKUP(B19,'FCST 8871789615 35%'!B19:C39,2,FALSE)</f>
        <v>25.58</v>
      </c>
      <c r="D19" s="5"/>
      <c r="E19" s="5"/>
      <c r="G19" s="6" t="s">
        <v>282</v>
      </c>
      <c r="H19" s="14"/>
      <c r="I19" s="14"/>
      <c r="J19" s="14"/>
      <c r="K19" s="14"/>
      <c r="L19" s="238"/>
      <c r="M19" s="5"/>
      <c r="N19" s="5"/>
      <c r="O19" s="5"/>
      <c r="P19" s="5"/>
      <c r="Q19" s="5"/>
      <c r="R19" s="5"/>
      <c r="S19" s="5"/>
    </row>
    <row r="20" spans="2:19">
      <c r="B20" s="22" t="s">
        <v>354</v>
      </c>
      <c r="C20" s="3" t="e">
        <f>VLOOKUP(B20,'FCST 8871789615 35%'!B20:C40,2,FALSE)</f>
        <v>#N/A</v>
      </c>
      <c r="D20" s="5"/>
      <c r="E20" s="5"/>
      <c r="G20" s="15" t="s">
        <v>43</v>
      </c>
      <c r="H20" s="16">
        <v>0</v>
      </c>
      <c r="I20" s="16">
        <v>0</v>
      </c>
      <c r="J20" s="16">
        <v>0</v>
      </c>
      <c r="K20" s="16">
        <v>0</v>
      </c>
      <c r="L20" s="239">
        <v>0</v>
      </c>
      <c r="M20" s="16">
        <v>0</v>
      </c>
      <c r="N20" s="16">
        <v>0</v>
      </c>
      <c r="O20" s="16">
        <v>0</v>
      </c>
      <c r="P20" s="16">
        <v>0</v>
      </c>
      <c r="Q20" s="16">
        <v>0</v>
      </c>
      <c r="R20" s="16">
        <v>0</v>
      </c>
      <c r="S20" s="16">
        <v>0</v>
      </c>
    </row>
    <row r="21" spans="2:19">
      <c r="B21" s="22" t="s">
        <v>255</v>
      </c>
      <c r="C21" s="3">
        <f>VLOOKUP(B21,'FCST 8871789615 35%'!B21:C41,2,FALSE)</f>
        <v>28.25</v>
      </c>
      <c r="D21" s="5"/>
      <c r="E21" s="5"/>
      <c r="G21" s="6" t="s">
        <v>312</v>
      </c>
      <c r="H21" s="14"/>
      <c r="I21" s="14"/>
      <c r="J21" s="14"/>
      <c r="K21" s="14"/>
      <c r="L21" s="238"/>
      <c r="M21" s="5"/>
      <c r="N21" s="30"/>
      <c r="O21" s="5"/>
      <c r="P21" s="5"/>
      <c r="Q21" s="5"/>
      <c r="R21" s="5"/>
      <c r="S21" s="5"/>
    </row>
    <row r="22" spans="2:19">
      <c r="B22" s="22" t="s">
        <v>412</v>
      </c>
      <c r="C22" s="3">
        <f>VLOOKUP(B22,'FCST 8871789615 35%'!B22:C42,2,FALSE)</f>
        <v>28.25</v>
      </c>
      <c r="D22" s="5"/>
      <c r="E22" s="5"/>
      <c r="G22" s="15" t="s">
        <v>43</v>
      </c>
      <c r="H22" s="16">
        <v>0</v>
      </c>
      <c r="I22" s="16">
        <v>0</v>
      </c>
      <c r="J22" s="16">
        <v>0</v>
      </c>
      <c r="K22" s="16">
        <v>0</v>
      </c>
      <c r="L22" s="239">
        <v>0</v>
      </c>
      <c r="M22" s="16">
        <v>0</v>
      </c>
      <c r="N22" s="16">
        <v>0</v>
      </c>
      <c r="O22" s="16">
        <v>0</v>
      </c>
      <c r="P22" s="16">
        <v>0</v>
      </c>
      <c r="Q22" s="16">
        <v>0</v>
      </c>
      <c r="R22" s="16">
        <v>0</v>
      </c>
      <c r="S22" s="16">
        <v>0</v>
      </c>
    </row>
    <row r="23" spans="2:19">
      <c r="B23" s="236"/>
      <c r="C23" s="139"/>
      <c r="D23" s="237"/>
      <c r="E23" s="237"/>
      <c r="G23" s="6" t="s">
        <v>265</v>
      </c>
      <c r="H23" s="14"/>
      <c r="I23" s="14"/>
      <c r="J23" s="14"/>
      <c r="K23" s="14"/>
      <c r="L23" s="238"/>
      <c r="M23" s="5"/>
      <c r="N23" s="5"/>
      <c r="O23" s="5"/>
      <c r="P23" s="5"/>
      <c r="Q23" s="5"/>
      <c r="R23" s="5"/>
      <c r="S23" s="5"/>
    </row>
    <row r="24" spans="2:19" hidden="1">
      <c r="B24" s="236"/>
      <c r="C24" s="139"/>
      <c r="D24" s="237"/>
      <c r="E24" s="237"/>
      <c r="G24" s="15" t="s">
        <v>43</v>
      </c>
      <c r="H24" s="16">
        <v>0</v>
      </c>
      <c r="I24" s="16">
        <v>0</v>
      </c>
      <c r="J24" s="16">
        <v>0</v>
      </c>
      <c r="K24" s="16">
        <v>0</v>
      </c>
      <c r="L24" s="239">
        <v>0</v>
      </c>
      <c r="M24" s="5"/>
      <c r="N24" s="5"/>
      <c r="O24" s="5"/>
      <c r="P24" s="5"/>
      <c r="Q24" s="5"/>
      <c r="R24" s="5"/>
      <c r="S24" s="5"/>
    </row>
    <row r="25" spans="2:19" hidden="1">
      <c r="B25" s="236"/>
      <c r="C25" s="139"/>
      <c r="D25" s="237"/>
      <c r="E25" s="237"/>
      <c r="G25" s="6" t="s">
        <v>266</v>
      </c>
      <c r="H25" s="14"/>
      <c r="I25" s="14"/>
      <c r="J25" s="14"/>
      <c r="K25" s="14"/>
      <c r="L25" s="238"/>
      <c r="M25" s="5"/>
      <c r="N25" s="5"/>
      <c r="O25" s="5"/>
      <c r="P25" s="5"/>
      <c r="Q25" s="5"/>
      <c r="R25" s="5"/>
      <c r="S25" s="5"/>
    </row>
    <row r="26" spans="2:19" hidden="1">
      <c r="B26" s="236"/>
      <c r="C26" s="139"/>
      <c r="D26" s="237"/>
      <c r="E26" s="237"/>
      <c r="G26" s="15" t="s">
        <v>43</v>
      </c>
      <c r="H26" s="16">
        <v>0</v>
      </c>
      <c r="I26" s="16">
        <v>0</v>
      </c>
      <c r="J26" s="16">
        <v>0</v>
      </c>
      <c r="K26" s="16">
        <v>0</v>
      </c>
      <c r="L26" s="239">
        <v>0</v>
      </c>
      <c r="M26" s="5"/>
      <c r="N26" s="5"/>
      <c r="O26" s="5"/>
      <c r="P26" s="5"/>
      <c r="Q26" s="5"/>
      <c r="R26" s="5"/>
      <c r="S26" s="5"/>
    </row>
    <row r="27" spans="2:19" hidden="1">
      <c r="B27" s="236"/>
      <c r="C27" s="139"/>
      <c r="D27" s="237"/>
      <c r="E27" s="237"/>
      <c r="G27" s="6" t="s">
        <v>256</v>
      </c>
      <c r="H27" s="14"/>
      <c r="I27" s="14"/>
      <c r="J27" s="14"/>
      <c r="K27" s="14"/>
      <c r="L27" s="238"/>
      <c r="M27" s="5"/>
      <c r="N27" s="5"/>
      <c r="O27" s="5"/>
      <c r="P27" s="5"/>
      <c r="Q27" s="5"/>
      <c r="R27" s="5"/>
      <c r="S27" s="5"/>
    </row>
    <row r="28" spans="2:19" hidden="1">
      <c r="B28" s="236"/>
      <c r="C28" s="139"/>
      <c r="D28" s="237"/>
      <c r="E28" s="237"/>
      <c r="G28" s="15" t="s">
        <v>43</v>
      </c>
      <c r="H28" s="16">
        <v>0</v>
      </c>
      <c r="I28" s="16">
        <v>0</v>
      </c>
      <c r="J28" s="16">
        <v>0</v>
      </c>
      <c r="K28" s="16">
        <v>0</v>
      </c>
      <c r="L28" s="239">
        <v>0</v>
      </c>
      <c r="M28" s="5"/>
      <c r="N28" s="5"/>
      <c r="O28" s="5"/>
      <c r="P28" s="5"/>
      <c r="Q28" s="5"/>
      <c r="R28" s="5"/>
      <c r="S28" s="5"/>
    </row>
    <row r="29" spans="2:19" hidden="1">
      <c r="B29" s="236"/>
      <c r="C29" s="139"/>
      <c r="D29" s="237"/>
      <c r="E29" s="237"/>
      <c r="G29" s="6" t="s">
        <v>286</v>
      </c>
      <c r="H29" s="14"/>
      <c r="I29" s="14"/>
      <c r="J29" s="14"/>
      <c r="K29" s="14"/>
      <c r="L29" s="238"/>
      <c r="M29" s="5"/>
      <c r="N29" s="5"/>
      <c r="O29" s="5"/>
      <c r="P29" s="5"/>
      <c r="Q29" s="5"/>
      <c r="R29" s="5"/>
      <c r="S29" s="5"/>
    </row>
    <row r="30" spans="2:19" hidden="1">
      <c r="B30" s="236"/>
      <c r="C30" s="139"/>
      <c r="D30" s="237"/>
      <c r="E30" s="237"/>
      <c r="G30" s="15" t="s">
        <v>43</v>
      </c>
      <c r="H30" s="16">
        <v>0</v>
      </c>
      <c r="I30" s="16">
        <v>0</v>
      </c>
      <c r="J30" s="16">
        <v>0</v>
      </c>
      <c r="K30" s="16">
        <v>0</v>
      </c>
      <c r="L30" s="239">
        <v>0</v>
      </c>
      <c r="M30" s="5"/>
      <c r="N30" s="5"/>
      <c r="O30" s="5"/>
      <c r="P30" s="5"/>
      <c r="Q30" s="5"/>
      <c r="R30" s="5"/>
      <c r="S30" s="5"/>
    </row>
    <row r="31" spans="2:19" hidden="1">
      <c r="B31" s="236"/>
      <c r="C31" s="139"/>
      <c r="D31" s="237"/>
      <c r="E31" s="237"/>
      <c r="G31" s="6" t="s">
        <v>291</v>
      </c>
      <c r="H31" s="14"/>
      <c r="J31" s="14"/>
      <c r="K31" s="14"/>
      <c r="L31" s="238"/>
      <c r="M31" s="5"/>
      <c r="N31" s="5"/>
      <c r="O31" s="5"/>
      <c r="P31" s="5"/>
      <c r="Q31" s="5"/>
      <c r="R31" s="5"/>
      <c r="S31" s="5"/>
    </row>
    <row r="32" spans="2:19" hidden="1">
      <c r="B32" s="236"/>
      <c r="C32" s="139"/>
      <c r="D32" s="237"/>
      <c r="E32" s="237"/>
      <c r="G32" s="15" t="s">
        <v>43</v>
      </c>
      <c r="H32" s="16">
        <v>0</v>
      </c>
      <c r="I32" s="16">
        <v>0</v>
      </c>
      <c r="J32" s="16">
        <v>0</v>
      </c>
      <c r="K32" s="16">
        <v>0</v>
      </c>
      <c r="L32" s="239">
        <v>0</v>
      </c>
      <c r="M32" s="5"/>
      <c r="N32" s="5"/>
      <c r="O32" s="5"/>
      <c r="P32" s="5"/>
      <c r="Q32" s="5"/>
      <c r="R32" s="5"/>
      <c r="S32" s="5"/>
    </row>
    <row r="33" spans="2:19" hidden="1">
      <c r="B33" s="236"/>
      <c r="C33" s="139"/>
      <c r="D33" s="237"/>
      <c r="E33" s="237"/>
      <c r="G33" s="6" t="s">
        <v>292</v>
      </c>
      <c r="H33" s="14"/>
      <c r="I33" s="14"/>
      <c r="J33" s="14"/>
      <c r="K33" s="14"/>
      <c r="L33" s="238"/>
      <c r="M33" s="5"/>
      <c r="N33" s="5"/>
      <c r="O33" s="5"/>
      <c r="P33" s="5"/>
      <c r="Q33" s="5"/>
      <c r="R33" s="5"/>
      <c r="S33" s="5"/>
    </row>
    <row r="34" spans="2:19" hidden="1">
      <c r="B34" s="236"/>
      <c r="C34" s="139"/>
      <c r="D34" s="237"/>
      <c r="E34" s="237"/>
      <c r="G34" s="15" t="s">
        <v>43</v>
      </c>
      <c r="H34" s="16">
        <v>0</v>
      </c>
      <c r="I34" s="16">
        <v>0</v>
      </c>
      <c r="J34" s="16">
        <v>0</v>
      </c>
      <c r="K34" s="16">
        <v>0</v>
      </c>
      <c r="L34" s="239">
        <v>0</v>
      </c>
      <c r="M34" s="5"/>
      <c r="N34" s="5"/>
      <c r="O34" s="5"/>
      <c r="P34" s="5"/>
      <c r="Q34" s="5"/>
      <c r="R34" s="5"/>
      <c r="S34" s="5"/>
    </row>
    <row r="35" spans="2:19" hidden="1">
      <c r="G35" s="6" t="s">
        <v>335</v>
      </c>
      <c r="H35" s="14"/>
      <c r="I35" s="14"/>
      <c r="J35" s="14"/>
      <c r="K35" s="14"/>
      <c r="L35" s="238"/>
      <c r="M35" s="5"/>
      <c r="N35" s="5"/>
      <c r="O35" s="5"/>
      <c r="P35" s="5"/>
      <c r="Q35" s="5"/>
      <c r="R35" s="5"/>
      <c r="S35" s="5"/>
    </row>
    <row r="36" spans="2:19" hidden="1">
      <c r="G36" s="15" t="s">
        <v>43</v>
      </c>
      <c r="H36" s="16">
        <v>0</v>
      </c>
      <c r="I36" s="16">
        <v>0</v>
      </c>
      <c r="J36" s="16">
        <v>0</v>
      </c>
      <c r="K36" s="16">
        <v>0</v>
      </c>
      <c r="L36" s="239">
        <v>0</v>
      </c>
      <c r="M36" s="5"/>
      <c r="N36" s="5"/>
      <c r="O36" s="5"/>
      <c r="P36" s="5"/>
      <c r="Q36" s="5"/>
      <c r="R36" s="5"/>
      <c r="S36" s="5"/>
    </row>
    <row r="37" spans="2:19" hidden="1">
      <c r="G37" s="6" t="s">
        <v>354</v>
      </c>
      <c r="H37" s="14"/>
      <c r="I37" s="14"/>
      <c r="J37" s="14"/>
      <c r="K37" s="14"/>
      <c r="L37" s="238"/>
      <c r="M37" s="5"/>
      <c r="N37" s="5"/>
      <c r="O37" s="5"/>
      <c r="P37" s="5"/>
      <c r="Q37" s="5"/>
      <c r="R37" s="5"/>
      <c r="S37" s="5"/>
    </row>
    <row r="38" spans="2:19" hidden="1">
      <c r="G38" s="15" t="s">
        <v>43</v>
      </c>
      <c r="H38" s="16">
        <v>0</v>
      </c>
      <c r="I38" s="16">
        <v>0</v>
      </c>
      <c r="J38" s="16">
        <v>0</v>
      </c>
      <c r="K38" s="16">
        <v>0</v>
      </c>
      <c r="L38" s="239">
        <v>0</v>
      </c>
      <c r="M38" s="5"/>
      <c r="N38" s="5"/>
      <c r="O38" s="5"/>
      <c r="P38" s="5"/>
      <c r="Q38" s="5"/>
      <c r="R38" s="5"/>
      <c r="S38" s="5"/>
    </row>
    <row r="39" spans="2:19" hidden="1">
      <c r="G39" s="6" t="s">
        <v>394</v>
      </c>
      <c r="H39" s="75"/>
      <c r="I39" s="75"/>
      <c r="J39" s="75"/>
      <c r="K39" s="75"/>
      <c r="L39" s="240"/>
      <c r="M39" s="5"/>
      <c r="N39" s="5"/>
      <c r="O39" s="5"/>
      <c r="P39" s="5"/>
      <c r="Q39" s="5"/>
      <c r="R39" s="5"/>
      <c r="S39" s="5"/>
    </row>
    <row r="40" spans="2:19" hidden="1">
      <c r="G40" s="15" t="s">
        <v>43</v>
      </c>
      <c r="H40" s="16">
        <v>0</v>
      </c>
      <c r="I40" s="16">
        <v>0</v>
      </c>
      <c r="J40" s="16">
        <v>0</v>
      </c>
      <c r="K40" s="16">
        <v>0</v>
      </c>
      <c r="L40" s="239">
        <v>0</v>
      </c>
      <c r="M40" s="5"/>
      <c r="N40" s="5"/>
      <c r="O40" s="5"/>
      <c r="P40" s="5"/>
      <c r="Q40" s="5"/>
      <c r="R40" s="5"/>
      <c r="S40" s="5"/>
    </row>
    <row r="41" spans="2:19" hidden="1">
      <c r="G41" s="6" t="s">
        <v>255</v>
      </c>
      <c r="H41" s="75"/>
      <c r="I41" s="75"/>
      <c r="J41" s="75"/>
      <c r="K41" s="75"/>
      <c r="L41" s="240"/>
      <c r="M41" s="5"/>
      <c r="N41" s="5"/>
      <c r="O41" s="5"/>
      <c r="P41" s="5"/>
      <c r="Q41" s="5"/>
      <c r="R41" s="5"/>
      <c r="S41" s="5"/>
    </row>
    <row r="42" spans="2:19" hidden="1">
      <c r="G42" s="15" t="s">
        <v>43</v>
      </c>
      <c r="H42" s="16">
        <v>0</v>
      </c>
      <c r="I42" s="16">
        <v>0</v>
      </c>
      <c r="J42" s="16">
        <v>0</v>
      </c>
      <c r="K42" s="16">
        <v>0</v>
      </c>
      <c r="L42" s="239">
        <v>0</v>
      </c>
      <c r="M42" s="5"/>
      <c r="N42" s="5"/>
      <c r="O42" s="5"/>
      <c r="P42" s="5"/>
      <c r="Q42" s="5"/>
      <c r="R42" s="5"/>
      <c r="S42" s="5"/>
    </row>
    <row r="43" spans="2:19" hidden="1">
      <c r="G43" s="6" t="s">
        <v>98</v>
      </c>
      <c r="H43" s="75"/>
      <c r="I43" s="75"/>
      <c r="J43" s="75"/>
      <c r="K43" s="75"/>
      <c r="L43" s="240"/>
      <c r="M43" s="5"/>
      <c r="N43" s="5"/>
      <c r="O43" s="5"/>
      <c r="P43" s="5"/>
      <c r="Q43" s="5"/>
      <c r="R43" s="5"/>
      <c r="S43" s="5"/>
    </row>
    <row r="44" spans="2:19">
      <c r="G44" s="15" t="s">
        <v>43</v>
      </c>
      <c r="H44" s="16">
        <v>0</v>
      </c>
      <c r="I44" s="16">
        <v>0</v>
      </c>
      <c r="J44" s="16">
        <v>0</v>
      </c>
      <c r="K44" s="16">
        <v>0</v>
      </c>
      <c r="L44" s="239">
        <v>0</v>
      </c>
      <c r="M44" s="16">
        <v>0</v>
      </c>
      <c r="N44" s="16">
        <v>0</v>
      </c>
      <c r="O44" s="16">
        <v>0</v>
      </c>
      <c r="P44" s="16">
        <v>0</v>
      </c>
      <c r="Q44" s="16">
        <v>0</v>
      </c>
      <c r="R44" s="16">
        <v>0</v>
      </c>
      <c r="S44" s="16">
        <v>0</v>
      </c>
    </row>
    <row r="45" spans="2:19">
      <c r="G45" s="6" t="s">
        <v>256</v>
      </c>
      <c r="H45" s="14"/>
      <c r="I45" s="14"/>
      <c r="J45" s="14"/>
      <c r="K45" s="14"/>
      <c r="L45" s="238"/>
      <c r="M45" s="5"/>
      <c r="N45" s="5"/>
      <c r="O45" s="5"/>
      <c r="P45" s="5"/>
      <c r="Q45" s="5"/>
      <c r="R45" s="5"/>
      <c r="S45" s="14">
        <v>31.90</v>
      </c>
    </row>
    <row r="46" spans="2:19">
      <c r="G46" s="15" t="s">
        <v>43</v>
      </c>
      <c r="H46" s="16">
        <v>0</v>
      </c>
      <c r="I46" s="16">
        <v>0</v>
      </c>
      <c r="J46" s="16">
        <v>0</v>
      </c>
      <c r="K46" s="16">
        <v>0</v>
      </c>
      <c r="L46" s="239">
        <v>0</v>
      </c>
      <c r="M46" s="16">
        <v>0</v>
      </c>
      <c r="N46" s="16">
        <v>0</v>
      </c>
      <c r="O46" s="16">
        <v>0</v>
      </c>
      <c r="P46" s="16">
        <v>0</v>
      </c>
      <c r="Q46" s="16">
        <v>0</v>
      </c>
      <c r="R46" s="16">
        <v>0</v>
      </c>
      <c r="S46" s="16">
        <v>1142.23</v>
      </c>
    </row>
    <row r="47" spans="2:19">
      <c r="G47" s="27" t="s">
        <v>30</v>
      </c>
      <c r="H47" s="235">
        <v>0</v>
      </c>
      <c r="I47" s="235">
        <v>1550.21</v>
      </c>
      <c r="J47" s="235">
        <v>1550.21</v>
      </c>
      <c r="K47" s="235">
        <v>1552.88</v>
      </c>
      <c r="L47" s="235">
        <v>1552.88</v>
      </c>
      <c r="M47" s="241">
        <v>1552.88</v>
      </c>
      <c r="N47" s="241">
        <v>1552.88</v>
      </c>
      <c r="O47" s="241">
        <v>1552.88</v>
      </c>
      <c r="P47" s="241">
        <v>1552.88</v>
      </c>
      <c r="Q47" s="241">
        <v>1552.88</v>
      </c>
      <c r="R47" s="241">
        <v>1552.88</v>
      </c>
      <c r="S47" s="241">
        <v>1553.29</v>
      </c>
    </row>
    <row r="48" spans="2:19">
      <c r="G48" s="27" t="s">
        <v>44</v>
      </c>
      <c r="H48" s="235">
        <v>0</v>
      </c>
      <c r="I48" s="235">
        <v>0</v>
      </c>
      <c r="J48" s="235">
        <v>0</v>
      </c>
      <c r="K48" s="235">
        <v>0</v>
      </c>
      <c r="L48" s="235">
        <v>0</v>
      </c>
      <c r="M48" s="235">
        <v>0</v>
      </c>
      <c r="N48" s="235">
        <v>0</v>
      </c>
      <c r="O48" s="235">
        <v>0</v>
      </c>
      <c r="P48" s="235">
        <v>0</v>
      </c>
      <c r="Q48" s="235">
        <v>0</v>
      </c>
      <c r="R48" s="235">
        <v>0</v>
      </c>
      <c r="S48" s="235">
        <v>0</v>
      </c>
    </row>
    <row r="50" spans="7:19">
      <c r="G50" s="27" t="s">
        <v>79</v>
      </c>
      <c r="H50" s="235">
        <v>0</v>
      </c>
      <c r="I50" s="235">
        <v>1550.21</v>
      </c>
      <c r="J50" s="235">
        <v>1550.21</v>
      </c>
      <c r="K50" s="235">
        <v>1552.88</v>
      </c>
      <c r="L50" s="235">
        <v>1552.88</v>
      </c>
      <c r="M50" s="235">
        <v>1552.88</v>
      </c>
      <c r="N50" s="235">
        <v>1552.88</v>
      </c>
      <c r="O50" s="235">
        <v>1552.88</v>
      </c>
      <c r="P50" s="235">
        <v>1552.88</v>
      </c>
      <c r="Q50" s="235">
        <v>1552.88</v>
      </c>
      <c r="R50" s="235">
        <v>1552.88</v>
      </c>
      <c r="S50" s="235">
        <v>1553.29</v>
      </c>
    </row>
    <row r="51" spans="7:19">
      <c r="H51" s="12">
        <v>0</v>
      </c>
      <c r="I51" s="12">
        <v>1553.43</v>
      </c>
      <c r="J51" s="12">
        <v>1553.43</v>
      </c>
      <c r="K51" s="12">
        <v>1553.43</v>
      </c>
      <c r="L51" s="12">
        <v>1553.43</v>
      </c>
      <c r="M51" s="12">
        <v>1553.43</v>
      </c>
      <c r="N51" s="12">
        <v>1553.43</v>
      </c>
      <c r="O51" s="12">
        <v>1553.43</v>
      </c>
      <c r="P51" s="12">
        <v>1553.43</v>
      </c>
      <c r="Q51" s="12">
        <v>1553.43</v>
      </c>
      <c r="R51" s="12">
        <v>1553.43</v>
      </c>
      <c r="S51" s="12">
        <v>1553.43</v>
      </c>
    </row>
    <row r="52" spans="7:19">
      <c r="H52" s="30">
        <v>0</v>
      </c>
      <c r="I52" s="30">
        <v>3.22</v>
      </c>
      <c r="J52" s="30">
        <v>3.22</v>
      </c>
      <c r="K52" s="30">
        <v>0.67090909090893547</v>
      </c>
      <c r="L52" s="30">
        <v>0.67090909090893547</v>
      </c>
      <c r="M52" s="30">
        <v>0.67090909090893547</v>
      </c>
      <c r="N52" s="30">
        <v>0.67090909090893547</v>
      </c>
      <c r="O52" s="30">
        <v>0.67090909090893547</v>
      </c>
      <c r="P52" s="30">
        <v>0.67090909090893547</v>
      </c>
      <c r="Q52" s="30">
        <v>0.67090909090893547</v>
      </c>
      <c r="R52" s="30">
        <v>0.67090909090893547</v>
      </c>
      <c r="S52" s="30">
        <v>0.16890909090966488</v>
      </c>
    </row>
    <row r="53" spans="7:19">
      <c r="G53" s="17"/>
      <c r="I53" s="17"/>
    </row>
    <row r="54" spans="7:19">
      <c r="G54" s="126"/>
    </row>
    <row r="56" spans="7:19">
      <c r="G56" s="17"/>
    </row>
    <row r="60" spans="7:19">
      <c r="G60" s="17"/>
    </row>
  </sheetData>
  <conditionalFormatting sqref="B2">
    <cfRule type="duplicateValues" dxfId="20" priority="9"/>
  </conditionalFormatting>
  <conditionalFormatting sqref="B3:B7">
    <cfRule type="duplicateValues" dxfId="19" priority="12"/>
  </conditionalFormatting>
  <conditionalFormatting sqref="B8">
    <cfRule type="duplicateValues" dxfId="18" priority="8"/>
  </conditionalFormatting>
  <conditionalFormatting sqref="B9:B10">
    <cfRule type="duplicateValues" dxfId="17" priority="13"/>
  </conditionalFormatting>
  <conditionalFormatting sqref="B11">
    <cfRule type="duplicateValues" dxfId="16" priority="7"/>
  </conditionalFormatting>
  <conditionalFormatting sqref="B12:B13">
    <cfRule type="duplicateValues" dxfId="15" priority="11"/>
  </conditionalFormatting>
  <conditionalFormatting sqref="B14:B15">
    <cfRule type="duplicateValues" dxfId="14" priority="10"/>
  </conditionalFormatting>
  <conditionalFormatting sqref="B16">
    <cfRule type="duplicateValues" dxfId="13" priority="6"/>
  </conditionalFormatting>
  <conditionalFormatting sqref="B17">
    <cfRule type="duplicateValues" dxfId="12" priority="5"/>
  </conditionalFormatting>
  <conditionalFormatting sqref="B18:B19">
    <cfRule type="duplicateValues" dxfId="11" priority="14"/>
  </conditionalFormatting>
  <conditionalFormatting sqref="B20:B21">
    <cfRule type="duplicateValues" dxfId="10" priority="4"/>
  </conditionalFormatting>
  <conditionalFormatting sqref="B22">
    <cfRule type="duplicateValues" dxfId="9" priority="3"/>
  </conditionalFormatting>
  <conditionalFormatting sqref="B23">
    <cfRule type="duplicateValues" dxfId="8" priority="19"/>
  </conditionalFormatting>
  <conditionalFormatting sqref="B24:B25">
    <cfRule type="duplicateValues" dxfId="7" priority="18"/>
  </conditionalFormatting>
  <conditionalFormatting sqref="B26:B30">
    <cfRule type="duplicateValues" dxfId="6" priority="17"/>
  </conditionalFormatting>
  <conditionalFormatting sqref="B31:B33">
    <cfRule type="duplicateValues" dxfId="5" priority="16"/>
  </conditionalFormatting>
  <conditionalFormatting sqref="B34">
    <cfRule type="duplicateValues" dxfId="4" priority="15"/>
  </conditionalFormatting>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43E-A804-4B3A-A1F7-4D78CF70E291}">
  <sheetPr codeName="Sheet8"/>
  <dimension ref="A1:BA49"/>
  <sheetViews>
    <sheetView zoomScale="70" zoomScaleNormal="70" workbookViewId="0">
      <pane xSplit="8" ySplit="9" topLeftCell="I10" activePane="bottomRight" state="frozen"/>
      <selection activeCell="AN41" activeCellId="1" sqref="AN38 AN41"/>
      <selection pane="topRight" activeCell="AN41" activeCellId="1" sqref="AN38 AN41"/>
      <selection pane="bottomLeft" activeCell="AN41" activeCellId="1" sqref="AN38 AN41"/>
      <selection pane="bottomRight" activeCell="AP18" sqref="AP18"/>
    </sheetView>
  </sheetViews>
  <sheetFormatPr defaultColWidth="12.1796875" defaultRowHeight="14.5"/>
  <cols>
    <col min="1" max="1" width="16.1796875" style="9" customWidth="1"/>
    <col min="2" max="2" width="15.453125" style="9" customWidth="1"/>
    <col min="3" max="3" width="11.1796875" style="9" customWidth="1"/>
    <col min="4" max="4" width="13.81640625" style="9" customWidth="1"/>
    <col min="5" max="5" width="12.54296875" style="9" bestFit="1" customWidth="1"/>
    <col min="6" max="6" width="21.81640625" style="9" customWidth="1"/>
    <col min="7" max="7" width="20.1796875" style="9" customWidth="1"/>
    <col min="8" max="8" width="19.54296875" style="9" customWidth="1"/>
    <col min="9" max="9" width="18.1796875" style="9" hidden="1" customWidth="1"/>
    <col min="10" max="10" width="18.81640625" style="9" hidden="1" customWidth="1"/>
    <col min="11" max="11" width="18.54296875" style="9" hidden="1" customWidth="1"/>
    <col min="12" max="12" width="18.81640625" style="9" hidden="1" customWidth="1"/>
    <col min="13" max="13" width="20.81640625" style="9" hidden="1" customWidth="1"/>
    <col min="14" max="14" width="19.26953125" style="9" hidden="1" customWidth="1"/>
    <col min="15" max="15" width="18.1796875" style="9" hidden="1" customWidth="1"/>
    <col min="16" max="16" width="18.54296875" style="9" hidden="1" customWidth="1"/>
    <col min="17" max="17" width="19.1796875" style="9" hidden="1" customWidth="1"/>
    <col min="18" max="18" width="18.1796875" style="9" hidden="1" customWidth="1"/>
    <col min="19" max="19" width="20.453125" style="9" hidden="1" customWidth="1"/>
    <col min="20" max="20" width="18.81640625" style="9" hidden="1" customWidth="1"/>
    <col min="21" max="21" width="18.1796875" style="9" hidden="1" customWidth="1"/>
    <col min="22" max="22" width="18.81640625" style="9" hidden="1" customWidth="1"/>
    <col min="23" max="23" width="18.54296875" style="9" hidden="1" customWidth="1"/>
    <col min="24" max="24" width="12.54296875" style="9" hidden="1" customWidth="1"/>
    <col min="25" max="25" width="11" style="9" hidden="1" customWidth="1"/>
    <col min="26" max="27" width="12.1796875" style="9" hidden="1" customWidth="1"/>
    <col min="28" max="28" width="12" style="9" hidden="1" customWidth="1"/>
    <col min="29" max="29" width="12.81640625" style="9" hidden="1" customWidth="1"/>
    <col min="30" max="30" width="13.453125" style="9" hidden="1" customWidth="1"/>
    <col min="31" max="31" width="16.54296875" style="9" hidden="1" customWidth="1"/>
    <col min="32" max="32" width="13.54296875" style="9" hidden="1" customWidth="1"/>
    <col min="33" max="34" width="12.1796875" style="9" hidden="1" customWidth="1"/>
    <col min="35" max="36" width="0" style="9" hidden="1" customWidth="1"/>
    <col min="37" max="37" width="12.54296875" style="9" hidden="1" customWidth="1"/>
    <col min="38" max="38" width="0" style="9" hidden="1" customWidth="1"/>
    <col min="39" max="39" width="14.26953125" style="9" customWidth="1"/>
    <col min="40" max="41" width="12.1796875" style="9" bestFit="1"/>
    <col min="42" max="42" width="14.1796875" style="9" bestFit="1" customWidth="1"/>
    <col min="43" max="618" width="12.1796875" style="9" bestFit="1"/>
    <col min="619" max="16384" width="12.1796875" style="9"/>
  </cols>
  <sheetData>
    <row r="1" spans="1:53">
      <c r="A1" s="39"/>
      <c r="B1" s="39"/>
      <c r="C1" s="39"/>
      <c r="D1" s="39"/>
      <c r="E1" s="39"/>
      <c r="F1" s="39"/>
      <c r="H1" s="40"/>
      <c r="I1" s="41"/>
      <c r="J1" s="41"/>
      <c r="K1" s="41"/>
      <c r="L1" s="41"/>
      <c r="M1" s="41"/>
      <c r="N1" s="41"/>
      <c r="O1" s="41"/>
      <c r="P1" s="41"/>
      <c r="Q1" s="41"/>
      <c r="R1" s="41"/>
      <c r="S1" s="41"/>
      <c r="T1" s="41"/>
      <c r="U1" s="41"/>
      <c r="V1" s="41"/>
      <c r="W1" s="41"/>
    </row>
    <row r="2" spans="1:53">
      <c r="A2" s="39"/>
      <c r="B2" s="512" t="s">
        <v>45</v>
      </c>
      <c r="C2" s="512"/>
      <c r="D2" s="39"/>
      <c r="E2" s="151"/>
      <c r="F2" s="39"/>
      <c r="G2" s="41" t="s">
        <v>39</v>
      </c>
      <c r="H2" s="41">
        <f>H4-H5</f>
        <v>520635.13</v>
      </c>
      <c r="I2" s="513" t="s">
        <v>1</v>
      </c>
      <c r="J2" s="514"/>
      <c r="K2" s="515"/>
      <c r="L2" s="516" t="s">
        <v>2</v>
      </c>
      <c r="M2" s="517"/>
      <c r="N2" s="518"/>
      <c r="O2" s="519" t="s">
        <v>3</v>
      </c>
      <c r="P2" s="520"/>
      <c r="Q2" s="521"/>
      <c r="R2" s="522" t="s">
        <v>0</v>
      </c>
      <c r="S2" s="523"/>
      <c r="T2" s="524"/>
      <c r="U2" s="513" t="s">
        <v>1</v>
      </c>
      <c r="V2" s="514"/>
      <c r="W2" s="515"/>
      <c r="X2" s="516" t="s">
        <v>2</v>
      </c>
      <c r="Y2" s="517"/>
      <c r="Z2" s="518"/>
      <c r="AA2" s="519" t="s">
        <v>3</v>
      </c>
      <c r="AB2" s="520"/>
      <c r="AC2" s="521"/>
      <c r="AD2" s="508" t="s">
        <v>0</v>
      </c>
      <c r="AE2" s="508"/>
      <c r="AF2" s="508"/>
      <c r="AG2" s="509" t="s">
        <v>1</v>
      </c>
      <c r="AH2" s="509"/>
      <c r="AI2" s="509"/>
      <c r="AJ2" s="510" t="s">
        <v>2</v>
      </c>
      <c r="AK2" s="510"/>
      <c r="AL2" s="510"/>
      <c r="AM2" s="511" t="s">
        <v>3</v>
      </c>
      <c r="AN2" s="511"/>
      <c r="AO2" s="511"/>
      <c r="AP2" s="508" t="s">
        <v>0</v>
      </c>
      <c r="AQ2" s="508"/>
      <c r="AR2" s="508"/>
      <c r="AS2" s="509" t="s">
        <v>1</v>
      </c>
      <c r="AT2" s="509"/>
      <c r="AU2" s="509"/>
      <c r="AV2" s="510" t="s">
        <v>2</v>
      </c>
      <c r="AW2" s="510"/>
      <c r="AX2" s="510"/>
      <c r="AY2" s="511" t="s">
        <v>3</v>
      </c>
      <c r="AZ2" s="511"/>
      <c r="BA2" s="511"/>
    </row>
    <row r="3" spans="1:53">
      <c r="A3" s="39"/>
      <c r="B3" s="42" t="s">
        <v>46</v>
      </c>
      <c r="C3" s="42" t="s">
        <v>47</v>
      </c>
      <c r="D3" s="39"/>
      <c r="E3" s="386">
        <v>146121.96</v>
      </c>
      <c r="F3" s="39"/>
      <c r="G3" s="2" t="s">
        <v>4</v>
      </c>
      <c r="H3" s="2" t="s">
        <v>5</v>
      </c>
      <c r="I3" s="4" t="s">
        <v>29</v>
      </c>
      <c r="J3" s="4">
        <v>45292</v>
      </c>
      <c r="K3" s="8">
        <v>45323</v>
      </c>
      <c r="L3" s="4">
        <v>45352</v>
      </c>
      <c r="M3" s="4">
        <v>45383</v>
      </c>
      <c r="N3" s="4">
        <v>45413</v>
      </c>
      <c r="O3" s="4">
        <v>45444</v>
      </c>
      <c r="P3" s="4">
        <v>45474</v>
      </c>
      <c r="Q3" s="8">
        <v>45505</v>
      </c>
      <c r="R3" s="4">
        <v>45536</v>
      </c>
      <c r="S3" s="4">
        <v>45566</v>
      </c>
      <c r="T3" s="4">
        <v>45597</v>
      </c>
      <c r="U3" s="4">
        <v>45627</v>
      </c>
      <c r="V3" s="4">
        <v>45658</v>
      </c>
      <c r="W3" s="8">
        <v>45689</v>
      </c>
      <c r="X3" s="4">
        <v>45717</v>
      </c>
      <c r="Y3" s="8">
        <v>45748</v>
      </c>
      <c r="Z3" s="4">
        <v>45778</v>
      </c>
      <c r="AA3" s="8">
        <v>45809</v>
      </c>
      <c r="AB3" s="4">
        <v>45839</v>
      </c>
      <c r="AC3" s="8">
        <v>45870</v>
      </c>
      <c r="AD3" s="8">
        <v>45901</v>
      </c>
      <c r="AE3" s="8">
        <v>45931</v>
      </c>
      <c r="AF3" s="8">
        <v>45962</v>
      </c>
      <c r="AG3" s="8">
        <v>45992</v>
      </c>
      <c r="AH3" s="8">
        <v>46023</v>
      </c>
      <c r="AI3" s="8">
        <v>46054</v>
      </c>
      <c r="AJ3" s="8">
        <v>46082</v>
      </c>
      <c r="AK3" s="8">
        <v>46113</v>
      </c>
      <c r="AL3" s="8">
        <v>46143</v>
      </c>
      <c r="AM3" s="8">
        <v>46174</v>
      </c>
      <c r="AN3" s="8">
        <v>46204</v>
      </c>
      <c r="AO3" s="8">
        <v>46235</v>
      </c>
      <c r="AP3" s="8">
        <v>46266</v>
      </c>
      <c r="AQ3" s="8">
        <v>46296</v>
      </c>
      <c r="AR3" s="8">
        <v>46327</v>
      </c>
      <c r="AS3" s="8">
        <v>46357</v>
      </c>
      <c r="AT3" s="8">
        <v>46388</v>
      </c>
      <c r="AU3" s="8">
        <v>46419</v>
      </c>
      <c r="AV3" s="8">
        <v>46447</v>
      </c>
      <c r="AW3" s="8">
        <v>46478</v>
      </c>
      <c r="AX3" s="8">
        <v>46508</v>
      </c>
      <c r="AY3" s="8">
        <v>46539</v>
      </c>
      <c r="AZ3" s="8">
        <v>46569</v>
      </c>
      <c r="BA3" s="8">
        <v>46600</v>
      </c>
    </row>
    <row r="4" spans="1:53">
      <c r="A4" s="43" t="s">
        <v>100</v>
      </c>
      <c r="B4" s="44" t="s">
        <v>23</v>
      </c>
      <c r="C4" s="44" t="s">
        <v>27</v>
      </c>
      <c r="D4" s="39"/>
      <c r="E4" s="160">
        <v>117650.65</v>
      </c>
      <c r="F4" s="39"/>
      <c r="G4" s="45" t="s">
        <v>32</v>
      </c>
      <c r="H4" s="46">
        <f>IFERROR(SUM(I4:AC4),0)</f>
        <v>1499689.86</v>
      </c>
      <c r="I4" s="47">
        <v>360376.27</v>
      </c>
      <c r="J4" s="47">
        <v>61161.80</v>
      </c>
      <c r="K4" s="47">
        <v>61899.73</v>
      </c>
      <c r="L4" s="47">
        <v>66615.16</v>
      </c>
      <c r="M4" s="47">
        <v>50361.14</v>
      </c>
      <c r="N4" s="47">
        <v>51876.25</v>
      </c>
      <c r="O4" s="47">
        <v>18347.39</v>
      </c>
      <c r="P4" s="47">
        <v>43563.13</v>
      </c>
      <c r="Q4" s="47">
        <v>8695.04</v>
      </c>
      <c r="R4" s="47">
        <v>57596.02</v>
      </c>
      <c r="S4" s="47">
        <v>66021.04</v>
      </c>
      <c r="T4" s="47">
        <v>59697.77</v>
      </c>
      <c r="U4" s="47">
        <v>23513.13</v>
      </c>
      <c r="V4" s="47">
        <v>50702.88</v>
      </c>
      <c r="W4" s="47">
        <v>54412.07</v>
      </c>
      <c r="X4" s="47">
        <v>85770.32</v>
      </c>
      <c r="Y4" s="47">
        <v>49284.44</v>
      </c>
      <c r="Z4" s="47">
        <v>108004.92</v>
      </c>
      <c r="AA4" s="47">
        <v>101741.81</v>
      </c>
      <c r="AB4" s="47">
        <v>56651.25</v>
      </c>
      <c r="AC4" s="47">
        <v>63398.30</v>
      </c>
      <c r="AD4" s="47" cm="1">
        <f t="array" aca="1" ref="AD4" ca="1">SUMPRODUCT(SUBTOTAL(109,OFFSET(AD$10,ROW(AD$10:AD$266)-ROW(AD$10),,1)),--($G$10:$G$266 = $G4))</f>
        <v>115090.81</v>
      </c>
      <c r="AE4" s="47" cm="1">
        <f t="array" aca="1" ref="AE4" ca="1">SUMPRODUCT(SUBTOTAL(109,OFFSET(AE$10,ROW(AE$10:AE$266)-ROW(AE$10),,1)),--($G$10:$G$266 = $G4))</f>
        <v>155422.54</v>
      </c>
      <c r="AF4" s="47" cm="1">
        <f t="array" aca="1" ref="AF4" ca="1">SUMPRODUCT(SUBTOTAL(109,OFFSET(AF$10,ROW(AF$10:AF$266)-ROW(AF$10),,1)),--($G$10:$G$266 = $G4))</f>
        <v>121659.79</v>
      </c>
      <c r="AG4" s="47" cm="1">
        <f t="array" aca="1" ref="AG4" ca="1">SUMPRODUCT(SUBTOTAL(109,OFFSET(AG$10,ROW(AG$10:AG$266)-ROW(AG$10),,1)),--($G$10:$G$266 = $G4))</f>
        <v>105805.30</v>
      </c>
      <c r="AH4" s="47" cm="1">
        <f t="array" aca="1" ref="AH4" ca="1">SUMPRODUCT(SUBTOTAL(109,OFFSET(AH$10,ROW(AH$10:AH$266)-ROW(AH$10),,1)),--($G$10:$G$266 = $G4))</f>
        <v>115897.59</v>
      </c>
      <c r="AI4" s="47" cm="1">
        <f t="array" aca="1" ref="AI4" ca="1">SUMPRODUCT(SUBTOTAL(109,OFFSET(AI$10,ROW(AI$10:AI$266)-ROW(AI$10),,1)),--($G$10:$G$266 = $G4))</f>
        <v>147251.08</v>
      </c>
      <c r="AJ4" s="47" cm="1">
        <f t="array" aca="1" ref="AJ4" ca="1">SUMPRODUCT(SUBTOTAL(109,OFFSET(AJ$10,ROW(AJ$10:AJ$266)-ROW(AJ$10),,1)),--($G$10:$G$266 = $G4))</f>
        <v>124738.80</v>
      </c>
      <c r="AK4" s="47" cm="1">
        <f t="array" aca="1" ref="AK4" ca="1">SUMPRODUCT(SUBTOTAL(109,OFFSET(AK$10,ROW(AK$10:AK$266)-ROW(AK$10),,1)),--($G$10:$G$266 = $G4))</f>
        <v>172298.89</v>
      </c>
      <c r="AL4" s="47" cm="1">
        <f t="array" aca="1" ref="AL4" ca="1">SUMPRODUCT(SUBTOTAL(109,OFFSET(AL$10,ROW(AL$10:AL$266)-ROW(AL$10),,1)),--($G$10:$G$266 = $G4))</f>
        <v>137979.80</v>
      </c>
      <c r="AM4" s="47" cm="1">
        <f t="array" aca="1" ref="AM4" ca="1">SUMPRODUCT(SUBTOTAL(109,OFFSET(AM$10,ROW(AM$10:AM$266)-ROW(AM$10),,1)),--($G$10:$G$266 = $G4))</f>
        <v>88660.39</v>
      </c>
      <c r="AN4" s="47" cm="1">
        <f t="array" aca="1" ref="AN4" ca="1">SUMPRODUCT(SUBTOTAL(109,OFFSET(AN$10,ROW(AN$10:AN$266)-ROW(AN$10),,1)),--($G$10:$G$266 = $G4))</f>
        <v>81348.48</v>
      </c>
      <c r="AO4" s="47" cm="1">
        <f t="array" aca="1" ref="AO4" ca="1">SUMPRODUCT(SUBTOTAL(109,OFFSET(AO$10,ROW(AO$10:AO$266)-ROW(AO$10),,1)),--($G$10:$G$266 = $G4))</f>
        <v>10580.63</v>
      </c>
      <c r="AP4" s="47" cm="1">
        <f t="array" aca="1" ref="AP4" ca="1">SUMPRODUCT(SUBTOTAL(109,OFFSET(AP$10,ROW(AP$10:AP$266)-ROW(AP$10),,1)),--($G$10:$G$266 = $G4))</f>
        <v>10581.45</v>
      </c>
      <c r="AQ4" s="47" cm="1">
        <f t="array" aca="1" ref="AQ4" ca="1">SUMPRODUCT(SUBTOTAL(109,OFFSET(AQ$10,ROW(AQ$10:AQ$266)-ROW(AQ$10),,1)),--($G$10:$G$266 = $G4))</f>
        <v>10582.26</v>
      </c>
      <c r="AR4" s="47" cm="1">
        <f t="array" aca="1" ref="AR4" ca="1">SUMPRODUCT(SUBTOTAL(109,OFFSET(AR$10,ROW(AR$10:AR$266)-ROW(AR$10),,1)),--($G$10:$G$266 = $G4))</f>
        <v>10583.08</v>
      </c>
      <c r="AS4" s="47" cm="1">
        <f t="array" aca="1" ref="AS4" ca="1">SUMPRODUCT(SUBTOTAL(109,OFFSET(AS$10,ROW(AS$10:AS$266)-ROW(AS$10),,1)),--($G$10:$G$266 = $G4))</f>
        <v>10583.89</v>
      </c>
      <c r="AT4" s="47" cm="1">
        <f t="array" aca="1" ref="AT4" ca="1">SUMPRODUCT(SUBTOTAL(109,OFFSET(AT$10,ROW(AT$10:AT$266)-ROW(AT$10),,1)),--($G$10:$G$266 = $G4))</f>
        <v>10584.70</v>
      </c>
      <c r="AU4" s="47" cm="1">
        <f t="array" aca="1" ref="AU4" ca="1">SUMPRODUCT(SUBTOTAL(109,OFFSET(AU$10,ROW(AU$10:AU$266)-ROW(AU$10),,1)),--($G$10:$G$266 = $G4))</f>
        <v>10585.52</v>
      </c>
      <c r="AV4" s="47" cm="1">
        <f t="array" aca="1" ref="AV4" ca="1">SUMPRODUCT(SUBTOTAL(109,OFFSET(AV$10,ROW(AV$10:AV$266)-ROW(AV$10),,1)),--($G$10:$G$266 = $G4))</f>
        <v>10586.33</v>
      </c>
      <c r="AW4" s="47" cm="1">
        <f t="array" aca="1" ref="AW4" ca="1">SUMPRODUCT(SUBTOTAL(109,OFFSET(AW$10,ROW(AW$10:AW$266)-ROW(AW$10),,1)),--($G$10:$G$266 = $G4))</f>
        <v>10587.14</v>
      </c>
      <c r="AX4" s="47" cm="1">
        <f t="array" aca="1" ref="AX4" ca="1">SUMPRODUCT(SUBTOTAL(109,OFFSET(AX$10,ROW(AX$10:AX$266)-ROW(AX$10),,1)),--($G$10:$G$266 = $G4))</f>
        <v>10587.96</v>
      </c>
      <c r="AY4" s="47" cm="1">
        <f t="array" aca="1" ref="AY4" ca="1">SUMPRODUCT(SUBTOTAL(109,OFFSET(AY$10,ROW(AY$10:AY$266)-ROW(AY$10),,1)),--($G$10:$G$266 = $G4))</f>
        <v>10588.77</v>
      </c>
      <c r="AZ4" s="47" cm="1">
        <f t="array" aca="1" ref="AZ4" ca="1">SUMPRODUCT(SUBTOTAL(109,OFFSET(AZ$10,ROW(AZ$10:AZ$266)-ROW(AZ$10),,1)),--($G$10:$G$266 = $G4))</f>
        <v>10589.59</v>
      </c>
      <c r="BA4" s="47" cm="1">
        <f t="array" aca="1" ref="BA4" ca="1">SUMPRODUCT(SUBTOTAL(109,OFFSET(BA$10,ROW(BA$10:BA$266)-ROW(BA$10),,1)),--($G$10:$G$266 = $G4))</f>
        <v>10590.40</v>
      </c>
    </row>
    <row r="5" spans="1:53">
      <c r="A5" s="43" t="s">
        <v>20</v>
      </c>
      <c r="B5" s="44" t="s">
        <v>38</v>
      </c>
      <c r="C5" s="44" t="s">
        <v>48</v>
      </c>
      <c r="D5" s="39"/>
      <c r="E5" s="126">
        <f>SUM(E3:E4)</f>
        <v>263772.61</v>
      </c>
      <c r="F5" s="398"/>
      <c r="G5" s="45" t="s">
        <v>33</v>
      </c>
      <c r="H5" s="46">
        <f>IFERROR(SUM(I5:AC5),0)</f>
        <v>979054.73</v>
      </c>
      <c r="I5" s="47">
        <v>226605.71</v>
      </c>
      <c r="J5" s="47">
        <v>51769.01</v>
      </c>
      <c r="K5" s="47">
        <v>42968.90</v>
      </c>
      <c r="L5" s="47">
        <v>36361.18</v>
      </c>
      <c r="M5" s="47">
        <v>35001.65</v>
      </c>
      <c r="N5" s="47">
        <v>29440.99</v>
      </c>
      <c r="O5" s="47">
        <v>14796.85</v>
      </c>
      <c r="P5" s="47">
        <v>29525.57</v>
      </c>
      <c r="Q5" s="47">
        <v>6524.22</v>
      </c>
      <c r="R5" s="47">
        <v>30888.22</v>
      </c>
      <c r="S5" s="47">
        <v>38762.84</v>
      </c>
      <c r="T5" s="47">
        <v>37408.36</v>
      </c>
      <c r="U5" s="47">
        <v>15935.18</v>
      </c>
      <c r="V5" s="47">
        <v>21277.65</v>
      </c>
      <c r="W5" s="47">
        <v>33883.15</v>
      </c>
      <c r="X5" s="47">
        <v>51425.23</v>
      </c>
      <c r="Y5" s="47">
        <v>40078.35</v>
      </c>
      <c r="Z5" s="47">
        <v>63802.36</v>
      </c>
      <c r="AA5" s="47">
        <v>67838.47</v>
      </c>
      <c r="AB5" s="47">
        <v>70173.23</v>
      </c>
      <c r="AC5" s="47">
        <v>34587.60</v>
      </c>
      <c r="AD5" s="47">
        <f t="shared" ref="AD5:BA5" si="0">SUM(AD11,AD18,AD24:AD24)</f>
        <v>62602.34</v>
      </c>
      <c r="AE5" s="47">
        <f t="shared" si="0"/>
        <v>73208.14</v>
      </c>
      <c r="AF5" s="47">
        <f t="shared" si="0"/>
        <v>74792.41</v>
      </c>
      <c r="AG5" s="47">
        <f t="shared" si="0"/>
        <v>66698.34</v>
      </c>
      <c r="AH5" s="47">
        <f t="shared" si="0"/>
        <v>73144.40</v>
      </c>
      <c r="AI5" s="47">
        <f t="shared" si="0"/>
        <v>84619.17</v>
      </c>
      <c r="AJ5" s="47">
        <f t="shared" si="0"/>
        <v>121874.76</v>
      </c>
      <c r="AK5" s="47">
        <f t="shared" si="0"/>
        <v>87071.53</v>
      </c>
      <c r="AL5" s="47">
        <f t="shared" si="0"/>
        <v>82995.73</v>
      </c>
      <c r="AM5" s="47">
        <f t="shared" si="0"/>
        <v>88395.34</v>
      </c>
      <c r="AN5" s="47">
        <f t="shared" si="0"/>
        <v>33287.73</v>
      </c>
      <c r="AO5" s="47">
        <f t="shared" si="0"/>
        <v>8325.03</v>
      </c>
      <c r="AP5" s="47">
        <f t="shared" si="0"/>
        <v>0</v>
      </c>
      <c r="AQ5" s="47">
        <f t="shared" si="0"/>
        <v>0</v>
      </c>
      <c r="AR5" s="47">
        <f t="shared" si="0"/>
        <v>0</v>
      </c>
      <c r="AS5" s="47">
        <f t="shared" si="0"/>
        <v>0</v>
      </c>
      <c r="AT5" s="47">
        <f t="shared" si="0"/>
        <v>0</v>
      </c>
      <c r="AU5" s="47">
        <f t="shared" si="0"/>
        <v>0</v>
      </c>
      <c r="AV5" s="47">
        <f t="shared" si="0"/>
        <v>0</v>
      </c>
      <c r="AW5" s="47">
        <f t="shared" si="0"/>
        <v>0</v>
      </c>
      <c r="AX5" s="47">
        <f t="shared" si="0"/>
        <v>0</v>
      </c>
      <c r="AY5" s="47">
        <f t="shared" si="0"/>
        <v>0</v>
      </c>
      <c r="AZ5" s="47">
        <f t="shared" si="0"/>
        <v>0</v>
      </c>
      <c r="BA5" s="47">
        <f t="shared" si="0"/>
        <v>0</v>
      </c>
    </row>
    <row r="6" spans="1:53">
      <c r="A6" s="39"/>
      <c r="B6" s="39"/>
      <c r="C6" s="39"/>
      <c r="D6" s="39"/>
      <c r="E6" s="39">
        <v>284928.81</v>
      </c>
      <c r="F6" s="39"/>
      <c r="G6" s="48" t="s">
        <v>31</v>
      </c>
      <c r="H6" s="46">
        <f>IFERROR(SUM(I6:AC6),0)</f>
        <v>1491552.70</v>
      </c>
      <c r="I6" s="49">
        <v>360376.27</v>
      </c>
      <c r="J6" s="49">
        <v>61161.80</v>
      </c>
      <c r="K6" s="49">
        <v>61899.56</v>
      </c>
      <c r="L6" s="49">
        <v>66615.15</v>
      </c>
      <c r="M6" s="49">
        <v>42224.12</v>
      </c>
      <c r="N6" s="49">
        <v>51876.24</v>
      </c>
      <c r="O6" s="49">
        <v>18347.14</v>
      </c>
      <c r="P6" s="49">
        <v>43563.13</v>
      </c>
      <c r="Q6" s="49">
        <v>8695.04</v>
      </c>
      <c r="R6" s="49">
        <v>57596.02</v>
      </c>
      <c r="S6" s="49">
        <v>66021.32</v>
      </c>
      <c r="T6" s="49">
        <v>59697.77</v>
      </c>
      <c r="U6" s="49">
        <v>23513.13</v>
      </c>
      <c r="V6" s="49">
        <v>50702.89</v>
      </c>
      <c r="W6" s="49">
        <v>54412.07</v>
      </c>
      <c r="X6" s="49">
        <v>85770.32</v>
      </c>
      <c r="Y6" s="49">
        <v>49284.44</v>
      </c>
      <c r="Z6" s="49">
        <v>108004.92</v>
      </c>
      <c r="AA6" s="49">
        <v>101741.81</v>
      </c>
      <c r="AB6" s="49">
        <v>56651.25</v>
      </c>
      <c r="AC6" s="49">
        <v>63398.30</v>
      </c>
      <c r="AD6" s="49" cm="1">
        <f t="array" aca="1" ref="AD6" ca="1">SUMPRODUCT(SUBTOTAL(109,OFFSET(AD$10,ROW(AD$10:AD$24)-ROW(AD$10),,1)),--($G$10:$G$24 = $G6))</f>
        <v>115090.81</v>
      </c>
      <c r="AE6" s="49" cm="1">
        <f t="array" aca="1" ref="AE6" ca="1">SUMPRODUCT(SUBTOTAL(109,OFFSET(AE$10,ROW(AE$10:AE$24)-ROW(AE$10),,1)),--($G$10:$G$24 = $G6))</f>
        <v>155422.54</v>
      </c>
      <c r="AF6" s="49" cm="1">
        <f t="array" aca="1" ref="AF6" ca="1">SUMPRODUCT(SUBTOTAL(109,OFFSET(AF$10,ROW(AF$10:AF$24)-ROW(AF$10),,1)),--($G$10:$G$24 = $G6))</f>
        <v>121659.79</v>
      </c>
      <c r="AG6" s="49" cm="1">
        <f t="array" aca="1" ref="AG6" ca="1">SUMPRODUCT(SUBTOTAL(109,OFFSET(AG$10,ROW(AG$10:AG$24)-ROW(AG$10),,1)),--($G$10:$G$24 = $G6))</f>
        <v>105805.30</v>
      </c>
      <c r="AH6" s="49" cm="1">
        <f t="array" aca="1" ref="AH6" ca="1">SUMPRODUCT(SUBTOTAL(109,OFFSET(AH$10,ROW(AH$10:AH$24)-ROW(AH$10),,1)),--($G$10:$G$24 = $G6))</f>
        <v>115897.59</v>
      </c>
      <c r="AI6" s="49" cm="1">
        <f t="array" aca="1" ref="AI6" ca="1">SUMPRODUCT(SUBTOTAL(109,OFFSET(AI$10,ROW(AI$10:AI$24)-ROW(AI$10),,1)),--($G$10:$G$24 = $G6))</f>
        <v>147251.08</v>
      </c>
      <c r="AJ6" s="49" cm="1">
        <f t="array" aca="1" ref="AJ6" ca="1">SUMPRODUCT(SUBTOTAL(109,OFFSET(AJ$10,ROW(AJ$10:AJ$24)-ROW(AJ$10),,1)),--($G$10:$G$24 = $G6))</f>
        <v>124738.80</v>
      </c>
      <c r="AK6" s="49" cm="1">
        <f t="array" aca="1" ref="AK6" ca="1">SUMPRODUCT(SUBTOTAL(109,OFFSET(AK$10,ROW(AK$10:AK$24)-ROW(AK$10),,1)),--($G$10:$G$24 = $G6))</f>
        <v>172298.89</v>
      </c>
      <c r="AL6" s="49" cm="1">
        <f t="array" aca="1" ref="AL6" ca="1">SUMPRODUCT(SUBTOTAL(109,OFFSET(AL$10,ROW(AL$10:AL$24)-ROW(AL$10),,1)),--($G$10:$G$24 = $G6))</f>
        <v>137979.80</v>
      </c>
      <c r="AM6" s="49" cm="1">
        <f t="array" aca="1" ref="AM6" ca="1">SUMPRODUCT(SUBTOTAL(109,OFFSET(AM$10,ROW(AM$10:AM$24)-ROW(AM$10),,1)),--($G$10:$G$24 = $G6))</f>
        <v>88660.39</v>
      </c>
      <c r="AN6" s="49" cm="1">
        <f t="array" aca="1" ref="AN6" ca="1">SUMPRODUCT(SUBTOTAL(109,OFFSET(AN$10,ROW(AN$10:AN$24)-ROW(AN$10),,1)),--($G$10:$G$24 = $G6))</f>
        <v>81348.48</v>
      </c>
      <c r="AO6" s="49" cm="1">
        <f t="array" aca="1" ref="AO6" ca="1">SUMPRODUCT(SUBTOTAL(109,OFFSET(AO$10,ROW(AO$10:AO$24)-ROW(AO$10),,1)),--($G$10:$G$24 = $G6))</f>
        <v>10580.63</v>
      </c>
      <c r="AP6" s="49" cm="1">
        <f t="array" aca="1" ref="AP6" ca="1">SUMPRODUCT(SUBTOTAL(109,OFFSET(AP$10,ROW(AP$10:AP$24)-ROW(AP$10),,1)),--($G$10:$G$24 = $G6))</f>
        <v>0</v>
      </c>
      <c r="AQ6" s="49" cm="1">
        <f t="array" aca="1" ref="AQ6" ca="1">SUMPRODUCT(SUBTOTAL(109,OFFSET(AQ$10,ROW(AQ$10:AQ$24)-ROW(AQ$10),,1)),--($G$10:$G$24 = $G6))</f>
        <v>0</v>
      </c>
      <c r="AR6" s="49" cm="1">
        <f t="array" aca="1" ref="AR6" ca="1">SUMPRODUCT(SUBTOTAL(109,OFFSET(AR$10,ROW(AR$10:AR$24)-ROW(AR$10),,1)),--($G$10:$G$24 = $G6))</f>
        <v>0</v>
      </c>
      <c r="AS6" s="49" cm="1">
        <f t="array" aca="1" ref="AS6" ca="1">SUMPRODUCT(SUBTOTAL(109,OFFSET(AS$10,ROW(AS$10:AS$24)-ROW(AS$10),,1)),--($G$10:$G$24 = $G6))</f>
        <v>0</v>
      </c>
      <c r="AT6" s="49" cm="1">
        <f t="array" aca="1" ref="AT6" ca="1">SUMPRODUCT(SUBTOTAL(109,OFFSET(AT$10,ROW(AT$10:AT$24)-ROW(AT$10),,1)),--($G$10:$G$24 = $G6))</f>
        <v>0</v>
      </c>
      <c r="AU6" s="49" cm="1">
        <f t="array" aca="1" ref="AU6" ca="1">SUMPRODUCT(SUBTOTAL(109,OFFSET(AU$10,ROW(AU$10:AU$24)-ROW(AU$10),,1)),--($G$10:$G$24 = $G6))</f>
        <v>0</v>
      </c>
      <c r="AV6" s="49" cm="1">
        <f t="array" aca="1" ref="AV6" ca="1">SUMPRODUCT(SUBTOTAL(109,OFFSET(AV$10,ROW(AV$10:AV$24)-ROW(AV$10),,1)),--($G$10:$G$24 = $G6))</f>
        <v>0</v>
      </c>
      <c r="AW6" s="49" cm="1">
        <f t="array" aca="1" ref="AW6" ca="1">SUMPRODUCT(SUBTOTAL(109,OFFSET(AW$10,ROW(AW$10:AW$24)-ROW(AW$10),,1)),--($G$10:$G$24 = $G6))</f>
        <v>0</v>
      </c>
      <c r="AX6" s="49" cm="1">
        <f t="array" aca="1" ref="AX6" ca="1">SUMPRODUCT(SUBTOTAL(109,OFFSET(AX$10,ROW(AX$10:AX$24)-ROW(AX$10),,1)),--($G$10:$G$24 = $G6))</f>
        <v>0</v>
      </c>
      <c r="AY6" s="49" cm="1">
        <f t="array" aca="1" ref="AY6" ca="1">SUMPRODUCT(SUBTOTAL(109,OFFSET(AY$10,ROW(AY$10:AY$24)-ROW(AY$10),,1)),--($G$10:$G$24 = $G6))</f>
        <v>0</v>
      </c>
      <c r="AZ6" s="49" cm="1">
        <f t="array" aca="1" ref="AZ6" ca="1">SUMPRODUCT(SUBTOTAL(109,OFFSET(AZ$10,ROW(AZ$10:AZ$24)-ROW(AZ$10),,1)),--($G$10:$G$24 = $G6))</f>
        <v>0</v>
      </c>
      <c r="BA6" s="49" cm="1">
        <f t="array" aca="1" ref="BA6" ca="1">SUMPRODUCT(SUBTOTAL(109,OFFSET(BA$10,ROW(BA$10:BA$24)-ROW(BA$10),,1)),--($G$10:$G$24 = $G6))</f>
        <v>0</v>
      </c>
    </row>
    <row r="7" spans="1:53">
      <c r="A7" s="39"/>
      <c r="B7" s="39"/>
      <c r="C7" s="39"/>
      <c r="D7" s="39"/>
      <c r="E7" s="39">
        <f>E6-E5</f>
        <v>21156</v>
      </c>
      <c r="F7" s="39"/>
      <c r="G7" s="45" t="s">
        <v>36</v>
      </c>
      <c r="H7" s="46">
        <f>IFERROR(SUM(I7:AC7),0)</f>
        <v>1023278.80</v>
      </c>
      <c r="I7" s="47">
        <v>226605.71</v>
      </c>
      <c r="J7" s="47">
        <v>57712.21</v>
      </c>
      <c r="K7" s="47">
        <v>45772.40</v>
      </c>
      <c r="L7" s="47">
        <v>39782.22</v>
      </c>
      <c r="M7" s="47">
        <v>34548.56</v>
      </c>
      <c r="N7" s="47">
        <v>29486.72</v>
      </c>
      <c r="O7" s="47">
        <v>14020.55</v>
      </c>
      <c r="P7" s="47">
        <v>30007.64</v>
      </c>
      <c r="Q7" s="47">
        <v>8977.48</v>
      </c>
      <c r="R7" s="47">
        <v>30690.56</v>
      </c>
      <c r="S7" s="47">
        <v>36831.85</v>
      </c>
      <c r="T7" s="47">
        <v>39363.39</v>
      </c>
      <c r="U7" s="47">
        <v>20480.65</v>
      </c>
      <c r="V7" s="47">
        <v>21256.85</v>
      </c>
      <c r="W7" s="47">
        <v>31309.91</v>
      </c>
      <c r="X7" s="47">
        <v>68992.88</v>
      </c>
      <c r="Y7" s="47">
        <v>41553.88</v>
      </c>
      <c r="Z7" s="47">
        <v>65724.60</v>
      </c>
      <c r="AA7" s="47">
        <v>70103</v>
      </c>
      <c r="AB7" s="47">
        <v>73793.16</v>
      </c>
      <c r="AC7" s="47">
        <v>36264.88</v>
      </c>
      <c r="AD7" s="47" cm="1">
        <f t="array" aca="1" ref="AD7" ca="1">SUMPRODUCT(SUBTOTAL(109,OFFSET(AD$10,ROW(AD$10:AD$266)-ROW(AD$10),,1)),--($G$10:$G$266 = $G7))</f>
        <v>77093.60</v>
      </c>
      <c r="AE7" s="47" cm="1">
        <f t="array" aca="1" ref="AE7" ca="1">SUMPRODUCT(SUBTOTAL(109,OFFSET(AE$10,ROW(AE$10:AE$266)-ROW(AE$10),,1)),--($G$10:$G$266 = $G7))</f>
        <v>77157.78</v>
      </c>
      <c r="AF7" s="47" cm="1">
        <f t="array" aca="1" ref="AF7" ca="1">SUMPRODUCT(SUBTOTAL(109,OFFSET(AF$10,ROW(AF$10:AF$266)-ROW(AF$10),,1)),--($G$10:$G$266 = $G7))</f>
        <v>77375.47</v>
      </c>
      <c r="AG7" s="47" cm="1">
        <f t="array" aca="1" ref="AG7" ca="1">SUMPRODUCT(SUBTOTAL(109,OFFSET(AG$10,ROW(AG$10:AG$266)-ROW(AG$10),,1)),--($G$10:$G$266 = $G7))</f>
        <v>78828.98</v>
      </c>
      <c r="AH7" s="47" cm="1">
        <f t="array" aca="1" ref="AH7" ca="1">SUMPRODUCT(SUBTOTAL(109,OFFSET(AH$10,ROW(AH$10:AH$266)-ROW(AH$10),,1)),--($G$10:$G$266 = $G7))</f>
        <v>73145.77</v>
      </c>
      <c r="AI7" s="47" cm="1">
        <f t="array" aca="1" ref="AI7" ca="1">SUMPRODUCT(SUBTOTAL(109,OFFSET(AI$10,ROW(AI$10:AI$266)-ROW(AI$10),,1)),--($G$10:$G$266 = $G7))</f>
        <v>79857.58</v>
      </c>
      <c r="AJ7" s="47" cm="1">
        <f t="array" aca="1" ref="AJ7" ca="1">SUMPRODUCT(SUBTOTAL(109,OFFSET(AJ$10,ROW(AJ$10:AJ$266)-ROW(AJ$10),,1)),--($G$10:$G$266 = $G7))</f>
        <v>107785.37</v>
      </c>
      <c r="AK7" s="47" cm="1">
        <f t="array" aca="1" ref="AK7" ca="1">SUMPRODUCT(SUBTOTAL(109,OFFSET(AK$10,ROW(AK$10:AK$266)-ROW(AK$10),,1)),--($G$10:$G$266 = $G7))</f>
        <v>85294.45</v>
      </c>
      <c r="AL7" s="47" cm="1">
        <f t="array" aca="1" ref="AL7" ca="1">SUMPRODUCT(SUBTOTAL(109,OFFSET(AL$10,ROW(AL$10:AL$266)-ROW(AL$10),,1)),--($G$10:$G$266 = $G7))</f>
        <v>85384.56</v>
      </c>
      <c r="AM7" s="47" cm="1">
        <f t="array" aca="1" ref="AM7" ca="1">SUMPRODUCT(SUBTOTAL(109,OFFSET(AM$10,ROW(AM$10:AM$266)-ROW(AM$10),,1)),--($G$10:$G$266 = $G7))</f>
        <v>98537.18</v>
      </c>
      <c r="AN7" s="47" cm="1">
        <f t="array" aca="1" ref="AN7" ca="1">SUMPRODUCT(SUBTOTAL(109,OFFSET(AN$10,ROW(AN$10:AN$266)-ROW(AN$10),,1)),--($G$10:$G$266 = $G7))</f>
        <v>35803</v>
      </c>
      <c r="AO7" s="47" cm="1">
        <f t="array" aca="1" ref="AO7" ca="1">SUMPRODUCT(SUBTOTAL(109,OFFSET(AO$10,ROW(AO$10:AO$266)-ROW(AO$10),,1)),--($G$10:$G$266 = $G7))</f>
        <v>7793.75</v>
      </c>
      <c r="AP7" s="47" cm="1">
        <f t="array" aca="1" ref="AP7" ca="1">SUMPRODUCT(SUBTOTAL(109,OFFSET(AP$10,ROW(AP$10:AP$266)-ROW(AP$10),,1)),--($G$10:$G$266 = $G7))</f>
        <v>41617.10</v>
      </c>
      <c r="AQ7" s="47" cm="1">
        <f t="array" aca="1" ref="AQ7" ca="1">SUMPRODUCT(SUBTOTAL(109,OFFSET(AQ$10,ROW(AQ$10:AQ$266)-ROW(AQ$10),,1)),--($G$10:$G$266 = $G7))</f>
        <v>0</v>
      </c>
      <c r="AR7" s="47" cm="1">
        <f t="array" aca="1" ref="AR7" ca="1">SUMPRODUCT(SUBTOTAL(109,OFFSET(AR$10,ROW(AR$10:AR$266)-ROW(AR$10),,1)),--($G$10:$G$266 = $G7))</f>
        <v>0</v>
      </c>
      <c r="AS7" s="47" cm="1">
        <f t="array" aca="1" ref="AS7" ca="1">SUMPRODUCT(SUBTOTAL(109,OFFSET(AS$10,ROW(AS$10:AS$266)-ROW(AS$10),,1)),--($G$10:$G$266 = $G7))</f>
        <v>0</v>
      </c>
      <c r="AT7" s="47" cm="1">
        <f t="array" aca="1" ref="AT7" ca="1">SUMPRODUCT(SUBTOTAL(109,OFFSET(AT$10,ROW(AT$10:AT$266)-ROW(AT$10),,1)),--($G$10:$G$266 = $G7))</f>
        <v>0</v>
      </c>
      <c r="AU7" s="47" cm="1">
        <f t="array" aca="1" ref="AU7" ca="1">SUMPRODUCT(SUBTOTAL(109,OFFSET(AU$10,ROW(AU$10:AU$266)-ROW(AU$10),,1)),--($G$10:$G$266 = $G7))</f>
        <v>0</v>
      </c>
      <c r="AV7" s="47" cm="1">
        <f t="array" aca="1" ref="AV7" ca="1">SUMPRODUCT(SUBTOTAL(109,OFFSET(AV$10,ROW(AV$10:AV$266)-ROW(AV$10),,1)),--($G$10:$G$266 = $G7))</f>
        <v>0</v>
      </c>
      <c r="AW7" s="47" cm="1">
        <f t="array" aca="1" ref="AW7" ca="1">SUMPRODUCT(SUBTOTAL(109,OFFSET(AW$10,ROW(AW$10:AW$266)-ROW(AW$10),,1)),--($G$10:$G$266 = $G7))</f>
        <v>0</v>
      </c>
      <c r="AX7" s="47" cm="1">
        <f t="array" aca="1" ref="AX7" ca="1">SUMPRODUCT(SUBTOTAL(109,OFFSET(AX$10,ROW(AX$10:AX$266)-ROW(AX$10),,1)),--($G$10:$G$266 = $G7))</f>
        <v>0</v>
      </c>
      <c r="AY7" s="47" cm="1">
        <f t="array" aca="1" ref="AY7" ca="1">SUMPRODUCT(SUBTOTAL(109,OFFSET(AY$10,ROW(AY$10:AY$266)-ROW(AY$10),,1)),--($G$10:$G$266 = $G7))</f>
        <v>0</v>
      </c>
      <c r="AZ7" s="47" cm="1">
        <f t="array" aca="1" ref="AZ7" ca="1">SUMPRODUCT(SUBTOTAL(109,OFFSET(AZ$10,ROW(AZ$10:AZ$266)-ROW(AZ$10),,1)),--($G$10:$G$266 = $G7))</f>
        <v>0</v>
      </c>
      <c r="BA7" s="47" cm="1">
        <f t="array" aca="1" ref="BA7" ca="1">SUMPRODUCT(SUBTOTAL(109,OFFSET(BA$10,ROW(BA$10:BA$266)-ROW(BA$10),,1)),--($G$10:$G$266 = $G7))</f>
        <v>0</v>
      </c>
    </row>
    <row r="8" spans="1:53">
      <c r="A8" s="39"/>
      <c r="B8" s="39"/>
      <c r="C8" s="39"/>
      <c r="D8" s="39"/>
      <c r="E8" s="39"/>
      <c r="F8" s="39"/>
      <c r="G8" s="45" t="s">
        <v>37</v>
      </c>
      <c r="H8" s="46">
        <f>IFERROR(SUM(I8:AC8),0)</f>
        <v>-44224.07</v>
      </c>
      <c r="I8" s="47">
        <v>0</v>
      </c>
      <c r="J8" s="47">
        <v>-5943.20</v>
      </c>
      <c r="K8" s="47">
        <v>-2803.50</v>
      </c>
      <c r="L8" s="47">
        <v>-3421.04</v>
      </c>
      <c r="M8" s="47">
        <v>453.09</v>
      </c>
      <c r="N8" s="47">
        <v>-45.73</v>
      </c>
      <c r="O8" s="47">
        <v>776.30</v>
      </c>
      <c r="P8" s="47">
        <v>-482.07</v>
      </c>
      <c r="Q8" s="47">
        <v>-2453.26</v>
      </c>
      <c r="R8" s="47">
        <v>197.66</v>
      </c>
      <c r="S8" s="47">
        <v>1930.98</v>
      </c>
      <c r="T8" s="47">
        <v>-1955.03</v>
      </c>
      <c r="U8" s="47">
        <v>-4545.47</v>
      </c>
      <c r="V8" s="47">
        <v>20.80</v>
      </c>
      <c r="W8" s="47">
        <v>2573.24</v>
      </c>
      <c r="X8" s="47">
        <v>-17567.65</v>
      </c>
      <c r="Y8" s="47">
        <v>-1475.53</v>
      </c>
      <c r="Z8" s="47">
        <v>-1922.24</v>
      </c>
      <c r="AA8" s="47">
        <v>-2264.23</v>
      </c>
      <c r="AB8" s="47">
        <v>-3619.93</v>
      </c>
      <c r="AC8" s="47">
        <v>-1677.29</v>
      </c>
      <c r="AD8" s="47">
        <f t="shared" ref="AD8:BA8" ca="1" si="1">AD5-AD7</f>
        <v>-14491.26</v>
      </c>
      <c r="AE8" s="47">
        <f t="shared" ca="1" si="1"/>
        <v>-3949.63</v>
      </c>
      <c r="AF8" s="47">
        <f t="shared" ca="1" si="1"/>
        <v>-2583.06</v>
      </c>
      <c r="AG8" s="47">
        <f t="shared" ca="1" si="1"/>
        <v>-12130.63</v>
      </c>
      <c r="AH8" s="47">
        <f t="shared" ca="1" si="1"/>
        <v>-1.37</v>
      </c>
      <c r="AI8" s="47">
        <f t="shared" ca="1" si="1"/>
        <v>4761.58</v>
      </c>
      <c r="AJ8" s="47">
        <f t="shared" ca="1" si="1"/>
        <v>14089.39</v>
      </c>
      <c r="AK8" s="47">
        <f t="shared" ca="1" si="1"/>
        <v>1777.08</v>
      </c>
      <c r="AL8" s="47">
        <f t="shared" ca="1" si="1"/>
        <v>-2388.83</v>
      </c>
      <c r="AM8" s="47">
        <f t="shared" ca="1" si="1"/>
        <v>-10141.85</v>
      </c>
      <c r="AN8" s="47">
        <f t="shared" ca="1" si="1"/>
        <v>-2515.07</v>
      </c>
      <c r="AO8" s="47">
        <f t="shared" ca="1" si="1"/>
        <v>531.28</v>
      </c>
      <c r="AP8" s="47">
        <f t="shared" ca="1" si="1"/>
        <v>-41617.10</v>
      </c>
      <c r="AQ8" s="47">
        <f t="shared" ca="1" si="1"/>
        <v>0</v>
      </c>
      <c r="AR8" s="47">
        <f t="shared" ca="1" si="1"/>
        <v>0</v>
      </c>
      <c r="AS8" s="47">
        <f t="shared" ca="1" si="1"/>
        <v>0</v>
      </c>
      <c r="AT8" s="47">
        <f t="shared" ca="1" si="1"/>
        <v>0</v>
      </c>
      <c r="AU8" s="47">
        <f t="shared" ca="1" si="1"/>
        <v>0</v>
      </c>
      <c r="AV8" s="47">
        <f t="shared" ca="1" si="1"/>
        <v>0</v>
      </c>
      <c r="AW8" s="47">
        <f t="shared" ca="1" si="1"/>
        <v>0</v>
      </c>
      <c r="AX8" s="47">
        <f t="shared" ca="1" si="1"/>
        <v>0</v>
      </c>
      <c r="AY8" s="47">
        <f t="shared" ca="1" si="1"/>
        <v>0</v>
      </c>
      <c r="AZ8" s="47">
        <f t="shared" ca="1" si="1"/>
        <v>0</v>
      </c>
      <c r="BA8" s="47">
        <f t="shared" ca="1" si="1"/>
        <v>0</v>
      </c>
    </row>
    <row r="9" spans="1:53" ht="15" thickBot="1">
      <c r="B9" s="1" t="s">
        <v>7</v>
      </c>
      <c r="C9" s="1" t="s">
        <v>8</v>
      </c>
      <c r="D9" s="1" t="s">
        <v>22</v>
      </c>
      <c r="E9" s="1" t="s">
        <v>9</v>
      </c>
      <c r="F9" s="1" t="s">
        <v>12</v>
      </c>
      <c r="G9" s="1" t="s">
        <v>13</v>
      </c>
      <c r="H9" s="1" t="s">
        <v>5</v>
      </c>
      <c r="I9" s="4" t="s">
        <v>29</v>
      </c>
      <c r="J9" s="4">
        <v>45292</v>
      </c>
      <c r="K9" s="8">
        <v>45323</v>
      </c>
      <c r="L9" s="4">
        <v>45352</v>
      </c>
      <c r="M9" s="4">
        <v>45383</v>
      </c>
      <c r="N9" s="4">
        <v>45413</v>
      </c>
      <c r="O9" s="4">
        <v>45444</v>
      </c>
      <c r="P9" s="4">
        <v>45474</v>
      </c>
      <c r="Q9" s="8">
        <v>45505</v>
      </c>
      <c r="R9" s="4">
        <v>45536</v>
      </c>
      <c r="S9" s="4">
        <v>45566</v>
      </c>
      <c r="T9" s="4">
        <v>45597</v>
      </c>
      <c r="U9" s="4">
        <v>45627</v>
      </c>
      <c r="V9" s="4">
        <v>45658</v>
      </c>
      <c r="W9" s="8">
        <v>45689</v>
      </c>
      <c r="X9" s="4">
        <v>45717</v>
      </c>
      <c r="Y9" s="8">
        <v>45748</v>
      </c>
      <c r="Z9" s="4">
        <v>45778</v>
      </c>
      <c r="AA9" s="8">
        <v>45809</v>
      </c>
      <c r="AB9" s="4">
        <v>45839</v>
      </c>
      <c r="AC9" s="8">
        <v>45870</v>
      </c>
      <c r="AD9" s="8">
        <v>45901</v>
      </c>
      <c r="AE9" s="8">
        <v>45931</v>
      </c>
      <c r="AF9" s="8">
        <v>45962</v>
      </c>
      <c r="AG9" s="8">
        <v>45992</v>
      </c>
      <c r="AH9" s="8">
        <v>46023</v>
      </c>
      <c r="AI9" s="8">
        <v>46054</v>
      </c>
      <c r="AJ9" s="8">
        <v>46082</v>
      </c>
      <c r="AK9" s="8">
        <v>46113</v>
      </c>
      <c r="AL9" s="8">
        <v>46143</v>
      </c>
      <c r="AM9" s="8">
        <v>46174</v>
      </c>
      <c r="AN9" s="8">
        <v>46204</v>
      </c>
      <c r="AO9" s="8">
        <v>46235</v>
      </c>
      <c r="AP9" s="8">
        <v>46266</v>
      </c>
      <c r="AQ9" s="8">
        <v>46296</v>
      </c>
      <c r="AR9" s="8">
        <v>46327</v>
      </c>
      <c r="AS9" s="8">
        <v>46357</v>
      </c>
      <c r="AT9" s="8">
        <v>46388</v>
      </c>
      <c r="AU9" s="8">
        <v>46419</v>
      </c>
      <c r="AV9" s="8">
        <v>46447</v>
      </c>
      <c r="AW9" s="8">
        <v>46478</v>
      </c>
      <c r="AX9" s="8">
        <v>46508</v>
      </c>
      <c r="AY9" s="8">
        <v>46539</v>
      </c>
      <c r="AZ9" s="8">
        <v>46569</v>
      </c>
      <c r="BA9" s="8">
        <v>46600</v>
      </c>
    </row>
    <row r="10" spans="1:53">
      <c r="B10" s="525" t="s">
        <v>21</v>
      </c>
      <c r="C10" s="528" t="s">
        <v>14</v>
      </c>
      <c r="D10" s="528">
        <v>8871789615</v>
      </c>
      <c r="E10" s="531" t="s">
        <v>23</v>
      </c>
      <c r="F10" s="531" t="s">
        <v>25</v>
      </c>
      <c r="G10" s="50" t="s">
        <v>32</v>
      </c>
      <c r="H10" s="51">
        <f>IFERROR(SUM(I10:AO10),0)-0.56</f>
        <v>1058876.31</v>
      </c>
      <c r="I10" s="63">
        <v>82805.46</v>
      </c>
      <c r="J10" s="52">
        <v>18085.67</v>
      </c>
      <c r="K10" s="52">
        <v>28085.13</v>
      </c>
      <c r="L10" s="52">
        <v>42564.96</v>
      </c>
      <c r="M10" s="52">
        <v>24627.28</v>
      </c>
      <c r="N10" s="52">
        <v>24627.28</v>
      </c>
      <c r="O10" s="73">
        <v>8695.04</v>
      </c>
      <c r="P10" s="73">
        <v>33910.78</v>
      </c>
      <c r="Q10" s="73">
        <v>8695.04</v>
      </c>
      <c r="R10" s="73">
        <v>42062.22</v>
      </c>
      <c r="S10" s="52">
        <v>9021.09</v>
      </c>
      <c r="T10" s="52">
        <v>20651</v>
      </c>
      <c r="U10" s="52">
        <v>0</v>
      </c>
      <c r="V10" s="63">
        <v>17940.82</v>
      </c>
      <c r="W10" s="63">
        <v>17926.18</v>
      </c>
      <c r="X10" s="178">
        <v>49284.44</v>
      </c>
      <c r="Y10" s="183">
        <v>49284.44</v>
      </c>
      <c r="Z10" s="64">
        <v>94751.63</v>
      </c>
      <c r="AA10" s="64">
        <v>91161.17</v>
      </c>
      <c r="AB10" s="63">
        <v>19430.12</v>
      </c>
      <c r="AC10" s="178">
        <v>0</v>
      </c>
      <c r="AD10" s="183">
        <v>6521.28</v>
      </c>
      <c r="AE10" s="63">
        <v>25040.13</v>
      </c>
      <c r="AF10" s="271">
        <v>30913.35</v>
      </c>
      <c r="AG10" s="294">
        <v>54933.36</v>
      </c>
      <c r="AH10" s="312">
        <v>23557.81</v>
      </c>
      <c r="AI10" s="317">
        <v>43352.87</v>
      </c>
      <c r="AJ10" s="294">
        <v>22923.83</v>
      </c>
      <c r="AK10" s="366">
        <v>87811.21</v>
      </c>
      <c r="AL10" s="378">
        <v>71835.76</v>
      </c>
      <c r="AM10" s="184">
        <v>8377.54</v>
      </c>
      <c r="AN10" s="54"/>
      <c r="AO10" s="340"/>
      <c r="AP10" s="345"/>
      <c r="AQ10" s="346"/>
      <c r="AR10" s="347"/>
      <c r="AS10" s="345"/>
      <c r="AT10" s="346"/>
      <c r="AU10" s="347"/>
      <c r="AV10" s="345"/>
      <c r="AW10" s="346"/>
      <c r="AX10" s="347"/>
      <c r="AY10" s="355"/>
      <c r="AZ10" s="346"/>
      <c r="BA10" s="347"/>
    </row>
    <row r="11" spans="1:53" ht="15" thickBot="1">
      <c r="B11" s="526"/>
      <c r="C11" s="529"/>
      <c r="D11" s="529"/>
      <c r="E11" s="532"/>
      <c r="F11" s="532"/>
      <c r="G11" s="45" t="s">
        <v>33</v>
      </c>
      <c r="H11" s="55">
        <f>IFERROR(SUM(I11:AO11),0)</f>
        <v>692018.34</v>
      </c>
      <c r="I11" s="64">
        <v>55124.63</v>
      </c>
      <c r="J11" s="53">
        <v>16046.58</v>
      </c>
      <c r="K11" s="53">
        <v>19191.41</v>
      </c>
      <c r="L11" s="53">
        <v>21565.61</v>
      </c>
      <c r="M11" s="53">
        <v>16575.83</v>
      </c>
      <c r="N11" s="53">
        <v>24787.16</v>
      </c>
      <c r="O11" s="53">
        <v>6378.63</v>
      </c>
      <c r="P11" s="53">
        <v>22549.14</v>
      </c>
      <c r="Q11" s="53">
        <v>6524.22</v>
      </c>
      <c r="R11" s="53">
        <v>21074.81</v>
      </c>
      <c r="S11" s="53">
        <v>5831.36</v>
      </c>
      <c r="T11" s="53">
        <v>11235.10</v>
      </c>
      <c r="U11" s="53">
        <v>0</v>
      </c>
      <c r="V11" s="64">
        <v>7925.26</v>
      </c>
      <c r="W11" s="64">
        <v>11072.36</v>
      </c>
      <c r="X11" s="179">
        <v>22263.27</v>
      </c>
      <c r="Y11" s="184">
        <v>40078.35</v>
      </c>
      <c r="Z11" s="64">
        <v>52122.01</v>
      </c>
      <c r="AA11" s="64">
        <v>62920.35</v>
      </c>
      <c r="AB11" s="64">
        <v>14001.72</v>
      </c>
      <c r="AC11" s="179">
        <v>814</v>
      </c>
      <c r="AD11" s="184">
        <f>'FCST 8871789615 35%'!H50</f>
        <v>3954.10</v>
      </c>
      <c r="AE11" s="64">
        <f>'FCST 8871789615 35%'!I50</f>
        <v>9962.96</v>
      </c>
      <c r="AF11" s="272">
        <f>'FCST 8871789615 35%'!J50</f>
        <v>20959.44</v>
      </c>
      <c r="AG11" s="295">
        <f>'FCST 8871789615 35%'!K50</f>
        <v>36859.71</v>
      </c>
      <c r="AH11" s="304">
        <f>'FCST 8871789615 35%'!L50</f>
        <v>18594.05</v>
      </c>
      <c r="AI11" s="318">
        <f>'FCST 8871789615 35%'!M50</f>
        <v>27012.80</v>
      </c>
      <c r="AJ11" s="299">
        <f>'FCST 8871789615 35%'!N50</f>
        <v>33451.66</v>
      </c>
      <c r="AK11" s="367">
        <f>'FCST 8871789615 35%'!O50</f>
        <v>35803</v>
      </c>
      <c r="AL11" s="379">
        <f>'FCST 8871789615 35%'!P50</f>
        <v>49219.87</v>
      </c>
      <c r="AM11" s="184">
        <f>'FCST 8871789615 35%'!Q50</f>
        <v>18119.44</v>
      </c>
      <c r="AN11" s="56"/>
      <c r="AO11" s="341"/>
      <c r="AP11" s="348">
        <f>'FCST 8871789615 35%'!T50</f>
        <v>0</v>
      </c>
      <c r="AQ11" s="341">
        <f>'FCST 8871789615 35%'!U50</f>
        <v>0</v>
      </c>
      <c r="AR11" s="57">
        <f>'FCST 8871789615 35%'!V50</f>
        <v>0</v>
      </c>
      <c r="AS11" s="348">
        <f>'FCST 8871789615 35%'!W50</f>
        <v>0</v>
      </c>
      <c r="AT11" s="341">
        <f>'FCST 8871789615 35%'!X50</f>
        <v>0</v>
      </c>
      <c r="AU11" s="57">
        <f>'FCST 8871789615 35%'!Y50</f>
        <v>0</v>
      </c>
      <c r="AV11" s="348">
        <f>'FCST 8871789615 35%'!Z50</f>
        <v>0</v>
      </c>
      <c r="AW11" s="341">
        <f>'FCST 8871789615 35%'!AA50</f>
        <v>0</v>
      </c>
      <c r="AX11" s="57">
        <f>'FCST 8871789615 35%'!AB50</f>
        <v>0</v>
      </c>
      <c r="AY11" s="316">
        <f>'FCST 8871789615 35%'!AC50</f>
        <v>0</v>
      </c>
      <c r="AZ11" s="341">
        <f>'FCST 8871789615 35%'!AD50</f>
        <v>0</v>
      </c>
      <c r="BA11" s="57">
        <f>'FCST 8871789615 35%'!AE50</f>
        <v>0</v>
      </c>
    </row>
    <row r="12" spans="1:53">
      <c r="B12" s="526"/>
      <c r="C12" s="529"/>
      <c r="D12" s="529"/>
      <c r="E12" s="532"/>
      <c r="F12" s="532"/>
      <c r="G12" s="45" t="s">
        <v>31</v>
      </c>
      <c r="H12" s="55">
        <f>IFERROR(SUM(I12:AO12),0)</f>
        <v>1058876.58</v>
      </c>
      <c r="I12" s="64">
        <v>82805.46</v>
      </c>
      <c r="J12" s="53">
        <v>18085.67</v>
      </c>
      <c r="K12" s="53">
        <v>28084.96</v>
      </c>
      <c r="L12" s="53">
        <v>42564.95</v>
      </c>
      <c r="M12" s="53">
        <v>24627.27</v>
      </c>
      <c r="N12" s="53">
        <v>24627.28</v>
      </c>
      <c r="O12" s="78">
        <v>8695.04</v>
      </c>
      <c r="P12" s="53">
        <v>33910.78</v>
      </c>
      <c r="Q12" s="53">
        <v>8695.04</v>
      </c>
      <c r="R12" s="78">
        <v>42062.22</v>
      </c>
      <c r="S12" s="53">
        <v>9021.09</v>
      </c>
      <c r="T12" s="53">
        <v>20651</v>
      </c>
      <c r="U12" s="53"/>
      <c r="V12" s="63">
        <v>17940.83</v>
      </c>
      <c r="W12" s="64">
        <v>17926.18</v>
      </c>
      <c r="X12" s="180">
        <v>49284.44</v>
      </c>
      <c r="Y12" s="184">
        <v>49284.44</v>
      </c>
      <c r="Z12" s="64">
        <v>94751.63</v>
      </c>
      <c r="AA12" s="64">
        <v>91161.17</v>
      </c>
      <c r="AB12" s="64">
        <v>19430.12</v>
      </c>
      <c r="AC12" s="179"/>
      <c r="AD12" s="184">
        <v>6521.28</v>
      </c>
      <c r="AE12" s="64">
        <v>25040.13</v>
      </c>
      <c r="AF12" s="272">
        <v>30913.35</v>
      </c>
      <c r="AG12" s="296">
        <v>54933.36</v>
      </c>
      <c r="AH12" s="304">
        <v>23557.81</v>
      </c>
      <c r="AI12" s="318">
        <v>43352.87</v>
      </c>
      <c r="AJ12" s="299">
        <v>22923.83</v>
      </c>
      <c r="AK12" s="367">
        <v>87811.21</v>
      </c>
      <c r="AL12" s="379">
        <v>71835.76</v>
      </c>
      <c r="AM12" s="184">
        <v>8377.54</v>
      </c>
      <c r="AN12" s="56"/>
      <c r="AO12" s="341"/>
      <c r="AP12" s="348"/>
      <c r="AQ12" s="341"/>
      <c r="AR12" s="57"/>
      <c r="AS12" s="348"/>
      <c r="AT12" s="341"/>
      <c r="AU12" s="57"/>
      <c r="AV12" s="348"/>
      <c r="AW12" s="341"/>
      <c r="AX12" s="57"/>
      <c r="AY12" s="316"/>
      <c r="AZ12" s="341"/>
      <c r="BA12" s="57"/>
    </row>
    <row r="13" spans="1:53">
      <c r="B13" s="526"/>
      <c r="C13" s="529"/>
      <c r="D13" s="529"/>
      <c r="E13" s="532"/>
      <c r="F13" s="532"/>
      <c r="G13" s="45" t="s">
        <v>36</v>
      </c>
      <c r="H13" s="55">
        <f>IFERROR(SUM(I13:AO13),0)-14331.42</f>
        <v>702647.54</v>
      </c>
      <c r="I13" s="64">
        <v>55124.63</v>
      </c>
      <c r="J13" s="53">
        <v>16319.00</v>
      </c>
      <c r="K13" s="53">
        <v>19367.86</v>
      </c>
      <c r="L13" s="53">
        <v>22270.27</v>
      </c>
      <c r="M13" s="53">
        <v>11878.38</v>
      </c>
      <c r="N13" s="53">
        <v>24832.89</v>
      </c>
      <c r="O13" s="53">
        <v>6691.57</v>
      </c>
      <c r="P13" s="53">
        <v>22549.14</v>
      </c>
      <c r="Q13" s="53">
        <v>8000.28</v>
      </c>
      <c r="R13" s="53">
        <v>21083.06</v>
      </c>
      <c r="S13" s="53">
        <v>6274.70</v>
      </c>
      <c r="T13" s="53">
        <v>13190.13</v>
      </c>
      <c r="U13" s="53">
        <v>830.27</v>
      </c>
      <c r="V13" s="64">
        <v>8599.96</v>
      </c>
      <c r="W13" s="64">
        <v>8779.98</v>
      </c>
      <c r="X13" s="165">
        <v>41349.32</v>
      </c>
      <c r="Y13" s="184">
        <v>41349.32</v>
      </c>
      <c r="Z13" s="64">
        <v>53808.80</v>
      </c>
      <c r="AA13" s="64">
        <v>60596.08</v>
      </c>
      <c r="AB13" s="64">
        <v>19107.49</v>
      </c>
      <c r="AC13" s="179">
        <v>2791.10</v>
      </c>
      <c r="AD13" s="184">
        <v>3597.13</v>
      </c>
      <c r="AE13" s="64">
        <v>12022.76</v>
      </c>
      <c r="AF13" s="272">
        <v>20469.75</v>
      </c>
      <c r="AG13" s="296">
        <v>38241.73</v>
      </c>
      <c r="AH13" s="304">
        <v>16600.40</v>
      </c>
      <c r="AI13" s="318">
        <v>26025.22</v>
      </c>
      <c r="AJ13" s="296">
        <v>31652.15</v>
      </c>
      <c r="AK13" s="368">
        <v>31405.83</v>
      </c>
      <c r="AL13" s="295">
        <v>50466.33</v>
      </c>
      <c r="AM13" s="184">
        <v>19033.50</v>
      </c>
      <c r="AN13" s="56"/>
      <c r="AO13" s="341"/>
      <c r="AP13" s="348">
        <f>'FCST 8871789615 35%'!S50</f>
        <v>41617.10</v>
      </c>
      <c r="AQ13" s="341">
        <f>'FCST 8871789615 35%'!T50</f>
        <v>0</v>
      </c>
      <c r="AR13" s="57">
        <f>'FCST 8871789615 35%'!U50</f>
        <v>0</v>
      </c>
      <c r="AS13" s="348">
        <f>'FCST 8871789615 35%'!V50</f>
        <v>0</v>
      </c>
      <c r="AT13" s="341">
        <f>'FCST 8871789615 35%'!W50</f>
        <v>0</v>
      </c>
      <c r="AU13" s="57">
        <f>'FCST 8871789615 35%'!X50</f>
        <v>0</v>
      </c>
      <c r="AV13" s="348">
        <f>'FCST 8871789615 35%'!Y50</f>
        <v>0</v>
      </c>
      <c r="AW13" s="341">
        <f>'FCST 8871789615 35%'!Z50</f>
        <v>0</v>
      </c>
      <c r="AX13" s="57">
        <f>'FCST 8871789615 35%'!AA50</f>
        <v>0</v>
      </c>
      <c r="AY13" s="316">
        <f>'FCST 8871789615 35%'!AB50</f>
        <v>0</v>
      </c>
      <c r="AZ13" s="341">
        <f>'FCST 8871789615 35%'!AC50</f>
        <v>0</v>
      </c>
      <c r="BA13" s="57">
        <f>'FCST 8871789615 35%'!AD50</f>
        <v>0</v>
      </c>
    </row>
    <row r="14" spans="1:53">
      <c r="B14" s="526"/>
      <c r="C14" s="529"/>
      <c r="D14" s="529"/>
      <c r="E14" s="532"/>
      <c r="F14" s="532"/>
      <c r="G14" s="45" t="s">
        <v>34</v>
      </c>
      <c r="H14" s="58">
        <f>(H10-H11)/H10</f>
        <v>0.34645969820013178</v>
      </c>
      <c r="I14" s="65">
        <v>0.3342875007701635</v>
      </c>
      <c r="J14" s="59">
        <v>0.11274624929026023</v>
      </c>
      <c r="K14" s="59">
        <v>0.31667021098444925</v>
      </c>
      <c r="L14" s="59">
        <v>0.49334816531632913</v>
      </c>
      <c r="M14" s="59">
        <v>0.32693204871505133</v>
      </c>
      <c r="N14" s="59">
        <v>-6.4920801696964087E-3</v>
      </c>
      <c r="O14" s="59">
        <v>0.2664049486234068</v>
      </c>
      <c r="P14" s="59">
        <v>0.3350452551661916</v>
      </c>
      <c r="Q14" s="59">
        <v>0.24966123266390905</v>
      </c>
      <c r="R14" s="59">
        <v>0.49896116538285795</v>
      </c>
      <c r="S14" s="59">
        <v>0.35358589275244667</v>
      </c>
      <c r="T14" s="59">
        <v>0.45595082548563776</v>
      </c>
      <c r="U14" s="59">
        <v>0</v>
      </c>
      <c r="V14" s="65">
        <v>0.55825534221226436</v>
      </c>
      <c r="W14" s="65">
        <v>0.38233572570335028</v>
      </c>
      <c r="X14" s="181">
        <v>0.54826973262628054</v>
      </c>
      <c r="Y14" s="185">
        <v>0.18679497633354078</v>
      </c>
      <c r="Z14" s="65">
        <v>0.44990908829764481</v>
      </c>
      <c r="AA14" s="65">
        <v>0.30979002106568593</v>
      </c>
      <c r="AB14" s="65">
        <v>0.27938062205313069</v>
      </c>
      <c r="AC14" s="181">
        <v>0</v>
      </c>
      <c r="AD14" s="185">
        <f t="shared" ref="AD14:BA14" si="2">IFERROR((AD10-AD11)/AD10,0)</f>
        <v>0.39366236812717192</v>
      </c>
      <c r="AE14" s="65">
        <f t="shared" si="2"/>
        <v>0.60212041853341725</v>
      </c>
      <c r="AF14" s="273">
        <f t="shared" si="2"/>
        <v>0.32199381486553807</v>
      </c>
      <c r="AG14" s="297">
        <f t="shared" si="2"/>
        <v>0.32901050472385218</v>
      </c>
      <c r="AH14" s="313">
        <f t="shared" si="2"/>
        <v>0.21070550130960536</v>
      </c>
      <c r="AI14" s="319">
        <f t="shared" si="2"/>
        <v>0.37690853510099437</v>
      </c>
      <c r="AJ14" s="297">
        <f t="shared" si="2"/>
        <v>-0.45925265703878382</v>
      </c>
      <c r="AK14" s="369">
        <f t="shared" si="2"/>
        <v>0.59227528460806766</v>
      </c>
      <c r="AL14" s="380">
        <f t="shared" si="2"/>
        <v>0.31482772701606265</v>
      </c>
      <c r="AM14" s="185">
        <f t="shared" si="2"/>
        <v>-0.95</v>
      </c>
      <c r="AN14" s="60"/>
      <c r="AO14" s="342"/>
      <c r="AP14" s="349">
        <f t="shared" si="2"/>
        <v>0</v>
      </c>
      <c r="AQ14" s="342">
        <f t="shared" si="2"/>
        <v>0</v>
      </c>
      <c r="AR14" s="61">
        <f t="shared" si="2"/>
        <v>0</v>
      </c>
      <c r="AS14" s="349">
        <f t="shared" si="2"/>
        <v>0</v>
      </c>
      <c r="AT14" s="342">
        <f t="shared" si="2"/>
        <v>0</v>
      </c>
      <c r="AU14" s="61">
        <f t="shared" si="2"/>
        <v>0</v>
      </c>
      <c r="AV14" s="349">
        <f t="shared" si="2"/>
        <v>0</v>
      </c>
      <c r="AW14" s="342">
        <f t="shared" si="2"/>
        <v>0</v>
      </c>
      <c r="AX14" s="61">
        <f t="shared" si="2"/>
        <v>0</v>
      </c>
      <c r="AY14" s="357">
        <f t="shared" si="2"/>
        <v>0</v>
      </c>
      <c r="AZ14" s="342">
        <f t="shared" si="2"/>
        <v>0</v>
      </c>
      <c r="BA14" s="61">
        <f t="shared" si="2"/>
        <v>0</v>
      </c>
    </row>
    <row r="15" spans="1:53">
      <c r="B15" s="526"/>
      <c r="C15" s="529"/>
      <c r="D15" s="529"/>
      <c r="E15" s="532"/>
      <c r="F15" s="532"/>
      <c r="G15" s="45" t="s">
        <v>35</v>
      </c>
      <c r="H15" s="58">
        <f>(H12-H13)/H12</f>
        <v>0.33642168015977397</v>
      </c>
      <c r="I15" s="65">
        <v>0.3342875007701635</v>
      </c>
      <c r="J15" s="59">
        <v>9.7683571742868638E-2</v>
      </c>
      <c r="K15" s="59">
        <v>0.3103833014680808</v>
      </c>
      <c r="L15" s="59">
        <v>0.47679322474683322</v>
      </c>
      <c r="M15" s="59">
        <v>0.51767358459832047</v>
      </c>
      <c r="N15" s="59">
        <v>-8.34899457473459E-3</v>
      </c>
      <c r="O15" s="59">
        <v>0.23041513059392507</v>
      </c>
      <c r="P15" s="59">
        <v>0.3350452551661916</v>
      </c>
      <c r="Q15" s="59">
        <v>7.9902300248928457E-2</v>
      </c>
      <c r="R15" s="59">
        <v>0.49876500555012387</v>
      </c>
      <c r="S15" s="59">
        <v>0.30444053631160062</v>
      </c>
      <c r="T15" s="59">
        <v>0.36128042870089433</v>
      </c>
      <c r="U15" s="59">
        <v>0</v>
      </c>
      <c r="V15" s="65">
        <v>0.52064849895378162</v>
      </c>
      <c r="W15" s="65">
        <v>0.51021483668857504</v>
      </c>
      <c r="X15" s="181">
        <v>0.16100650814730891</v>
      </c>
      <c r="Y15" s="185">
        <v>0.16100650814730891</v>
      </c>
      <c r="Z15" s="65">
        <v>0.43210683152332197</v>
      </c>
      <c r="AA15" s="65">
        <v>0.3352862714753313</v>
      </c>
      <c r="AB15" s="65">
        <v>1.6604818044777269E-2</v>
      </c>
      <c r="AC15" s="181">
        <v>0</v>
      </c>
      <c r="AD15" s="185">
        <f t="shared" ref="AD15:BA15" si="3">IFERROR((AD12-AD13)/AD12,0)</f>
        <v>0.44840068127795768</v>
      </c>
      <c r="AE15" s="65">
        <f t="shared" si="3"/>
        <v>0.519860319882547</v>
      </c>
      <c r="AF15" s="273">
        <f t="shared" si="3"/>
        <v>0.33783473967185457</v>
      </c>
      <c r="AG15" s="297">
        <f t="shared" si="3"/>
        <v>0.30385237395383063</v>
      </c>
      <c r="AH15" s="313">
        <f t="shared" si="3"/>
        <v>0.29533353574101762</v>
      </c>
      <c r="AI15" s="319">
        <f t="shared" si="3"/>
        <v>0.39968869354708236</v>
      </c>
      <c r="AJ15" s="297">
        <f t="shared" si="3"/>
        <v>-0.3807528945057459</v>
      </c>
      <c r="AK15" s="369">
        <f t="shared" si="3"/>
        <v>0.64234832756418314</v>
      </c>
      <c r="AL15" s="380">
        <f t="shared" si="3"/>
        <v>0.29747612361857378</v>
      </c>
      <c r="AM15" s="185">
        <f t="shared" si="3"/>
        <v>-1.04</v>
      </c>
      <c r="AN15" s="60"/>
      <c r="AO15" s="342"/>
      <c r="AP15" s="349">
        <f t="shared" si="3"/>
        <v>0</v>
      </c>
      <c r="AQ15" s="342">
        <f t="shared" si="3"/>
        <v>0</v>
      </c>
      <c r="AR15" s="61">
        <f t="shared" si="3"/>
        <v>0</v>
      </c>
      <c r="AS15" s="349">
        <f t="shared" si="3"/>
        <v>0</v>
      </c>
      <c r="AT15" s="342">
        <f t="shared" si="3"/>
        <v>0</v>
      </c>
      <c r="AU15" s="61">
        <f t="shared" si="3"/>
        <v>0</v>
      </c>
      <c r="AV15" s="349">
        <f t="shared" si="3"/>
        <v>0</v>
      </c>
      <c r="AW15" s="342">
        <f t="shared" si="3"/>
        <v>0</v>
      </c>
      <c r="AX15" s="61">
        <f t="shared" si="3"/>
        <v>0</v>
      </c>
      <c r="AY15" s="357">
        <f t="shared" si="3"/>
        <v>0</v>
      </c>
      <c r="AZ15" s="342">
        <f t="shared" si="3"/>
        <v>0</v>
      </c>
      <c r="BA15" s="61">
        <f t="shared" si="3"/>
        <v>0</v>
      </c>
    </row>
    <row r="16" spans="1:53" ht="15" thickBot="1">
      <c r="B16" s="527"/>
      <c r="C16" s="530"/>
      <c r="D16" s="530"/>
      <c r="E16" s="533"/>
      <c r="F16" s="533"/>
      <c r="G16" s="229" t="s">
        <v>37</v>
      </c>
      <c r="H16" s="230">
        <f>H11-H13</f>
        <v>-10629.20</v>
      </c>
      <c r="I16" s="201">
        <v>0</v>
      </c>
      <c r="J16" s="62">
        <v>-272.42</v>
      </c>
      <c r="K16" s="62">
        <v>-176.45</v>
      </c>
      <c r="L16" s="62">
        <v>-704.66</v>
      </c>
      <c r="M16" s="62">
        <v>4697.45</v>
      </c>
      <c r="N16" s="62">
        <v>-45.73</v>
      </c>
      <c r="O16" s="62">
        <v>-312.93</v>
      </c>
      <c r="P16" s="62">
        <v>0</v>
      </c>
      <c r="Q16" s="62">
        <v>-1476.06</v>
      </c>
      <c r="R16" s="62">
        <v>-8.25</v>
      </c>
      <c r="S16" s="62">
        <v>-443.34</v>
      </c>
      <c r="T16" s="62">
        <v>-1955.03</v>
      </c>
      <c r="U16" s="62">
        <v>-830.27</v>
      </c>
      <c r="V16" s="66">
        <v>-674.70</v>
      </c>
      <c r="W16" s="66">
        <v>2292.38</v>
      </c>
      <c r="X16" s="182">
        <v>-19086.05</v>
      </c>
      <c r="Y16" s="189">
        <v>-1270.97</v>
      </c>
      <c r="Z16" s="66">
        <v>-1686.79</v>
      </c>
      <c r="AA16" s="66">
        <v>2324.27</v>
      </c>
      <c r="AB16" s="66">
        <v>-5105.77</v>
      </c>
      <c r="AC16" s="182">
        <v>-1977.40</v>
      </c>
      <c r="AD16" s="189">
        <f t="shared" ref="AD16:BA16" si="4">AD11-AD13</f>
        <v>356.96</v>
      </c>
      <c r="AE16" s="66">
        <f t="shared" si="4"/>
        <v>-2059.80</v>
      </c>
      <c r="AF16" s="274">
        <f t="shared" si="4"/>
        <v>489.70</v>
      </c>
      <c r="AG16" s="298">
        <f t="shared" si="4"/>
        <v>-1382.02</v>
      </c>
      <c r="AH16" s="314">
        <f t="shared" si="4"/>
        <v>1993.65</v>
      </c>
      <c r="AI16" s="320">
        <f t="shared" si="4"/>
        <v>987.59</v>
      </c>
      <c r="AJ16" s="298">
        <f t="shared" si="4"/>
        <v>1799.52</v>
      </c>
      <c r="AK16" s="370">
        <f t="shared" si="4"/>
        <v>4396.97</v>
      </c>
      <c r="AL16" s="381">
        <f t="shared" si="4"/>
        <v>-1246.47</v>
      </c>
      <c r="AM16" s="186">
        <f t="shared" si="4"/>
        <v>-914.06</v>
      </c>
      <c r="AN16" s="187"/>
      <c r="AO16" s="343"/>
      <c r="AP16" s="350">
        <f t="shared" si="4"/>
        <v>-41617.10</v>
      </c>
      <c r="AQ16" s="343">
        <f t="shared" si="4"/>
        <v>0</v>
      </c>
      <c r="AR16" s="188">
        <f t="shared" si="4"/>
        <v>0</v>
      </c>
      <c r="AS16" s="350">
        <f t="shared" si="4"/>
        <v>0</v>
      </c>
      <c r="AT16" s="343">
        <f t="shared" si="4"/>
        <v>0</v>
      </c>
      <c r="AU16" s="188">
        <f t="shared" si="4"/>
        <v>0</v>
      </c>
      <c r="AV16" s="350">
        <f t="shared" si="4"/>
        <v>0</v>
      </c>
      <c r="AW16" s="343">
        <f t="shared" si="4"/>
        <v>0</v>
      </c>
      <c r="AX16" s="188">
        <f t="shared" si="4"/>
        <v>0</v>
      </c>
      <c r="AY16" s="358">
        <f t="shared" si="4"/>
        <v>0</v>
      </c>
      <c r="AZ16" s="343">
        <f t="shared" si="4"/>
        <v>0</v>
      </c>
      <c r="BA16" s="188">
        <f t="shared" si="4"/>
        <v>0</v>
      </c>
    </row>
    <row r="17" spans="1:53">
      <c r="B17" s="525" t="s">
        <v>20</v>
      </c>
      <c r="C17" s="528" t="s">
        <v>14</v>
      </c>
      <c r="D17" s="528">
        <v>8874098591</v>
      </c>
      <c r="E17" s="531" t="s">
        <v>38</v>
      </c>
      <c r="F17" s="531" t="s">
        <v>25</v>
      </c>
      <c r="G17" s="50" t="s">
        <v>32</v>
      </c>
      <c r="H17" s="51">
        <f>IFERROR(SUM(I17:AO17),0)</f>
        <v>1817547.21</v>
      </c>
      <c r="I17" s="63">
        <v>277570.82</v>
      </c>
      <c r="J17" s="52">
        <v>43076.13</v>
      </c>
      <c r="K17" s="52">
        <v>33814.60</v>
      </c>
      <c r="L17" s="52">
        <v>24050.21</v>
      </c>
      <c r="M17" s="52">
        <v>25733.86</v>
      </c>
      <c r="N17" s="52">
        <v>27248.97</v>
      </c>
      <c r="O17" s="52">
        <v>9652.35</v>
      </c>
      <c r="P17" s="52">
        <v>9652.35</v>
      </c>
      <c r="Q17" s="52">
        <v>0</v>
      </c>
      <c r="R17" s="52">
        <v>15533.80</v>
      </c>
      <c r="S17" s="52">
        <v>56999.95</v>
      </c>
      <c r="T17" s="52">
        <v>39046.88</v>
      </c>
      <c r="U17" s="52">
        <v>23513.13</v>
      </c>
      <c r="V17" s="63">
        <v>32762.06</v>
      </c>
      <c r="W17" s="63">
        <v>36485.89</v>
      </c>
      <c r="X17" s="178">
        <v>36485.88</v>
      </c>
      <c r="Y17" s="183"/>
      <c r="Z17" s="63">
        <v>13253.29</v>
      </c>
      <c r="AA17" s="178">
        <v>10580.63</v>
      </c>
      <c r="AB17" s="183">
        <v>37221.13</v>
      </c>
      <c r="AC17" s="231">
        <v>63398.30</v>
      </c>
      <c r="AD17" s="219">
        <v>133426.98000000001</v>
      </c>
      <c r="AE17" s="63">
        <v>130382.41</v>
      </c>
      <c r="AF17" s="271">
        <v>90746.44</v>
      </c>
      <c r="AG17" s="294">
        <v>50871.94</v>
      </c>
      <c r="AH17" s="312">
        <v>92339.78</v>
      </c>
      <c r="AI17" s="321">
        <v>103898.21</v>
      </c>
      <c r="AJ17" s="337">
        <v>101814.97</v>
      </c>
      <c r="AK17" s="371">
        <v>84487.68</v>
      </c>
      <c r="AL17" s="382">
        <v>81287.994999999995</v>
      </c>
      <c r="AM17" s="426">
        <v>80282.86</v>
      </c>
      <c r="AN17" s="323">
        <v>81348.48</v>
      </c>
      <c r="AO17" s="344">
        <v>10580.63</v>
      </c>
      <c r="AP17" s="351">
        <v>10581.45</v>
      </c>
      <c r="AQ17" s="344">
        <v>10582.26</v>
      </c>
      <c r="AR17" s="324">
        <v>10583.08</v>
      </c>
      <c r="AS17" s="351">
        <v>10583.89</v>
      </c>
      <c r="AT17" s="344">
        <v>10584.70</v>
      </c>
      <c r="AU17" s="324">
        <v>10585.52</v>
      </c>
      <c r="AV17" s="351">
        <v>10586.33</v>
      </c>
      <c r="AW17" s="344">
        <v>10587.14</v>
      </c>
      <c r="AX17" s="324">
        <v>10587.96</v>
      </c>
      <c r="AY17" s="359">
        <v>10588.77</v>
      </c>
      <c r="AZ17" s="344">
        <v>10589.59</v>
      </c>
      <c r="BA17" s="324">
        <v>10590.40</v>
      </c>
    </row>
    <row r="18" spans="1:53">
      <c r="B18" s="526"/>
      <c r="C18" s="529"/>
      <c r="D18" s="529"/>
      <c r="E18" s="532"/>
      <c r="F18" s="532"/>
      <c r="G18" s="45" t="s">
        <v>33</v>
      </c>
      <c r="H18" s="55">
        <f>IFERROR(SUM(I18:AO18),0)</f>
        <v>1125177.64</v>
      </c>
      <c r="I18" s="64">
        <v>171481.08</v>
      </c>
      <c r="J18" s="53">
        <v>35722.43</v>
      </c>
      <c r="K18" s="53">
        <v>23777.49</v>
      </c>
      <c r="L18" s="53">
        <v>14795.57</v>
      </c>
      <c r="M18" s="53">
        <v>18425.82</v>
      </c>
      <c r="N18" s="53">
        <v>4653.83</v>
      </c>
      <c r="O18" s="53">
        <v>6632.24</v>
      </c>
      <c r="P18" s="53">
        <v>6976.44</v>
      </c>
      <c r="Q18" s="53">
        <v>0</v>
      </c>
      <c r="R18" s="53">
        <v>9813.42</v>
      </c>
      <c r="S18" s="53">
        <v>32931.48</v>
      </c>
      <c r="T18" s="53">
        <v>26173.26</v>
      </c>
      <c r="U18" s="53">
        <v>15935.18</v>
      </c>
      <c r="V18" s="64">
        <v>13352.38</v>
      </c>
      <c r="W18" s="64">
        <v>22810.79</v>
      </c>
      <c r="X18" s="179">
        <v>29161.96</v>
      </c>
      <c r="Y18" s="184">
        <v>0</v>
      </c>
      <c r="Z18" s="64">
        <v>11680.35</v>
      </c>
      <c r="AA18" s="179">
        <v>4918.12</v>
      </c>
      <c r="AB18" s="184">
        <v>56171.51</v>
      </c>
      <c r="AC18" s="179">
        <v>33773.90</v>
      </c>
      <c r="AD18" s="184">
        <f>'FCST 8874098591 35%'!H51</f>
        <v>58648.25</v>
      </c>
      <c r="AE18" s="64">
        <f>'FCST 8874098591 35%'!I51</f>
        <v>61691.76</v>
      </c>
      <c r="AF18" s="272">
        <f>'FCST 8874098591 35%'!J51</f>
        <v>52279.54</v>
      </c>
      <c r="AG18" s="299">
        <f>'FCST 8874098591 35%'!K51</f>
        <v>28285.21</v>
      </c>
      <c r="AH18" s="304">
        <f>'FCST 8874098591 35%'!L51</f>
        <v>52996.92</v>
      </c>
      <c r="AI18" s="318">
        <f>'FCST 8874098591 35%'!M51</f>
        <v>56052.94</v>
      </c>
      <c r="AJ18" s="296">
        <v>86869.67</v>
      </c>
      <c r="AK18" s="304">
        <f>'FCST 8874098591 35%'!O51</f>
        <v>49715.31</v>
      </c>
      <c r="AL18" s="295">
        <f>'FCST 8874098591 35%'!P51</f>
        <v>32222.43</v>
      </c>
      <c r="AM18" s="427">
        <f>'FCST 8874098591 35%'!Q51</f>
        <v>68722.47</v>
      </c>
      <c r="AN18" s="209">
        <f>'FCST 8874098591 35%'!R51</f>
        <v>31734</v>
      </c>
      <c r="AO18" s="341">
        <v>6771.61</v>
      </c>
      <c r="AP18" s="348">
        <f>'FCST 8874098591 35%'!T51</f>
        <v>0</v>
      </c>
      <c r="AQ18" s="341">
        <f>'FCST 8874098591 35%'!U51</f>
        <v>0</v>
      </c>
      <c r="AR18" s="57">
        <f>'FCST 8874098591 35%'!V51</f>
        <v>0</v>
      </c>
      <c r="AS18" s="348">
        <f>'FCST 8874098591 35%'!W51</f>
        <v>0</v>
      </c>
      <c r="AT18" s="341">
        <f>'FCST 8874098591 35%'!X51</f>
        <v>0</v>
      </c>
      <c r="AU18" s="57">
        <f>'FCST 8874098591 35%'!Y51</f>
        <v>0</v>
      </c>
      <c r="AV18" s="348">
        <f>'FCST 8874098591 35%'!Z51</f>
        <v>0</v>
      </c>
      <c r="AW18" s="341">
        <f>'FCST 8874098591 35%'!AA51</f>
        <v>0</v>
      </c>
      <c r="AX18" s="57">
        <f>'FCST 8874098591 35%'!AB51</f>
        <v>0</v>
      </c>
      <c r="AY18" s="316">
        <f>'FCST 8874098591 35%'!AC51</f>
        <v>0</v>
      </c>
      <c r="AZ18" s="341">
        <f>'FCST 8874098591 35%'!AD51</f>
        <v>0</v>
      </c>
      <c r="BA18" s="57">
        <f>'FCST 8874098591 35%'!AE51</f>
        <v>0</v>
      </c>
    </row>
    <row r="19" spans="1:53">
      <c r="B19" s="526"/>
      <c r="C19" s="529"/>
      <c r="D19" s="529"/>
      <c r="E19" s="532"/>
      <c r="F19" s="532"/>
      <c r="G19" s="45" t="s">
        <v>31</v>
      </c>
      <c r="H19" s="55">
        <f>IFERROR(SUM(I19:AO19),0)</f>
        <v>1809410.22</v>
      </c>
      <c r="I19" s="64">
        <v>277570.82</v>
      </c>
      <c r="J19" s="53">
        <v>43076.13</v>
      </c>
      <c r="K19" s="53">
        <v>33814.60</v>
      </c>
      <c r="L19" s="53">
        <v>24050.21</v>
      </c>
      <c r="M19" s="53">
        <v>17596.85</v>
      </c>
      <c r="N19" s="53">
        <v>27248.96</v>
      </c>
      <c r="O19" s="53">
        <v>9652.11</v>
      </c>
      <c r="P19" s="53">
        <v>9652.35</v>
      </c>
      <c r="Q19" s="53">
        <v>0</v>
      </c>
      <c r="R19" s="53">
        <v>15533.80</v>
      </c>
      <c r="S19" s="53">
        <v>57000.23</v>
      </c>
      <c r="T19" s="53">
        <v>39046.88</v>
      </c>
      <c r="U19" s="53">
        <v>23513.13</v>
      </c>
      <c r="V19" s="64">
        <v>32762.06</v>
      </c>
      <c r="W19" s="64">
        <v>36485.89</v>
      </c>
      <c r="X19" s="180">
        <v>36485.88</v>
      </c>
      <c r="Y19" s="184"/>
      <c r="Z19" s="200">
        <v>13253.29</v>
      </c>
      <c r="AA19" s="179">
        <v>10580.63</v>
      </c>
      <c r="AB19" s="184">
        <v>37221.13</v>
      </c>
      <c r="AC19" s="179">
        <v>63398.30</v>
      </c>
      <c r="AD19" s="184">
        <v>108569.53</v>
      </c>
      <c r="AE19" s="64">
        <v>130382.41</v>
      </c>
      <c r="AF19" s="272">
        <v>90746.44</v>
      </c>
      <c r="AG19" s="296">
        <v>50871.94</v>
      </c>
      <c r="AH19" s="304">
        <v>92339.78</v>
      </c>
      <c r="AI19" s="321">
        <v>103898.21</v>
      </c>
      <c r="AJ19" s="296">
        <v>101814.97</v>
      </c>
      <c r="AK19" s="372">
        <v>84487.68</v>
      </c>
      <c r="AL19" s="382">
        <v>81287.994999999995</v>
      </c>
      <c r="AM19" s="184">
        <v>80282.86</v>
      </c>
      <c r="AN19" s="56">
        <v>81348.48</v>
      </c>
      <c r="AO19" s="341">
        <v>10580.63</v>
      </c>
      <c r="AP19" s="348"/>
      <c r="AQ19" s="341"/>
      <c r="AR19" s="57"/>
      <c r="AS19" s="348"/>
      <c r="AT19" s="341"/>
      <c r="AU19" s="57"/>
      <c r="AV19" s="348"/>
      <c r="AW19" s="341"/>
      <c r="AX19" s="57"/>
      <c r="AY19" s="316"/>
      <c r="AZ19" s="341"/>
      <c r="BA19" s="57"/>
    </row>
    <row r="20" spans="1:53">
      <c r="B20" s="526"/>
      <c r="C20" s="529"/>
      <c r="D20" s="529"/>
      <c r="E20" s="532"/>
      <c r="F20" s="532"/>
      <c r="G20" s="45" t="s">
        <v>36</v>
      </c>
      <c r="H20" s="55">
        <f>IFERROR(SUM(I20:AO20),0)</f>
        <v>1193027.08</v>
      </c>
      <c r="I20" s="64">
        <v>171481.08</v>
      </c>
      <c r="J20" s="53">
        <v>41393.21</v>
      </c>
      <c r="K20" s="53">
        <v>26404.54</v>
      </c>
      <c r="L20" s="53">
        <v>17511.96</v>
      </c>
      <c r="M20" s="53">
        <v>22670.18</v>
      </c>
      <c r="N20" s="53">
        <v>4653.83</v>
      </c>
      <c r="O20" s="53">
        <v>7328.98</v>
      </c>
      <c r="P20" s="53">
        <v>7458.50</v>
      </c>
      <c r="Q20" s="53">
        <v>977.20</v>
      </c>
      <c r="R20" s="53">
        <v>9607.50</v>
      </c>
      <c r="S20" s="53">
        <v>30557.15</v>
      </c>
      <c r="T20" s="53">
        <v>26173.26</v>
      </c>
      <c r="U20" s="53">
        <v>19650.38</v>
      </c>
      <c r="V20" s="64">
        <v>12656.88</v>
      </c>
      <c r="W20" s="64">
        <v>22529.93</v>
      </c>
      <c r="X20" s="165">
        <v>27643.56</v>
      </c>
      <c r="Y20" s="184">
        <v>204.56</v>
      </c>
      <c r="Z20" s="64">
        <v>11915.80</v>
      </c>
      <c r="AA20" s="179">
        <v>9506.61</v>
      </c>
      <c r="AB20" s="184">
        <v>54685.67</v>
      </c>
      <c r="AC20" s="179">
        <v>33473.79</v>
      </c>
      <c r="AD20" s="184">
        <v>73496.47</v>
      </c>
      <c r="AE20" s="64">
        <v>65135.02</v>
      </c>
      <c r="AF20" s="272">
        <v>56905.73</v>
      </c>
      <c r="AG20" s="299">
        <v>40587.25</v>
      </c>
      <c r="AH20" s="304">
        <v>56545.37</v>
      </c>
      <c r="AI20" s="318">
        <v>53832.37</v>
      </c>
      <c r="AJ20" s="299">
        <v>76133.22</v>
      </c>
      <c r="AK20" s="304">
        <v>53888.63</v>
      </c>
      <c r="AL20" s="295">
        <v>34918.23</v>
      </c>
      <c r="AM20" s="427">
        <v>79503.68</v>
      </c>
      <c r="AN20" s="341">
        <v>35803</v>
      </c>
      <c r="AO20" s="341">
        <f>8321.9936+1256.17</f>
        <v>7793.75</v>
      </c>
      <c r="AP20" s="348">
        <f>'FCST 8874098591 35%'!T41</f>
        <v>0</v>
      </c>
      <c r="AQ20" s="341">
        <f>'FCST 8874098591 35%'!U41</f>
        <v>0</v>
      </c>
      <c r="AR20" s="57">
        <f>'FCST 8874098591 35%'!V41</f>
        <v>0</v>
      </c>
      <c r="AS20" s="348">
        <f>'FCST 8874098591 35%'!W41</f>
        <v>0</v>
      </c>
      <c r="AT20" s="341">
        <f>'FCST 8874098591 35%'!X41</f>
        <v>0</v>
      </c>
      <c r="AU20" s="57">
        <f>'FCST 8874098591 35%'!Y41</f>
        <v>0</v>
      </c>
      <c r="AV20" s="348">
        <f>'FCST 8874098591 35%'!Z41</f>
        <v>0</v>
      </c>
      <c r="AW20" s="341">
        <f>'FCST 8874098591 35%'!AA41</f>
        <v>0</v>
      </c>
      <c r="AX20" s="57">
        <f>'FCST 8874098591 35%'!AB41</f>
        <v>0</v>
      </c>
      <c r="AY20" s="316">
        <f>'FCST 8874098591 35%'!AC41</f>
        <v>0</v>
      </c>
      <c r="AZ20" s="341">
        <f>'FCST 8874098591 35%'!AD41</f>
        <v>0</v>
      </c>
      <c r="BA20" s="57">
        <f>'FCST 8874098591 35%'!AE41</f>
        <v>0</v>
      </c>
    </row>
    <row r="21" spans="1:53">
      <c r="B21" s="526"/>
      <c r="C21" s="529"/>
      <c r="D21" s="529"/>
      <c r="E21" s="532"/>
      <c r="F21" s="532"/>
      <c r="G21" s="45" t="s">
        <v>34</v>
      </c>
      <c r="H21" s="58">
        <f>(H17-H18)/H17</f>
        <v>0.38093622288792922</v>
      </c>
      <c r="I21" s="65">
        <v>0.38220781016611044</v>
      </c>
      <c r="J21" s="59">
        <v>0.17071404810743929</v>
      </c>
      <c r="K21" s="59">
        <v>0.29682753084408509</v>
      </c>
      <c r="L21" s="59">
        <v>0.38480481516818571</v>
      </c>
      <c r="M21" s="59">
        <v>0.28398534990338559</v>
      </c>
      <c r="N21" s="59">
        <v>0.82921087813357308</v>
      </c>
      <c r="O21" s="59">
        <v>0.31288873152761265</v>
      </c>
      <c r="P21" s="59">
        <v>0.27722893303063756</v>
      </c>
      <c r="Q21" s="59">
        <v>0</v>
      </c>
      <c r="R21" s="59">
        <v>0.36825397989453307</v>
      </c>
      <c r="S21" s="59">
        <v>0.42225427060800425</v>
      </c>
      <c r="T21" s="59">
        <v>0.32969636245952533</v>
      </c>
      <c r="U21" s="59">
        <v>0.3222859745243033</v>
      </c>
      <c r="V21" s="65">
        <v>0.5924436710861839</v>
      </c>
      <c r="W21" s="65">
        <v>0.37480531112195964</v>
      </c>
      <c r="X21" s="181">
        <v>0.20073301474504168</v>
      </c>
      <c r="Y21" s="185">
        <v>0</v>
      </c>
      <c r="Z21" s="65">
        <v>0.11868312817839723</v>
      </c>
      <c r="AA21" s="181">
        <v>0.53517753246049116</v>
      </c>
      <c r="AB21" s="185">
        <v>-0.50912962534644601</v>
      </c>
      <c r="AC21" s="181">
        <v>0.46727445949430391</v>
      </c>
      <c r="AD21" s="185">
        <f t="shared" ref="AD21:BA21" si="5">IFERROR((AD17-AD18)/AD17,0)</f>
        <v>0.45980935789748067</v>
      </c>
      <c r="AE21" s="65">
        <f t="shared" si="5"/>
        <v>0.52683987001261467</v>
      </c>
      <c r="AF21" s="273">
        <f t="shared" si="5"/>
        <v>0.4238943064950958</v>
      </c>
      <c r="AG21" s="297">
        <f t="shared" si="5"/>
        <v>0.44399191737332855</v>
      </c>
      <c r="AH21" s="313">
        <f t="shared" si="5"/>
        <v>0.42606617586260359</v>
      </c>
      <c r="AI21" s="319">
        <f t="shared" si="5"/>
        <v>0.4605014099743201</v>
      </c>
      <c r="AJ21" s="297">
        <f t="shared" si="5"/>
        <v>0.14678885041668513</v>
      </c>
      <c r="AK21" s="369">
        <f t="shared" si="5"/>
        <v>0.41156737766006135</v>
      </c>
      <c r="AL21" s="380">
        <f t="shared" si="5"/>
        <v>0.51284454734060048</v>
      </c>
      <c r="AM21" s="185">
        <f t="shared" si="5"/>
        <v>0.14399572488228973</v>
      </c>
      <c r="AN21" s="60">
        <f t="shared" si="5"/>
        <v>0.60989681770828386</v>
      </c>
      <c r="AO21" s="342">
        <f t="shared" si="5"/>
        <v>0.36</v>
      </c>
      <c r="AP21" s="349">
        <f t="shared" si="5"/>
        <v>1</v>
      </c>
      <c r="AQ21" s="342">
        <f t="shared" si="5"/>
        <v>1</v>
      </c>
      <c r="AR21" s="61">
        <f t="shared" si="5"/>
        <v>1</v>
      </c>
      <c r="AS21" s="349">
        <f t="shared" si="5"/>
        <v>1</v>
      </c>
      <c r="AT21" s="342">
        <f t="shared" si="5"/>
        <v>1</v>
      </c>
      <c r="AU21" s="61">
        <f t="shared" si="5"/>
        <v>1</v>
      </c>
      <c r="AV21" s="349">
        <f t="shared" si="5"/>
        <v>1</v>
      </c>
      <c r="AW21" s="342">
        <f t="shared" si="5"/>
        <v>1</v>
      </c>
      <c r="AX21" s="61">
        <f t="shared" si="5"/>
        <v>1</v>
      </c>
      <c r="AY21" s="357">
        <f t="shared" si="5"/>
        <v>1</v>
      </c>
      <c r="AZ21" s="342">
        <f t="shared" si="5"/>
        <v>1</v>
      </c>
      <c r="BA21" s="61">
        <f t="shared" si="5"/>
        <v>1</v>
      </c>
    </row>
    <row r="22" spans="1:53">
      <c r="B22" s="526"/>
      <c r="C22" s="529"/>
      <c r="D22" s="529"/>
      <c r="E22" s="532"/>
      <c r="F22" s="532"/>
      <c r="G22" s="45" t="s">
        <v>35</v>
      </c>
      <c r="H22" s="58">
        <f>(H19-H20)/H19</f>
        <v>0.34065417243846846</v>
      </c>
      <c r="I22" s="65">
        <v>0.38220781016611044</v>
      </c>
      <c r="J22" s="59">
        <v>3.906847537873593E-2</v>
      </c>
      <c r="K22" s="59">
        <v>0.21913780702410848</v>
      </c>
      <c r="L22" s="59">
        <v>0.27185840049261417</v>
      </c>
      <c r="M22" s="59">
        <v>-0.28830901352648602</v>
      </c>
      <c r="N22" s="59">
        <v>0.82921082713305061</v>
      </c>
      <c r="O22" s="59">
        <v>0.24068622512766732</v>
      </c>
      <c r="P22" s="59">
        <v>0.22728579388971276</v>
      </c>
      <c r="Q22" s="59">
        <v>0</v>
      </c>
      <c r="R22" s="59">
        <v>0.381509905800476</v>
      </c>
      <c r="S22" s="59">
        <v>0.46391176583602123</v>
      </c>
      <c r="T22" s="59">
        <v>0.32969636245952533</v>
      </c>
      <c r="U22" s="59">
        <v>0.16428045414402279</v>
      </c>
      <c r="V22" s="65">
        <v>0.6136725291936258</v>
      </c>
      <c r="W22" s="65">
        <v>0.38250301241160412</v>
      </c>
      <c r="X22" s="181">
        <v>0.24234915302318413</v>
      </c>
      <c r="Y22" s="185">
        <v>0</v>
      </c>
      <c r="Z22" s="65">
        <v>0.10091793249994328</v>
      </c>
      <c r="AA22" s="181">
        <v>0.101508369340731</v>
      </c>
      <c r="AB22" s="185">
        <v>-0.46921041137169217</v>
      </c>
      <c r="AC22" s="181">
        <v>0.47200816391385281</v>
      </c>
      <c r="AD22" s="185">
        <f t="shared" ref="AD22:BA22" si="6">IFERROR((AD19-AD20)/AD19,0)</f>
        <v>0.32304703291643122</v>
      </c>
      <c r="AE22" s="65">
        <f t="shared" si="6"/>
        <v>0.50043096343903526</v>
      </c>
      <c r="AF22" s="273">
        <f t="shared" si="6"/>
        <v>0.37291507544348163</v>
      </c>
      <c r="AG22" s="297">
        <f t="shared" si="6"/>
        <v>0.20216819515515849</v>
      </c>
      <c r="AH22" s="313">
        <f t="shared" si="6"/>
        <v>0.38763800468018317</v>
      </c>
      <c r="AI22" s="319">
        <f t="shared" si="6"/>
        <v>0.48187395814677308</v>
      </c>
      <c r="AJ22" s="297">
        <f t="shared" si="6"/>
        <v>0.25223941389500704</v>
      </c>
      <c r="AK22" s="369">
        <f t="shared" si="6"/>
        <v>0.36217179211103451</v>
      </c>
      <c r="AL22" s="380">
        <f t="shared" si="6"/>
        <v>0.47208809861776019</v>
      </c>
      <c r="AM22" s="185">
        <f t="shared" si="6"/>
        <v>9.7053685768712129E-3</v>
      </c>
      <c r="AN22" s="60">
        <f t="shared" si="6"/>
        <v>0.55988358920934589</v>
      </c>
      <c r="AO22" s="342">
        <f t="shared" si="6"/>
        <v>0.26339468658086929</v>
      </c>
      <c r="AP22" s="349">
        <f t="shared" si="6"/>
        <v>0</v>
      </c>
      <c r="AQ22" s="342">
        <f t="shared" si="6"/>
        <v>0</v>
      </c>
      <c r="AR22" s="61">
        <f t="shared" si="6"/>
        <v>0</v>
      </c>
      <c r="AS22" s="349">
        <f t="shared" si="6"/>
        <v>0</v>
      </c>
      <c r="AT22" s="342">
        <f t="shared" si="6"/>
        <v>0</v>
      </c>
      <c r="AU22" s="61">
        <f t="shared" si="6"/>
        <v>0</v>
      </c>
      <c r="AV22" s="349">
        <f t="shared" si="6"/>
        <v>0</v>
      </c>
      <c r="AW22" s="342">
        <f t="shared" si="6"/>
        <v>0</v>
      </c>
      <c r="AX22" s="61">
        <f t="shared" si="6"/>
        <v>0</v>
      </c>
      <c r="AY22" s="357">
        <f t="shared" si="6"/>
        <v>0</v>
      </c>
      <c r="AZ22" s="342">
        <f t="shared" si="6"/>
        <v>0</v>
      </c>
      <c r="BA22" s="61">
        <f t="shared" si="6"/>
        <v>0</v>
      </c>
    </row>
    <row r="23" spans="1:53" ht="15" thickBot="1">
      <c r="B23" s="527"/>
      <c r="C23" s="530"/>
      <c r="D23" s="530"/>
      <c r="E23" s="533"/>
      <c r="F23" s="533"/>
      <c r="G23" s="229" t="s">
        <v>37</v>
      </c>
      <c r="H23" s="230">
        <f>H18-H20</f>
        <v>-67849.44</v>
      </c>
      <c r="I23" s="201">
        <v>0</v>
      </c>
      <c r="J23" s="62">
        <v>-5670.78</v>
      </c>
      <c r="K23" s="62">
        <v>-2627.05</v>
      </c>
      <c r="L23" s="62">
        <v>-2716.38</v>
      </c>
      <c r="M23" s="62">
        <v>-4244.36</v>
      </c>
      <c r="N23" s="62">
        <v>0</v>
      </c>
      <c r="O23" s="62">
        <v>-696.74</v>
      </c>
      <c r="P23" s="62">
        <v>-482.07</v>
      </c>
      <c r="Q23" s="62">
        <v>-977.20</v>
      </c>
      <c r="R23" s="62">
        <v>205.91</v>
      </c>
      <c r="S23" s="62">
        <v>2374.33</v>
      </c>
      <c r="T23" s="62">
        <v>0</v>
      </c>
      <c r="U23" s="62">
        <v>-3715.20</v>
      </c>
      <c r="V23" s="66">
        <v>695.50</v>
      </c>
      <c r="W23" s="66">
        <v>280.86</v>
      </c>
      <c r="X23" s="182">
        <v>1518.40</v>
      </c>
      <c r="Y23" s="186">
        <v>-204.56</v>
      </c>
      <c r="Z23" s="201">
        <v>-235.45</v>
      </c>
      <c r="AA23" s="213">
        <v>-4588.49</v>
      </c>
      <c r="AB23" s="186">
        <v>1485.84</v>
      </c>
      <c r="AC23" s="213">
        <v>300.11</v>
      </c>
      <c r="AD23" s="186">
        <f t="shared" ref="AD23:BA23" si="7">AD18-AD20</f>
        <v>-14848.22</v>
      </c>
      <c r="AE23" s="201">
        <f t="shared" si="7"/>
        <v>-3443.26</v>
      </c>
      <c r="AF23" s="275">
        <f t="shared" si="7"/>
        <v>-4626.18</v>
      </c>
      <c r="AG23" s="298">
        <f t="shared" si="7"/>
        <v>-12302.04</v>
      </c>
      <c r="AH23" s="314">
        <f t="shared" si="7"/>
        <v>-3548.45</v>
      </c>
      <c r="AI23" s="320">
        <f t="shared" si="7"/>
        <v>2220.57</v>
      </c>
      <c r="AJ23" s="298">
        <f t="shared" si="7"/>
        <v>10736.45</v>
      </c>
      <c r="AK23" s="370">
        <f t="shared" si="7"/>
        <v>-4173.32</v>
      </c>
      <c r="AL23" s="381">
        <f t="shared" si="7"/>
        <v>-2695.80</v>
      </c>
      <c r="AM23" s="186">
        <f t="shared" si="7"/>
        <v>-10781.21</v>
      </c>
      <c r="AN23" s="187">
        <f t="shared" si="7"/>
        <v>-4068</v>
      </c>
      <c r="AO23" s="343">
        <f t="shared" si="7"/>
        <v>-1022.15</v>
      </c>
      <c r="AP23" s="350">
        <f t="shared" si="7"/>
        <v>0</v>
      </c>
      <c r="AQ23" s="343">
        <f t="shared" si="7"/>
        <v>0</v>
      </c>
      <c r="AR23" s="188">
        <f t="shared" si="7"/>
        <v>0</v>
      </c>
      <c r="AS23" s="350">
        <f t="shared" si="7"/>
        <v>0</v>
      </c>
      <c r="AT23" s="343">
        <f t="shared" si="7"/>
        <v>0</v>
      </c>
      <c r="AU23" s="188">
        <f t="shared" si="7"/>
        <v>0</v>
      </c>
      <c r="AV23" s="350">
        <f t="shared" si="7"/>
        <v>0</v>
      </c>
      <c r="AW23" s="343">
        <f t="shared" si="7"/>
        <v>0</v>
      </c>
      <c r="AX23" s="188">
        <f t="shared" si="7"/>
        <v>0</v>
      </c>
      <c r="AY23" s="358">
        <f t="shared" si="7"/>
        <v>0</v>
      </c>
      <c r="AZ23" s="343">
        <f t="shared" si="7"/>
        <v>0</v>
      </c>
      <c r="BA23" s="188">
        <f t="shared" si="7"/>
        <v>0</v>
      </c>
    </row>
    <row r="24" spans="1:53" ht="29.5" thickBot="1">
      <c r="A24" s="67"/>
      <c r="B24" s="38" t="s">
        <v>20</v>
      </c>
      <c r="C24" s="36"/>
      <c r="D24" s="36"/>
      <c r="E24" s="35" t="s">
        <v>73</v>
      </c>
      <c r="F24" s="191" t="s">
        <v>72</v>
      </c>
      <c r="G24" s="68" t="s">
        <v>33</v>
      </c>
      <c r="H24" s="69">
        <f>IFERROR(SUM(I24:AO24),0)</f>
        <v>17087.70</v>
      </c>
      <c r="I24" s="70"/>
      <c r="J24" s="71"/>
      <c r="K24" s="71"/>
      <c r="L24" s="71"/>
      <c r="M24" s="71"/>
      <c r="N24" s="71"/>
      <c r="O24" s="71"/>
      <c r="P24" s="71"/>
      <c r="Q24" s="71"/>
      <c r="R24" s="71"/>
      <c r="S24" s="72"/>
      <c r="T24" s="136"/>
      <c r="U24" s="141"/>
      <c r="V24" s="150"/>
      <c r="W24" s="166"/>
      <c r="X24" s="150"/>
      <c r="Y24" s="190"/>
      <c r="Z24" s="70"/>
      <c r="AA24" s="70"/>
      <c r="AB24" s="70"/>
      <c r="AC24" s="215"/>
      <c r="AD24" s="244"/>
      <c r="AE24" s="247">
        <v>1553.43</v>
      </c>
      <c r="AF24" s="276">
        <v>1553.43</v>
      </c>
      <c r="AG24" s="300">
        <v>1553.43</v>
      </c>
      <c r="AH24" s="305">
        <v>1553.43</v>
      </c>
      <c r="AI24" s="322">
        <v>1553.43</v>
      </c>
      <c r="AJ24" s="338">
        <v>1553.43</v>
      </c>
      <c r="AK24" s="305">
        <v>1553.43</v>
      </c>
      <c r="AL24" s="383">
        <v>1553.43</v>
      </c>
      <c r="AM24" s="428">
        <v>1553.43</v>
      </c>
      <c r="AN24" s="400">
        <v>1553.43</v>
      </c>
      <c r="AO24" s="400">
        <v>1553.43</v>
      </c>
      <c r="AP24" s="352"/>
      <c r="AQ24" s="353"/>
      <c r="AR24" s="354"/>
      <c r="AS24" s="352"/>
      <c r="AT24" s="353"/>
      <c r="AU24" s="354"/>
      <c r="AV24" s="352"/>
      <c r="AW24" s="353"/>
      <c r="AX24" s="354"/>
      <c r="AY24" s="360"/>
      <c r="AZ24" s="353"/>
      <c r="BA24" s="354"/>
    </row>
    <row r="25" spans="1:53">
      <c r="N25" s="39"/>
      <c r="O25" s="9" t="s">
        <v>123</v>
      </c>
    </row>
    <row r="26" spans="1:53">
      <c r="N26" s="39"/>
      <c r="AJ26" s="126"/>
      <c r="AM26" s="401"/>
    </row>
    <row r="27" spans="1:53">
      <c r="C27" s="130"/>
      <c r="D27" s="130"/>
      <c r="E27" s="130"/>
      <c r="F27" s="130"/>
      <c r="G27" s="130"/>
      <c r="AJ27" s="126"/>
    </row>
    <row r="28" spans="1:53">
      <c r="C28" s="144"/>
      <c r="E28" s="144"/>
      <c r="G28" s="76"/>
      <c r="H28" s="76"/>
      <c r="R28" s="9">
        <v>138036.40</v>
      </c>
    </row>
    <row r="29" spans="1:53">
      <c r="C29" s="143"/>
      <c r="G29" s="76"/>
      <c r="H29" s="76"/>
      <c r="J29" s="126"/>
      <c r="R29" s="126">
        <v>184968.78</v>
      </c>
      <c r="W29" s="192"/>
      <c r="X29" s="39"/>
      <c r="Y29" s="192"/>
      <c r="Z29" s="39"/>
    </row>
    <row r="30" spans="1:53">
      <c r="H30" s="39">
        <f>H12-H13</f>
        <v>356229.04</v>
      </c>
      <c r="V30" s="128"/>
      <c r="W30" s="192"/>
      <c r="X30" s="39"/>
      <c r="Y30" s="192"/>
      <c r="Z30" s="39"/>
      <c r="AP30" s="126">
        <v>1042564.32</v>
      </c>
    </row>
    <row r="31" spans="1:53">
      <c r="H31" s="39">
        <f>H19-H20</f>
        <v>616383.14</v>
      </c>
      <c r="V31" s="128"/>
      <c r="AB31" s="395"/>
      <c r="AC31"/>
      <c r="AD31" s="395"/>
    </row>
    <row r="32" spans="1:53">
      <c r="F32" s="130"/>
      <c r="H32" s="39">
        <f>SUM(H30:H31)</f>
        <v>972612.18</v>
      </c>
      <c r="O32" s="192" t="e">
        <v>#REF!</v>
      </c>
      <c r="P32" s="9">
        <v>16718</v>
      </c>
      <c r="AM32" s="39">
        <f>H32-AP30</f>
        <v>-69952.14</v>
      </c>
    </row>
    <row r="33" spans="1:16">
      <c r="O33" s="39" t="e">
        <v>#REF!</v>
      </c>
      <c r="P33" s="126">
        <v>22402.50</v>
      </c>
    </row>
    <row r="34" spans="1:16">
      <c r="A34" s="126"/>
      <c r="P34" s="9">
        <v>27259</v>
      </c>
    </row>
    <row r="35" spans="1:16">
      <c r="A35" s="126"/>
    </row>
    <row r="37" spans="1:16">
      <c r="A37" s="152"/>
    </row>
    <row r="38" spans="1:16">
      <c r="A38" s="152"/>
    </row>
    <row r="39" spans="1:16">
      <c r="A39" s="152"/>
      <c r="E39" s="145"/>
    </row>
    <row r="40" spans="1:16">
      <c r="A40" s="152"/>
    </row>
    <row r="41" spans="1:16">
      <c r="A41" s="152"/>
    </row>
    <row r="42" spans="1:16">
      <c r="A42" s="152"/>
    </row>
    <row r="43" spans="1:16">
      <c r="A43" s="152"/>
    </row>
    <row r="44" spans="1:16">
      <c r="A44" s="152"/>
    </row>
    <row r="45" spans="1:16">
      <c r="A45" s="152"/>
    </row>
    <row r="46" spans="1:16">
      <c r="A46" s="152"/>
    </row>
    <row r="47" spans="1:16">
      <c r="A47" s="152"/>
    </row>
    <row r="48" spans="1:16">
      <c r="A48" s="152"/>
    </row>
    <row r="49" spans="1:1">
      <c r="A49" s="152"/>
    </row>
  </sheetData>
  <autoFilter ref="A9:W25" xr:uid="{00000000-0001-0000-0100-000000000000}"/>
  <mergeCells count="26">
    <mergeCell ref="I2:K2"/>
    <mergeCell ref="L2:N2"/>
    <mergeCell ref="O2:Q2"/>
    <mergeCell ref="R2:T2"/>
    <mergeCell ref="U2:W2"/>
    <mergeCell ref="AP2:AR2"/>
    <mergeCell ref="AS2:AU2"/>
    <mergeCell ref="AV2:AX2"/>
    <mergeCell ref="AY2:BA2"/>
    <mergeCell ref="B10:B16"/>
    <mergeCell ref="C10:C16"/>
    <mergeCell ref="D10:D16"/>
    <mergeCell ref="E10:E16"/>
    <mergeCell ref="F10:F16"/>
    <mergeCell ref="X2:Z2"/>
    <mergeCell ref="AA2:AC2"/>
    <mergeCell ref="AD2:AF2"/>
    <mergeCell ref="AG2:AI2"/>
    <mergeCell ref="AJ2:AL2"/>
    <mergeCell ref="AM2:AO2"/>
    <mergeCell ref="B2:C2"/>
    <mergeCell ref="B17:B23"/>
    <mergeCell ref="C17:C23"/>
    <mergeCell ref="D17:D23"/>
    <mergeCell ref="E17:E23"/>
    <mergeCell ref="F17:F23"/>
  </mergeCells>
  <conditionalFormatting sqref="I1:W1">
    <cfRule type="cellIs" dxfId="3" priority="1" operator="lessThan">
      <formula>0</formula>
    </cfRule>
    <cfRule type="cellIs" dxfId="2" priority="2" operator="greaterThan">
      <formula>0</formula>
    </cfRule>
  </conditionalFormatting>
  <dataValidations count="1">
    <dataValidation type="list" allowBlank="1" showInputMessage="1" showErrorMessage="1" sqref="B10 B17 B24" xr:uid="{5F1FB7B7-D2BB-480D-BC71-99D1194281A3}">
      <formula1>"BNL,Findomestic"</formula1>
    </dataValidation>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A4EA-2458-4DF0-837B-3E3A258105D4}">
  <sheetPr codeName="Sheet9"/>
  <dimension ref="A1:BA49"/>
  <sheetViews>
    <sheetView zoomScale="70" zoomScaleNormal="70" workbookViewId="0">
      <pane xSplit="8" ySplit="9" topLeftCell="AM10" activePane="bottomRight" state="frozen"/>
      <selection activeCell="AN41" activeCellId="1" sqref="AN38 AN41"/>
      <selection pane="topRight" activeCell="AN41" activeCellId="1" sqref="AN38 AN41"/>
      <selection pane="bottomLeft" activeCell="AN41" activeCellId="1" sqref="AN38 AN41"/>
      <selection pane="bottomRight" activeCell="H15" activeCellId="1" sqref="H22 H15"/>
    </sheetView>
  </sheetViews>
  <sheetFormatPr defaultColWidth="12.1796875" defaultRowHeight="14.5"/>
  <cols>
    <col min="1" max="1" width="16.1796875" style="9" customWidth="1"/>
    <col min="2" max="2" width="15.453125" style="9" customWidth="1"/>
    <col min="3" max="3" width="11.1796875" style="9" customWidth="1"/>
    <col min="4" max="4" width="13.81640625" style="9" customWidth="1"/>
    <col min="5" max="5" width="12.54296875" style="9" bestFit="1" customWidth="1"/>
    <col min="6" max="6" width="21.81640625" style="9" customWidth="1"/>
    <col min="7" max="7" width="20.1796875" style="9" customWidth="1"/>
    <col min="8" max="8" width="19.54296875" style="9" customWidth="1"/>
    <col min="9" max="9" width="18.1796875" style="9" hidden="1" customWidth="1"/>
    <col min="10" max="10" width="18.81640625" style="9" hidden="1" customWidth="1"/>
    <col min="11" max="11" width="18.54296875" style="9" hidden="1" customWidth="1"/>
    <col min="12" max="12" width="18.81640625" style="9" hidden="1" customWidth="1"/>
    <col min="13" max="13" width="20.81640625" style="9" hidden="1" customWidth="1"/>
    <col min="14" max="14" width="19.26953125" style="9" hidden="1" customWidth="1"/>
    <col min="15" max="15" width="18.1796875" style="9" hidden="1" customWidth="1"/>
    <col min="16" max="16" width="18.54296875" style="9" hidden="1" customWidth="1"/>
    <col min="17" max="17" width="19.1796875" style="9" hidden="1" customWidth="1"/>
    <col min="18" max="18" width="18.1796875" style="9" hidden="1" customWidth="1"/>
    <col min="19" max="19" width="20.453125" style="9" hidden="1" customWidth="1"/>
    <col min="20" max="20" width="18.81640625" style="9" hidden="1" customWidth="1"/>
    <col min="21" max="21" width="18.1796875" style="9" hidden="1" customWidth="1"/>
    <col min="22" max="22" width="18.81640625" style="9" hidden="1" customWidth="1"/>
    <col min="23" max="23" width="18.54296875" style="9" hidden="1" customWidth="1"/>
    <col min="24" max="24" width="12.54296875" style="9" hidden="1" customWidth="1"/>
    <col min="25" max="25" width="11" style="9" hidden="1" customWidth="1"/>
    <col min="26" max="27" width="12.1796875" style="9" hidden="1" customWidth="1"/>
    <col min="28" max="28" width="12" style="9" hidden="1" customWidth="1"/>
    <col min="29" max="29" width="12.81640625" style="9" hidden="1" customWidth="1"/>
    <col min="30" max="30" width="13.453125" style="9" hidden="1" customWidth="1"/>
    <col min="31" max="31" width="16.54296875" style="9" hidden="1" customWidth="1"/>
    <col min="32" max="32" width="13.54296875" style="9" hidden="1" customWidth="1"/>
    <col min="33" max="34" width="12.1796875" style="9" hidden="1" customWidth="1"/>
    <col min="35" max="36" width="0" style="9" hidden="1" customWidth="1"/>
    <col min="37" max="37" width="12.54296875" style="9" hidden="1" customWidth="1"/>
    <col min="38" max="38" width="0" style="9" hidden="1" customWidth="1"/>
    <col min="39" max="39" width="11.1796875" style="9" bestFit="1" customWidth="1"/>
    <col min="40" max="618" width="12.1796875" style="9" bestFit="1"/>
    <col min="619" max="16384" width="12.1796875" style="9"/>
  </cols>
  <sheetData>
    <row r="1" spans="1:53">
      <c r="A1" s="39"/>
      <c r="B1" s="39"/>
      <c r="C1" s="39"/>
      <c r="D1" s="39"/>
      <c r="E1" s="39"/>
      <c r="F1" s="39"/>
      <c r="H1" s="40"/>
      <c r="I1" s="41"/>
      <c r="J1" s="41"/>
      <c r="K1" s="41"/>
      <c r="L1" s="41"/>
      <c r="M1" s="41"/>
      <c r="N1" s="41"/>
      <c r="O1" s="41"/>
      <c r="P1" s="41"/>
      <c r="Q1" s="41"/>
      <c r="R1" s="41"/>
      <c r="S1" s="41"/>
      <c r="T1" s="41"/>
      <c r="U1" s="41"/>
      <c r="V1" s="41"/>
      <c r="W1" s="41"/>
    </row>
    <row r="2" spans="1:53">
      <c r="A2" s="39"/>
      <c r="B2" s="512" t="s">
        <v>45</v>
      </c>
      <c r="C2" s="512"/>
      <c r="D2" s="39"/>
      <c r="E2" s="151"/>
      <c r="F2" s="39"/>
      <c r="G2" s="41" t="s">
        <v>39</v>
      </c>
      <c r="H2" s="41">
        <f>H4-H5</f>
        <v>520635.13</v>
      </c>
      <c r="I2" s="513" t="s">
        <v>1</v>
      </c>
      <c r="J2" s="514"/>
      <c r="K2" s="515"/>
      <c r="L2" s="516" t="s">
        <v>2</v>
      </c>
      <c r="M2" s="517"/>
      <c r="N2" s="518"/>
      <c r="O2" s="519" t="s">
        <v>3</v>
      </c>
      <c r="P2" s="520"/>
      <c r="Q2" s="521"/>
      <c r="R2" s="522" t="s">
        <v>0</v>
      </c>
      <c r="S2" s="523"/>
      <c r="T2" s="524"/>
      <c r="U2" s="513" t="s">
        <v>1</v>
      </c>
      <c r="V2" s="514"/>
      <c r="W2" s="515"/>
      <c r="X2" s="516" t="s">
        <v>2</v>
      </c>
      <c r="Y2" s="517"/>
      <c r="Z2" s="518"/>
      <c r="AA2" s="519" t="s">
        <v>3</v>
      </c>
      <c r="AB2" s="520"/>
      <c r="AC2" s="521"/>
      <c r="AD2" s="508" t="s">
        <v>0</v>
      </c>
      <c r="AE2" s="508"/>
      <c r="AF2" s="508"/>
      <c r="AG2" s="509" t="s">
        <v>1</v>
      </c>
      <c r="AH2" s="509"/>
      <c r="AI2" s="509"/>
      <c r="AJ2" s="510" t="s">
        <v>2</v>
      </c>
      <c r="AK2" s="510"/>
      <c r="AL2" s="510"/>
      <c r="AM2" s="511" t="s">
        <v>3</v>
      </c>
      <c r="AN2" s="511"/>
      <c r="AO2" s="511"/>
      <c r="AP2" s="508" t="s">
        <v>0</v>
      </c>
      <c r="AQ2" s="508"/>
      <c r="AR2" s="508"/>
      <c r="AS2" s="509" t="s">
        <v>1</v>
      </c>
      <c r="AT2" s="509"/>
      <c r="AU2" s="509"/>
      <c r="AV2" s="510" t="s">
        <v>2</v>
      </c>
      <c r="AW2" s="510"/>
      <c r="AX2" s="510"/>
      <c r="AY2" s="511" t="s">
        <v>3</v>
      </c>
      <c r="AZ2" s="511"/>
      <c r="BA2" s="511"/>
    </row>
    <row r="3" spans="1:53">
      <c r="A3" s="39"/>
      <c r="B3" s="42" t="s">
        <v>46</v>
      </c>
      <c r="C3" s="42" t="s">
        <v>47</v>
      </c>
      <c r="D3" s="39"/>
      <c r="E3" s="386"/>
      <c r="F3" s="39"/>
      <c r="G3" s="2" t="s">
        <v>4</v>
      </c>
      <c r="H3" s="2" t="s">
        <v>5</v>
      </c>
      <c r="I3" s="4" t="s">
        <v>29</v>
      </c>
      <c r="J3" s="4">
        <v>45292</v>
      </c>
      <c r="K3" s="8">
        <v>45323</v>
      </c>
      <c r="L3" s="4">
        <v>45352</v>
      </c>
      <c r="M3" s="4">
        <v>45383</v>
      </c>
      <c r="N3" s="4">
        <v>45413</v>
      </c>
      <c r="O3" s="4">
        <v>45444</v>
      </c>
      <c r="P3" s="4">
        <v>45474</v>
      </c>
      <c r="Q3" s="8">
        <v>45505</v>
      </c>
      <c r="R3" s="4">
        <v>45536</v>
      </c>
      <c r="S3" s="4">
        <v>45566</v>
      </c>
      <c r="T3" s="4">
        <v>45597</v>
      </c>
      <c r="U3" s="4">
        <v>45627</v>
      </c>
      <c r="V3" s="4">
        <v>45658</v>
      </c>
      <c r="W3" s="8">
        <v>45689</v>
      </c>
      <c r="X3" s="4">
        <v>45717</v>
      </c>
      <c r="Y3" s="8">
        <v>45748</v>
      </c>
      <c r="Z3" s="4">
        <v>45778</v>
      </c>
      <c r="AA3" s="8">
        <v>45809</v>
      </c>
      <c r="AB3" s="4">
        <v>45839</v>
      </c>
      <c r="AC3" s="8">
        <v>45870</v>
      </c>
      <c r="AD3" s="8">
        <v>45901</v>
      </c>
      <c r="AE3" s="8">
        <v>45931</v>
      </c>
      <c r="AF3" s="8">
        <v>45962</v>
      </c>
      <c r="AG3" s="8">
        <v>45992</v>
      </c>
      <c r="AH3" s="8">
        <v>46023</v>
      </c>
      <c r="AI3" s="8">
        <v>46054</v>
      </c>
      <c r="AJ3" s="8">
        <v>46082</v>
      </c>
      <c r="AK3" s="8">
        <v>46113</v>
      </c>
      <c r="AL3" s="8">
        <v>46143</v>
      </c>
      <c r="AM3" s="8">
        <v>46174</v>
      </c>
      <c r="AN3" s="8">
        <v>46204</v>
      </c>
      <c r="AO3" s="8">
        <v>46235</v>
      </c>
      <c r="AP3" s="8">
        <v>46266</v>
      </c>
      <c r="AQ3" s="8">
        <v>46296</v>
      </c>
      <c r="AR3" s="8">
        <v>46327</v>
      </c>
      <c r="AS3" s="8">
        <v>46357</v>
      </c>
      <c r="AT3" s="8">
        <v>46388</v>
      </c>
      <c r="AU3" s="8">
        <v>46419</v>
      </c>
      <c r="AV3" s="8">
        <v>46447</v>
      </c>
      <c r="AW3" s="8">
        <v>46478</v>
      </c>
      <c r="AX3" s="8">
        <v>46508</v>
      </c>
      <c r="AY3" s="8">
        <v>46539</v>
      </c>
      <c r="AZ3" s="8">
        <v>46569</v>
      </c>
      <c r="BA3" s="8">
        <v>46600</v>
      </c>
    </row>
    <row r="4" spans="1:53">
      <c r="A4" s="43" t="s">
        <v>100</v>
      </c>
      <c r="B4" s="44" t="s">
        <v>23</v>
      </c>
      <c r="C4" s="44" t="s">
        <v>27</v>
      </c>
      <c r="D4" s="39"/>
      <c r="E4" s="402"/>
      <c r="F4" s="39"/>
      <c r="G4" s="45" t="s">
        <v>32</v>
      </c>
      <c r="H4" s="46">
        <f>IFERROR(SUM(I4:AC4),0)</f>
        <v>1499689.86</v>
      </c>
      <c r="I4" s="47">
        <v>360376.27</v>
      </c>
      <c r="J4" s="47">
        <v>61161.80</v>
      </c>
      <c r="K4" s="47">
        <v>61899.73</v>
      </c>
      <c r="L4" s="47">
        <v>66615.16</v>
      </c>
      <c r="M4" s="47">
        <v>50361.14</v>
      </c>
      <c r="N4" s="47">
        <v>51876.25</v>
      </c>
      <c r="O4" s="47">
        <v>18347.39</v>
      </c>
      <c r="P4" s="47">
        <v>43563.13</v>
      </c>
      <c r="Q4" s="47">
        <v>8695.04</v>
      </c>
      <c r="R4" s="47">
        <v>57596.02</v>
      </c>
      <c r="S4" s="47">
        <v>66021.04</v>
      </c>
      <c r="T4" s="47">
        <v>59697.77</v>
      </c>
      <c r="U4" s="47">
        <v>23513.13</v>
      </c>
      <c r="V4" s="47">
        <v>50702.88</v>
      </c>
      <c r="W4" s="47">
        <v>54412.07</v>
      </c>
      <c r="X4" s="47">
        <v>85770.32</v>
      </c>
      <c r="Y4" s="47">
        <v>49284.44</v>
      </c>
      <c r="Z4" s="47">
        <v>108004.92</v>
      </c>
      <c r="AA4" s="47">
        <v>101741.81</v>
      </c>
      <c r="AB4" s="47">
        <v>56651.25</v>
      </c>
      <c r="AC4" s="47">
        <v>63398.30</v>
      </c>
      <c r="AD4" s="47" cm="1">
        <f t="array" aca="1" ref="AD4" ca="1">SUMPRODUCT(SUBTOTAL(109,OFFSET(AD$10,ROW(AD$10:AD$266)-ROW(AD$10),,1)),--($G$10:$G$266 = $G4))</f>
        <v>115090.81</v>
      </c>
      <c r="AE4" s="47" cm="1">
        <f t="array" aca="1" ref="AE4" ca="1">SUMPRODUCT(SUBTOTAL(109,OFFSET(AE$10,ROW(AE$10:AE$266)-ROW(AE$10),,1)),--($G$10:$G$266 = $G4))</f>
        <v>155422.54</v>
      </c>
      <c r="AF4" s="47" cm="1">
        <f t="array" aca="1" ref="AF4" ca="1">SUMPRODUCT(SUBTOTAL(109,OFFSET(AF$10,ROW(AF$10:AF$266)-ROW(AF$10),,1)),--($G$10:$G$266 = $G4))</f>
        <v>121659.79</v>
      </c>
      <c r="AG4" s="47" cm="1">
        <f t="array" aca="1" ref="AG4" ca="1">SUMPRODUCT(SUBTOTAL(109,OFFSET(AG$10,ROW(AG$10:AG$266)-ROW(AG$10),,1)),--($G$10:$G$266 = $G4))</f>
        <v>105805.30</v>
      </c>
      <c r="AH4" s="47" cm="1">
        <f t="array" aca="1" ref="AH4" ca="1">SUMPRODUCT(SUBTOTAL(109,OFFSET(AH$10,ROW(AH$10:AH$266)-ROW(AH$10),,1)),--($G$10:$G$266 = $G4))</f>
        <v>115897.59</v>
      </c>
      <c r="AI4" s="47" cm="1">
        <f t="array" aca="1" ref="AI4" ca="1">SUMPRODUCT(SUBTOTAL(109,OFFSET(AI$10,ROW(AI$10:AI$266)-ROW(AI$10),,1)),--($G$10:$G$266 = $G4))</f>
        <v>147251.08</v>
      </c>
      <c r="AJ4" s="47" cm="1">
        <f t="array" aca="1" ref="AJ4" ca="1">SUMPRODUCT(SUBTOTAL(109,OFFSET(AJ$10,ROW(AJ$10:AJ$266)-ROW(AJ$10),,1)),--($G$10:$G$266 = $G4))</f>
        <v>124738.80</v>
      </c>
      <c r="AK4" s="47" cm="1">
        <f t="array" aca="1" ref="AK4" ca="1">SUMPRODUCT(SUBTOTAL(109,OFFSET(AK$10,ROW(AK$10:AK$266)-ROW(AK$10),,1)),--($G$10:$G$266 = $G4))</f>
        <v>172298.89</v>
      </c>
      <c r="AL4" s="47" cm="1">
        <f t="array" aca="1" ref="AL4" ca="1">SUMPRODUCT(SUBTOTAL(109,OFFSET(AL$10,ROW(AL$10:AL$266)-ROW(AL$10),,1)),--($G$10:$G$266 = $G4))</f>
        <v>137979.80</v>
      </c>
      <c r="AM4" s="47" cm="1">
        <f t="array" aca="1" ref="AM4" ca="1">SUMPRODUCT(SUBTOTAL(109,OFFSET(AM$10,ROW(AM$10:AM$266)-ROW(AM$10),,1)),--($G$10:$G$266 = $G4))</f>
        <v>113169.64</v>
      </c>
      <c r="AN4" s="47" cm="1">
        <f t="array" aca="1" ref="AN4" ca="1">SUMPRODUCT(SUBTOTAL(109,OFFSET(AN$10,ROW(AN$10:AN$266)-ROW(AN$10),,1)),--($G$10:$G$266 = $G4))</f>
        <v>151869.14</v>
      </c>
      <c r="AO4" s="47" cm="1">
        <f t="array" aca="1" ref="AO4" ca="1">SUMPRODUCT(SUBTOTAL(109,OFFSET(AO$10,ROW(AO$10:AO$266)-ROW(AO$10),,1)),--($G$10:$G$266 = $G4))</f>
        <v>69439.29</v>
      </c>
      <c r="AP4" s="47" cm="1">
        <f t="array" aca="1" ref="AP4" ca="1">SUMPRODUCT(SUBTOTAL(109,OFFSET(AP$10,ROW(AP$10:AP$266)-ROW(AP$10),,1)),--($G$10:$G$266 = $G4))</f>
        <v>10581.45</v>
      </c>
      <c r="AQ4" s="47" cm="1">
        <f t="array" aca="1" ref="AQ4" ca="1">SUMPRODUCT(SUBTOTAL(109,OFFSET(AQ$10,ROW(AQ$10:AQ$266)-ROW(AQ$10),,1)),--($G$10:$G$266 = $G4))</f>
        <v>10582.26</v>
      </c>
      <c r="AR4" s="47" cm="1">
        <f t="array" aca="1" ref="AR4" ca="1">SUMPRODUCT(SUBTOTAL(109,OFFSET(AR$10,ROW(AR$10:AR$266)-ROW(AR$10),,1)),--($G$10:$G$266 = $G4))</f>
        <v>10583.08</v>
      </c>
      <c r="AS4" s="47" cm="1">
        <f t="array" aca="1" ref="AS4" ca="1">SUMPRODUCT(SUBTOTAL(109,OFFSET(AS$10,ROW(AS$10:AS$266)-ROW(AS$10),,1)),--($G$10:$G$266 = $G4))</f>
        <v>10583.89</v>
      </c>
      <c r="AT4" s="47" cm="1">
        <f t="array" aca="1" ref="AT4" ca="1">SUMPRODUCT(SUBTOTAL(109,OFFSET(AT$10,ROW(AT$10:AT$266)-ROW(AT$10),,1)),--($G$10:$G$266 = $G4))</f>
        <v>10584.70</v>
      </c>
      <c r="AU4" s="47" cm="1">
        <f t="array" aca="1" ref="AU4" ca="1">SUMPRODUCT(SUBTOTAL(109,OFFSET(AU$10,ROW(AU$10:AU$266)-ROW(AU$10),,1)),--($G$10:$G$266 = $G4))</f>
        <v>10585.52</v>
      </c>
      <c r="AV4" s="47" cm="1">
        <f t="array" aca="1" ref="AV4" ca="1">SUMPRODUCT(SUBTOTAL(109,OFFSET(AV$10,ROW(AV$10:AV$266)-ROW(AV$10),,1)),--($G$10:$G$266 = $G4))</f>
        <v>10586.33</v>
      </c>
      <c r="AW4" s="47" cm="1">
        <f t="array" aca="1" ref="AW4" ca="1">SUMPRODUCT(SUBTOTAL(109,OFFSET(AW$10,ROW(AW$10:AW$266)-ROW(AW$10),,1)),--($G$10:$G$266 = $G4))</f>
        <v>10587.14</v>
      </c>
      <c r="AX4" s="47" cm="1">
        <f t="array" aca="1" ref="AX4" ca="1">SUMPRODUCT(SUBTOTAL(109,OFFSET(AX$10,ROW(AX$10:AX$266)-ROW(AX$10),,1)),--($G$10:$G$266 = $G4))</f>
        <v>10587.96</v>
      </c>
      <c r="AY4" s="47" cm="1">
        <f t="array" aca="1" ref="AY4" ca="1">SUMPRODUCT(SUBTOTAL(109,OFFSET(AY$10,ROW(AY$10:AY$266)-ROW(AY$10),,1)),--($G$10:$G$266 = $G4))</f>
        <v>10588.77</v>
      </c>
      <c r="AZ4" s="47" cm="1">
        <f t="array" aca="1" ref="AZ4" ca="1">SUMPRODUCT(SUBTOTAL(109,OFFSET(AZ$10,ROW(AZ$10:AZ$266)-ROW(AZ$10),,1)),--($G$10:$G$266 = $G4))</f>
        <v>10589.59</v>
      </c>
      <c r="BA4" s="47" cm="1">
        <f t="array" aca="1" ref="BA4" ca="1">SUMPRODUCT(SUBTOTAL(109,OFFSET(BA$10,ROW(BA$10:BA$266)-ROW(BA$10),,1)),--($G$10:$G$266 = $G4))</f>
        <v>10590.40</v>
      </c>
    </row>
    <row r="5" spans="1:53">
      <c r="A5" s="43" t="s">
        <v>20</v>
      </c>
      <c r="B5" s="44" t="s">
        <v>38</v>
      </c>
      <c r="C5" s="44" t="s">
        <v>48</v>
      </c>
      <c r="D5" s="39"/>
      <c r="E5" s="126"/>
      <c r="F5" s="398"/>
      <c r="G5" s="45" t="s">
        <v>33</v>
      </c>
      <c r="H5" s="46">
        <f>IFERROR(SUM(I5:AC5),0)</f>
        <v>979054.73</v>
      </c>
      <c r="I5" s="47">
        <v>226605.71</v>
      </c>
      <c r="J5" s="47">
        <v>51769.01</v>
      </c>
      <c r="K5" s="47">
        <v>42968.90</v>
      </c>
      <c r="L5" s="47">
        <v>36361.18</v>
      </c>
      <c r="M5" s="47">
        <v>35001.65</v>
      </c>
      <c r="N5" s="47">
        <v>29440.99</v>
      </c>
      <c r="O5" s="47">
        <v>14796.85</v>
      </c>
      <c r="P5" s="47">
        <v>29525.57</v>
      </c>
      <c r="Q5" s="47">
        <v>6524.22</v>
      </c>
      <c r="R5" s="47">
        <v>30888.22</v>
      </c>
      <c r="S5" s="47">
        <v>38762.84</v>
      </c>
      <c r="T5" s="47">
        <v>37408.36</v>
      </c>
      <c r="U5" s="47">
        <v>15935.18</v>
      </c>
      <c r="V5" s="47">
        <v>21277.65</v>
      </c>
      <c r="W5" s="47">
        <v>33883.15</v>
      </c>
      <c r="X5" s="47">
        <v>51425.23</v>
      </c>
      <c r="Y5" s="47">
        <v>40078.35</v>
      </c>
      <c r="Z5" s="47">
        <v>63802.36</v>
      </c>
      <c r="AA5" s="47">
        <v>67838.47</v>
      </c>
      <c r="AB5" s="47">
        <v>70173.23</v>
      </c>
      <c r="AC5" s="47">
        <v>34587.60</v>
      </c>
      <c r="AD5" s="47">
        <f t="shared" ref="AD5:BA5" si="0">SUM(AD11,AD18,AD24:AD24)</f>
        <v>62602.34</v>
      </c>
      <c r="AE5" s="47">
        <f t="shared" si="0"/>
        <v>73208.14</v>
      </c>
      <c r="AF5" s="47">
        <f t="shared" si="0"/>
        <v>74792.41</v>
      </c>
      <c r="AG5" s="47">
        <f t="shared" si="0"/>
        <v>66698.34</v>
      </c>
      <c r="AH5" s="47">
        <f t="shared" si="0"/>
        <v>73144.40</v>
      </c>
      <c r="AI5" s="47">
        <f t="shared" si="0"/>
        <v>84619.17</v>
      </c>
      <c r="AJ5" s="47">
        <f t="shared" si="0"/>
        <v>121874.76</v>
      </c>
      <c r="AK5" s="47">
        <f t="shared" si="0"/>
        <v>87071.53</v>
      </c>
      <c r="AL5" s="47">
        <f t="shared" si="0"/>
        <v>82995.73</v>
      </c>
      <c r="AM5" s="47">
        <f t="shared" si="0"/>
        <v>88395.34</v>
      </c>
      <c r="AN5" s="47">
        <f t="shared" si="0"/>
        <v>123111.11</v>
      </c>
      <c r="AO5" s="47">
        <f t="shared" si="0"/>
        <v>40642.51</v>
      </c>
      <c r="AP5" s="47">
        <f t="shared" si="0"/>
        <v>0</v>
      </c>
      <c r="AQ5" s="47">
        <f t="shared" si="0"/>
        <v>0</v>
      </c>
      <c r="AR5" s="47">
        <f t="shared" si="0"/>
        <v>0</v>
      </c>
      <c r="AS5" s="47">
        <f t="shared" si="0"/>
        <v>0</v>
      </c>
      <c r="AT5" s="47">
        <f t="shared" si="0"/>
        <v>0</v>
      </c>
      <c r="AU5" s="47">
        <f t="shared" si="0"/>
        <v>0</v>
      </c>
      <c r="AV5" s="47">
        <f t="shared" si="0"/>
        <v>0</v>
      </c>
      <c r="AW5" s="47">
        <f t="shared" si="0"/>
        <v>0</v>
      </c>
      <c r="AX5" s="47">
        <f t="shared" si="0"/>
        <v>0</v>
      </c>
      <c r="AY5" s="47">
        <f t="shared" si="0"/>
        <v>0</v>
      </c>
      <c r="AZ5" s="47">
        <f t="shared" si="0"/>
        <v>0</v>
      </c>
      <c r="BA5" s="47">
        <f t="shared" si="0"/>
        <v>0</v>
      </c>
    </row>
    <row r="6" spans="1:53">
      <c r="A6" s="39"/>
      <c r="B6" s="39"/>
      <c r="C6" s="39"/>
      <c r="D6" s="39"/>
      <c r="E6" s="39"/>
      <c r="F6" s="39">
        <v>163209.66</v>
      </c>
      <c r="G6" s="48" t="s">
        <v>31</v>
      </c>
      <c r="H6" s="46">
        <f>IFERROR(SUM(I6:AC6),0)</f>
        <v>1491552.70</v>
      </c>
      <c r="I6" s="49">
        <v>360376.27</v>
      </c>
      <c r="J6" s="49">
        <v>61161.80</v>
      </c>
      <c r="K6" s="49">
        <v>61899.56</v>
      </c>
      <c r="L6" s="49">
        <v>66615.15</v>
      </c>
      <c r="M6" s="49">
        <v>42224.12</v>
      </c>
      <c r="N6" s="49">
        <v>51876.24</v>
      </c>
      <c r="O6" s="49">
        <v>18347.14</v>
      </c>
      <c r="P6" s="49">
        <v>43563.13</v>
      </c>
      <c r="Q6" s="49">
        <v>8695.04</v>
      </c>
      <c r="R6" s="49">
        <v>57596.02</v>
      </c>
      <c r="S6" s="49">
        <v>66021.32</v>
      </c>
      <c r="T6" s="49">
        <v>59697.77</v>
      </c>
      <c r="U6" s="49">
        <v>23513.13</v>
      </c>
      <c r="V6" s="49">
        <v>50702.89</v>
      </c>
      <c r="W6" s="49">
        <v>54412.07</v>
      </c>
      <c r="X6" s="49">
        <v>85770.32</v>
      </c>
      <c r="Y6" s="49">
        <v>49284.44</v>
      </c>
      <c r="Z6" s="49">
        <v>108004.92</v>
      </c>
      <c r="AA6" s="49">
        <v>101741.81</v>
      </c>
      <c r="AB6" s="49">
        <v>56651.25</v>
      </c>
      <c r="AC6" s="49">
        <v>63398.30</v>
      </c>
      <c r="AD6" s="49" cm="1">
        <f t="array" aca="1" ref="AD6" ca="1">SUMPRODUCT(SUBTOTAL(109,OFFSET(AD$10,ROW(AD$10:AD$24)-ROW(AD$10),,1)),--($G$10:$G$24 = $G6))</f>
        <v>115090.81</v>
      </c>
      <c r="AE6" s="49" cm="1">
        <f t="array" aca="1" ref="AE6" ca="1">SUMPRODUCT(SUBTOTAL(109,OFFSET(AE$10,ROW(AE$10:AE$24)-ROW(AE$10),,1)),--($G$10:$G$24 = $G6))</f>
        <v>155422.54</v>
      </c>
      <c r="AF6" s="49" cm="1">
        <f t="array" aca="1" ref="AF6" ca="1">SUMPRODUCT(SUBTOTAL(109,OFFSET(AF$10,ROW(AF$10:AF$24)-ROW(AF$10),,1)),--($G$10:$G$24 = $G6))</f>
        <v>121659.79</v>
      </c>
      <c r="AG6" s="49" cm="1">
        <f t="array" aca="1" ref="AG6" ca="1">SUMPRODUCT(SUBTOTAL(109,OFFSET(AG$10,ROW(AG$10:AG$24)-ROW(AG$10),,1)),--($G$10:$G$24 = $G6))</f>
        <v>105805.30</v>
      </c>
      <c r="AH6" s="49" cm="1">
        <f t="array" aca="1" ref="AH6" ca="1">SUMPRODUCT(SUBTOTAL(109,OFFSET(AH$10,ROW(AH$10:AH$24)-ROW(AH$10),,1)),--($G$10:$G$24 = $G6))</f>
        <v>115897.59</v>
      </c>
      <c r="AI6" s="49" cm="1">
        <f t="array" aca="1" ref="AI6" ca="1">SUMPRODUCT(SUBTOTAL(109,OFFSET(AI$10,ROW(AI$10:AI$24)-ROW(AI$10),,1)),--($G$10:$G$24 = $G6))</f>
        <v>147251.08</v>
      </c>
      <c r="AJ6" s="49" cm="1">
        <f t="array" aca="1" ref="AJ6" ca="1">SUMPRODUCT(SUBTOTAL(109,OFFSET(AJ$10,ROW(AJ$10:AJ$24)-ROW(AJ$10),,1)),--($G$10:$G$24 = $G6))</f>
        <v>124738.80</v>
      </c>
      <c r="AK6" s="49" cm="1">
        <f t="array" aca="1" ref="AK6" ca="1">SUMPRODUCT(SUBTOTAL(109,OFFSET(AK$10,ROW(AK$10:AK$24)-ROW(AK$10),,1)),--($G$10:$G$24 = $G6))</f>
        <v>172298.89</v>
      </c>
      <c r="AL6" s="49" cm="1">
        <f t="array" aca="1" ref="AL6" ca="1">SUMPRODUCT(SUBTOTAL(109,OFFSET(AL$10,ROW(AL$10:AL$24)-ROW(AL$10),,1)),--($G$10:$G$24 = $G6))</f>
        <v>137979.80</v>
      </c>
      <c r="AM6" s="49" cm="1">
        <f t="array" aca="1" ref="AM6" ca="1">SUMPRODUCT(SUBTOTAL(109,OFFSET(AM$10,ROW(AM$10:AM$24)-ROW(AM$10),,1)),--($G$10:$G$24 = $G6))</f>
        <v>113169.64</v>
      </c>
      <c r="AN6" s="49" cm="1">
        <f t="array" aca="1" ref="AN6" ca="1">SUMPRODUCT(SUBTOTAL(109,OFFSET(AN$10,ROW(AN$10:AN$24)-ROW(AN$10),,1)),--($G$10:$G$24 = $G6))</f>
        <v>210727.79</v>
      </c>
      <c r="AO6" s="49" cm="1">
        <f t="array" aca="1" ref="AO6" ca="1">SUMPRODUCT(SUBTOTAL(109,OFFSET(AO$10,ROW(AO$10:AO$24)-ROW(AO$10),,1)),--($G$10:$G$24 = $G6))</f>
        <v>69439.29</v>
      </c>
      <c r="AP6" s="49" cm="1">
        <f t="array" aca="1" ref="AP6" ca="1">SUMPRODUCT(SUBTOTAL(109,OFFSET(AP$10,ROW(AP$10:AP$24)-ROW(AP$10),,1)),--($G$10:$G$24 = $G6))</f>
        <v>0</v>
      </c>
      <c r="AQ6" s="49" cm="1">
        <f t="array" aca="1" ref="AQ6" ca="1">SUMPRODUCT(SUBTOTAL(109,OFFSET(AQ$10,ROW(AQ$10:AQ$24)-ROW(AQ$10),,1)),--($G$10:$G$24 = $G6))</f>
        <v>0</v>
      </c>
      <c r="AR6" s="49" cm="1">
        <f t="array" aca="1" ref="AR6" ca="1">SUMPRODUCT(SUBTOTAL(109,OFFSET(AR$10,ROW(AR$10:AR$24)-ROW(AR$10),,1)),--($G$10:$G$24 = $G6))</f>
        <v>0</v>
      </c>
      <c r="AS6" s="49" cm="1">
        <f t="array" aca="1" ref="AS6" ca="1">SUMPRODUCT(SUBTOTAL(109,OFFSET(AS$10,ROW(AS$10:AS$24)-ROW(AS$10),,1)),--($G$10:$G$24 = $G6))</f>
        <v>0</v>
      </c>
      <c r="AT6" s="49" cm="1">
        <f t="array" aca="1" ref="AT6" ca="1">SUMPRODUCT(SUBTOTAL(109,OFFSET(AT$10,ROW(AT$10:AT$24)-ROW(AT$10),,1)),--($G$10:$G$24 = $G6))</f>
        <v>0</v>
      </c>
      <c r="AU6" s="49" cm="1">
        <f t="array" aca="1" ref="AU6" ca="1">SUMPRODUCT(SUBTOTAL(109,OFFSET(AU$10,ROW(AU$10:AU$24)-ROW(AU$10),,1)),--($G$10:$G$24 = $G6))</f>
        <v>0</v>
      </c>
      <c r="AV6" s="49" cm="1">
        <f t="array" aca="1" ref="AV6" ca="1">SUMPRODUCT(SUBTOTAL(109,OFFSET(AV$10,ROW(AV$10:AV$24)-ROW(AV$10),,1)),--($G$10:$G$24 = $G6))</f>
        <v>0</v>
      </c>
      <c r="AW6" s="49" cm="1">
        <f t="array" aca="1" ref="AW6" ca="1">SUMPRODUCT(SUBTOTAL(109,OFFSET(AW$10,ROW(AW$10:AW$24)-ROW(AW$10),,1)),--($G$10:$G$24 = $G6))</f>
        <v>0</v>
      </c>
      <c r="AX6" s="49" cm="1">
        <f t="array" aca="1" ref="AX6" ca="1">SUMPRODUCT(SUBTOTAL(109,OFFSET(AX$10,ROW(AX$10:AX$24)-ROW(AX$10),,1)),--($G$10:$G$24 = $G6))</f>
        <v>0</v>
      </c>
      <c r="AY6" s="49" cm="1">
        <f t="array" aca="1" ref="AY6" ca="1">SUMPRODUCT(SUBTOTAL(109,OFFSET(AY$10,ROW(AY$10:AY$24)-ROW(AY$10),,1)),--($G$10:$G$24 = $G6))</f>
        <v>0</v>
      </c>
      <c r="AZ6" s="49" cm="1">
        <f t="array" aca="1" ref="AZ6" ca="1">SUMPRODUCT(SUBTOTAL(109,OFFSET(AZ$10,ROW(AZ$10:AZ$24)-ROW(AZ$10),,1)),--($G$10:$G$24 = $G6))</f>
        <v>0</v>
      </c>
      <c r="BA6" s="49" cm="1">
        <f t="array" aca="1" ref="BA6" ca="1">SUMPRODUCT(SUBTOTAL(109,OFFSET(BA$10,ROW(BA$10:BA$24)-ROW(BA$10),,1)),--($G$10:$G$24 = $G6))</f>
        <v>0</v>
      </c>
    </row>
    <row r="7" spans="1:53">
      <c r="A7" s="39"/>
      <c r="B7" s="39"/>
      <c r="C7" s="39"/>
      <c r="D7" s="39"/>
      <c r="E7" s="39"/>
      <c r="F7" s="39">
        <v>121719.15</v>
      </c>
      <c r="G7" s="45" t="s">
        <v>36</v>
      </c>
      <c r="H7" s="46">
        <f>IFERROR(SUM(I7:AC7),0)</f>
        <v>1023278.80</v>
      </c>
      <c r="I7" s="47">
        <v>226605.71</v>
      </c>
      <c r="J7" s="47">
        <v>57712.21</v>
      </c>
      <c r="K7" s="47">
        <v>45772.40</v>
      </c>
      <c r="L7" s="47">
        <v>39782.22</v>
      </c>
      <c r="M7" s="47">
        <v>34548.56</v>
      </c>
      <c r="N7" s="47">
        <v>29486.72</v>
      </c>
      <c r="O7" s="47">
        <v>14020.55</v>
      </c>
      <c r="P7" s="47">
        <v>30007.64</v>
      </c>
      <c r="Q7" s="47">
        <v>8977.48</v>
      </c>
      <c r="R7" s="47">
        <v>30690.56</v>
      </c>
      <c r="S7" s="47">
        <v>36831.85</v>
      </c>
      <c r="T7" s="47">
        <v>39363.39</v>
      </c>
      <c r="U7" s="47">
        <v>20480.65</v>
      </c>
      <c r="V7" s="47">
        <v>21256.85</v>
      </c>
      <c r="W7" s="47">
        <v>31309.91</v>
      </c>
      <c r="X7" s="47">
        <v>68992.88</v>
      </c>
      <c r="Y7" s="47">
        <v>41553.88</v>
      </c>
      <c r="Z7" s="47">
        <v>65724.60</v>
      </c>
      <c r="AA7" s="47">
        <v>70103</v>
      </c>
      <c r="AB7" s="47">
        <v>73793.16</v>
      </c>
      <c r="AC7" s="47">
        <v>36264.88</v>
      </c>
      <c r="AD7" s="47" cm="1">
        <f t="array" aca="1" ref="AD7" ca="1">SUMPRODUCT(SUBTOTAL(109,OFFSET(AD$10,ROW(AD$10:AD$266)-ROW(AD$10),,1)),--($G$10:$G$266 = $G7))</f>
        <v>77093.60</v>
      </c>
      <c r="AE7" s="47" cm="1">
        <f t="array" aca="1" ref="AE7" ca="1">SUMPRODUCT(SUBTOTAL(109,OFFSET(AE$10,ROW(AE$10:AE$266)-ROW(AE$10),,1)),--($G$10:$G$266 = $G7))</f>
        <v>77157.78</v>
      </c>
      <c r="AF7" s="47" cm="1">
        <f t="array" aca="1" ref="AF7" ca="1">SUMPRODUCT(SUBTOTAL(109,OFFSET(AF$10,ROW(AF$10:AF$266)-ROW(AF$10),,1)),--($G$10:$G$266 = $G7))</f>
        <v>77375.47</v>
      </c>
      <c r="AG7" s="47" cm="1">
        <f t="array" aca="1" ref="AG7" ca="1">SUMPRODUCT(SUBTOTAL(109,OFFSET(AG$10,ROW(AG$10:AG$266)-ROW(AG$10),,1)),--($G$10:$G$266 = $G7))</f>
        <v>78828.98</v>
      </c>
      <c r="AH7" s="47" cm="1">
        <f t="array" aca="1" ref="AH7" ca="1">SUMPRODUCT(SUBTOTAL(109,OFFSET(AH$10,ROW(AH$10:AH$266)-ROW(AH$10),,1)),--($G$10:$G$266 = $G7))</f>
        <v>73145.77</v>
      </c>
      <c r="AI7" s="47" cm="1">
        <f t="array" aca="1" ref="AI7" ca="1">SUMPRODUCT(SUBTOTAL(109,OFFSET(AI$10,ROW(AI$10:AI$266)-ROW(AI$10),,1)),--($G$10:$G$266 = $G7))</f>
        <v>79857.58</v>
      </c>
      <c r="AJ7" s="47" cm="1">
        <f t="array" aca="1" ref="AJ7" ca="1">SUMPRODUCT(SUBTOTAL(109,OFFSET(AJ$10,ROW(AJ$10:AJ$266)-ROW(AJ$10),,1)),--($G$10:$G$266 = $G7))</f>
        <v>107785.37</v>
      </c>
      <c r="AK7" s="47" cm="1">
        <f t="array" aca="1" ref="AK7" ca="1">SUMPRODUCT(SUBTOTAL(109,OFFSET(AK$10,ROW(AK$10:AK$266)-ROW(AK$10),,1)),--($G$10:$G$266 = $G7))</f>
        <v>85294.45</v>
      </c>
      <c r="AL7" s="47" cm="1">
        <f t="array" aca="1" ref="AL7" ca="1">SUMPRODUCT(SUBTOTAL(109,OFFSET(AL$10,ROW(AL$10:AL$266)-ROW(AL$10),,1)),--($G$10:$G$266 = $G7))</f>
        <v>85384.56</v>
      </c>
      <c r="AM7" s="47" cm="1">
        <f t="array" aca="1" ref="AM7" ca="1">SUMPRODUCT(SUBTOTAL(109,OFFSET(AM$10,ROW(AM$10:AM$266)-ROW(AM$10),,1)),--($G$10:$G$266 = $G7))</f>
        <v>100127.74</v>
      </c>
      <c r="AN7" s="47" cm="1">
        <f t="array" aca="1" ref="AN7" ca="1">SUMPRODUCT(SUBTOTAL(109,OFFSET(AN$10,ROW(AN$10:AN$266)-ROW(AN$10),,1)),--($G$10:$G$266 = $G7))</f>
        <v>127601.96</v>
      </c>
      <c r="AO7" s="47" cm="1">
        <f t="array" aca="1" ref="AO7" ca="1">SUMPRODUCT(SUBTOTAL(109,OFFSET(AO$10,ROW(AO$10:AO$266)-ROW(AO$10),,1)),--($G$10:$G$266 = $G7))</f>
        <v>57199.11</v>
      </c>
      <c r="AP7" s="47" cm="1">
        <f t="array" aca="1" ref="AP7" ca="1">SUMPRODUCT(SUBTOTAL(109,OFFSET(AP$10,ROW(AP$10:AP$266)-ROW(AP$10),,1)),--($G$10:$G$266 = $G7))</f>
        <v>41617.10</v>
      </c>
      <c r="AQ7" s="47" cm="1">
        <f t="array" aca="1" ref="AQ7" ca="1">SUMPRODUCT(SUBTOTAL(109,OFFSET(AQ$10,ROW(AQ$10:AQ$266)-ROW(AQ$10),,1)),--($G$10:$G$266 = $G7))</f>
        <v>0</v>
      </c>
      <c r="AR7" s="47" cm="1">
        <f t="array" aca="1" ref="AR7" ca="1">SUMPRODUCT(SUBTOTAL(109,OFFSET(AR$10,ROW(AR$10:AR$266)-ROW(AR$10),,1)),--($G$10:$G$266 = $G7))</f>
        <v>0</v>
      </c>
      <c r="AS7" s="47" cm="1">
        <f t="array" aca="1" ref="AS7" ca="1">SUMPRODUCT(SUBTOTAL(109,OFFSET(AS$10,ROW(AS$10:AS$266)-ROW(AS$10),,1)),--($G$10:$G$266 = $G7))</f>
        <v>0</v>
      </c>
      <c r="AT7" s="47" cm="1">
        <f t="array" aca="1" ref="AT7" ca="1">SUMPRODUCT(SUBTOTAL(109,OFFSET(AT$10,ROW(AT$10:AT$266)-ROW(AT$10),,1)),--($G$10:$G$266 = $G7))</f>
        <v>0</v>
      </c>
      <c r="AU7" s="47" cm="1">
        <f t="array" aca="1" ref="AU7" ca="1">SUMPRODUCT(SUBTOTAL(109,OFFSET(AU$10,ROW(AU$10:AU$266)-ROW(AU$10),,1)),--($G$10:$G$266 = $G7))</f>
        <v>0</v>
      </c>
      <c r="AV7" s="47" cm="1">
        <f t="array" aca="1" ref="AV7" ca="1">SUMPRODUCT(SUBTOTAL(109,OFFSET(AV$10,ROW(AV$10:AV$266)-ROW(AV$10),,1)),--($G$10:$G$266 = $G7))</f>
        <v>0</v>
      </c>
      <c r="AW7" s="47" cm="1">
        <f t="array" aca="1" ref="AW7" ca="1">SUMPRODUCT(SUBTOTAL(109,OFFSET(AW$10,ROW(AW$10:AW$266)-ROW(AW$10),,1)),--($G$10:$G$266 = $G7))</f>
        <v>0</v>
      </c>
      <c r="AX7" s="47" cm="1">
        <f t="array" aca="1" ref="AX7" ca="1">SUMPRODUCT(SUBTOTAL(109,OFFSET(AX$10,ROW(AX$10:AX$266)-ROW(AX$10),,1)),--($G$10:$G$266 = $G7))</f>
        <v>0</v>
      </c>
      <c r="AY7" s="47" cm="1">
        <f t="array" aca="1" ref="AY7" ca="1">SUMPRODUCT(SUBTOTAL(109,OFFSET(AY$10,ROW(AY$10:AY$266)-ROW(AY$10),,1)),--($G$10:$G$266 = $G7))</f>
        <v>0</v>
      </c>
      <c r="AZ7" s="47" cm="1">
        <f t="array" aca="1" ref="AZ7" ca="1">SUMPRODUCT(SUBTOTAL(109,OFFSET(AZ$10,ROW(AZ$10:AZ$266)-ROW(AZ$10),,1)),--($G$10:$G$266 = $G7))</f>
        <v>0</v>
      </c>
      <c r="BA7" s="47" cm="1">
        <f t="array" aca="1" ref="BA7" ca="1">SUMPRODUCT(SUBTOTAL(109,OFFSET(BA$10,ROW(BA$10:BA$266)-ROW(BA$10),,1)),--($G$10:$G$266 = $G7))</f>
        <v>0</v>
      </c>
    </row>
    <row r="8" spans="1:53">
      <c r="A8" s="39"/>
      <c r="B8" s="39"/>
      <c r="C8" s="39"/>
      <c r="D8" s="39"/>
      <c r="E8" s="39"/>
      <c r="F8" s="39">
        <f>SUM(F6:F7)</f>
        <v>284928.81</v>
      </c>
      <c r="G8" s="45" t="s">
        <v>37</v>
      </c>
      <c r="H8" s="46">
        <f>IFERROR(SUM(I8:AC8),0)</f>
        <v>-44224.07</v>
      </c>
      <c r="I8" s="47">
        <v>0</v>
      </c>
      <c r="J8" s="47">
        <v>-5943.20</v>
      </c>
      <c r="K8" s="47">
        <v>-2803.50</v>
      </c>
      <c r="L8" s="47">
        <v>-3421.04</v>
      </c>
      <c r="M8" s="47">
        <v>453.09</v>
      </c>
      <c r="N8" s="47">
        <v>-45.73</v>
      </c>
      <c r="O8" s="47">
        <v>776.30</v>
      </c>
      <c r="P8" s="47">
        <v>-482.07</v>
      </c>
      <c r="Q8" s="47">
        <v>-2453.26</v>
      </c>
      <c r="R8" s="47">
        <v>197.66</v>
      </c>
      <c r="S8" s="47">
        <v>1930.98</v>
      </c>
      <c r="T8" s="47">
        <v>-1955.03</v>
      </c>
      <c r="U8" s="47">
        <v>-4545.47</v>
      </c>
      <c r="V8" s="47">
        <v>20.80</v>
      </c>
      <c r="W8" s="47">
        <v>2573.24</v>
      </c>
      <c r="X8" s="47">
        <v>-17567.65</v>
      </c>
      <c r="Y8" s="47">
        <v>-1475.53</v>
      </c>
      <c r="Z8" s="47">
        <v>-1922.24</v>
      </c>
      <c r="AA8" s="47">
        <v>-2264.23</v>
      </c>
      <c r="AB8" s="47">
        <v>-3619.93</v>
      </c>
      <c r="AC8" s="47">
        <v>-1677.29</v>
      </c>
      <c r="AD8" s="47">
        <f t="shared" ref="AD8:BA8" ca="1" si="1">AD5-AD7</f>
        <v>-14491.26</v>
      </c>
      <c r="AE8" s="47">
        <f t="shared" ca="1" si="1"/>
        <v>-3949.63</v>
      </c>
      <c r="AF8" s="47">
        <f t="shared" ca="1" si="1"/>
        <v>-2583.06</v>
      </c>
      <c r="AG8" s="47">
        <f t="shared" ca="1" si="1"/>
        <v>-12130.63</v>
      </c>
      <c r="AH8" s="47">
        <f t="shared" ca="1" si="1"/>
        <v>-1.37</v>
      </c>
      <c r="AI8" s="47">
        <f t="shared" ca="1" si="1"/>
        <v>4761.58</v>
      </c>
      <c r="AJ8" s="47">
        <f t="shared" ca="1" si="1"/>
        <v>14089.39</v>
      </c>
      <c r="AK8" s="47">
        <f t="shared" ca="1" si="1"/>
        <v>1777.08</v>
      </c>
      <c r="AL8" s="47">
        <f t="shared" ca="1" si="1"/>
        <v>-2388.83</v>
      </c>
      <c r="AM8" s="47">
        <f t="shared" ca="1" si="1"/>
        <v>-11732.40</v>
      </c>
      <c r="AN8" s="47">
        <f t="shared" ca="1" si="1"/>
        <v>-4490.85</v>
      </c>
      <c r="AO8" s="47">
        <f t="shared" ca="1" si="1"/>
        <v>-16556.60</v>
      </c>
      <c r="AP8" s="47">
        <f t="shared" ca="1" si="1"/>
        <v>-41617.10</v>
      </c>
      <c r="AQ8" s="47">
        <f t="shared" ca="1" si="1"/>
        <v>0</v>
      </c>
      <c r="AR8" s="47">
        <f t="shared" ca="1" si="1"/>
        <v>0</v>
      </c>
      <c r="AS8" s="47">
        <f t="shared" ca="1" si="1"/>
        <v>0</v>
      </c>
      <c r="AT8" s="47">
        <f t="shared" ca="1" si="1"/>
        <v>0</v>
      </c>
      <c r="AU8" s="47">
        <f t="shared" ca="1" si="1"/>
        <v>0</v>
      </c>
      <c r="AV8" s="47">
        <f t="shared" ca="1" si="1"/>
        <v>0</v>
      </c>
      <c r="AW8" s="47">
        <f t="shared" ca="1" si="1"/>
        <v>0</v>
      </c>
      <c r="AX8" s="47">
        <f t="shared" ca="1" si="1"/>
        <v>0</v>
      </c>
      <c r="AY8" s="47">
        <f t="shared" ca="1" si="1"/>
        <v>0</v>
      </c>
      <c r="AZ8" s="47">
        <f t="shared" ca="1" si="1"/>
        <v>0</v>
      </c>
      <c r="BA8" s="47">
        <f t="shared" ca="1" si="1"/>
        <v>0</v>
      </c>
    </row>
    <row r="9" spans="1:53" ht="15" thickBot="1">
      <c r="B9" s="1" t="s">
        <v>7</v>
      </c>
      <c r="C9" s="1" t="s">
        <v>8</v>
      </c>
      <c r="D9" s="1" t="s">
        <v>22</v>
      </c>
      <c r="E9" s="1" t="s">
        <v>9</v>
      </c>
      <c r="F9" s="1" t="s">
        <v>12</v>
      </c>
      <c r="G9" s="1" t="s">
        <v>13</v>
      </c>
      <c r="H9" s="1" t="s">
        <v>5</v>
      </c>
      <c r="I9" s="4" t="s">
        <v>29</v>
      </c>
      <c r="J9" s="4">
        <v>45292</v>
      </c>
      <c r="K9" s="8">
        <v>45323</v>
      </c>
      <c r="L9" s="4">
        <v>45352</v>
      </c>
      <c r="M9" s="4">
        <v>45383</v>
      </c>
      <c r="N9" s="4">
        <v>45413</v>
      </c>
      <c r="O9" s="4">
        <v>45444</v>
      </c>
      <c r="P9" s="4">
        <v>45474</v>
      </c>
      <c r="Q9" s="8">
        <v>45505</v>
      </c>
      <c r="R9" s="4">
        <v>45536</v>
      </c>
      <c r="S9" s="4">
        <v>45566</v>
      </c>
      <c r="T9" s="4">
        <v>45597</v>
      </c>
      <c r="U9" s="4">
        <v>45627</v>
      </c>
      <c r="V9" s="4">
        <v>45658</v>
      </c>
      <c r="W9" s="8">
        <v>45689</v>
      </c>
      <c r="X9" s="4">
        <v>45717</v>
      </c>
      <c r="Y9" s="8">
        <v>45748</v>
      </c>
      <c r="Z9" s="4">
        <v>45778</v>
      </c>
      <c r="AA9" s="8">
        <v>45809</v>
      </c>
      <c r="AB9" s="4">
        <v>45839</v>
      </c>
      <c r="AC9" s="8">
        <v>45870</v>
      </c>
      <c r="AD9" s="8">
        <v>45901</v>
      </c>
      <c r="AE9" s="8">
        <v>45931</v>
      </c>
      <c r="AF9" s="8">
        <v>45962</v>
      </c>
      <c r="AG9" s="8">
        <v>45992</v>
      </c>
      <c r="AH9" s="8">
        <v>46023</v>
      </c>
      <c r="AI9" s="8">
        <v>46054</v>
      </c>
      <c r="AJ9" s="8">
        <v>46082</v>
      </c>
      <c r="AK9" s="8">
        <v>46113</v>
      </c>
      <c r="AL9" s="8">
        <v>46143</v>
      </c>
      <c r="AM9" s="8">
        <v>46174</v>
      </c>
      <c r="AN9" s="8">
        <v>46204</v>
      </c>
      <c r="AO9" s="8">
        <v>46235</v>
      </c>
      <c r="AP9" s="8">
        <v>46266</v>
      </c>
      <c r="AQ9" s="8">
        <v>46296</v>
      </c>
      <c r="AR9" s="8">
        <v>46327</v>
      </c>
      <c r="AS9" s="8">
        <v>46357</v>
      </c>
      <c r="AT9" s="8">
        <v>46388</v>
      </c>
      <c r="AU9" s="8">
        <v>46419</v>
      </c>
      <c r="AV9" s="8">
        <v>46447</v>
      </c>
      <c r="AW9" s="8">
        <v>46478</v>
      </c>
      <c r="AX9" s="8">
        <v>46508</v>
      </c>
      <c r="AY9" s="8">
        <v>46539</v>
      </c>
      <c r="AZ9" s="8">
        <v>46569</v>
      </c>
      <c r="BA9" s="8">
        <v>46600</v>
      </c>
    </row>
    <row r="10" spans="1:53">
      <c r="B10" s="525" t="s">
        <v>21</v>
      </c>
      <c r="C10" s="528" t="s">
        <v>14</v>
      </c>
      <c r="D10" s="528">
        <v>8871789615</v>
      </c>
      <c r="E10" s="531" t="s">
        <v>23</v>
      </c>
      <c r="F10" s="531" t="s">
        <v>25</v>
      </c>
      <c r="G10" s="50" t="s">
        <v>32</v>
      </c>
      <c r="H10" s="51">
        <f>IFERROR(SUM(I10:AO10),0)-0.56</f>
        <v>1212764.88</v>
      </c>
      <c r="I10" s="63">
        <v>82805.46</v>
      </c>
      <c r="J10" s="52">
        <v>18085.67</v>
      </c>
      <c r="K10" s="52">
        <v>28085.13</v>
      </c>
      <c r="L10" s="52">
        <v>42564.96</v>
      </c>
      <c r="M10" s="52">
        <v>24627.28</v>
      </c>
      <c r="N10" s="52">
        <v>24627.28</v>
      </c>
      <c r="O10" s="73">
        <v>8695.04</v>
      </c>
      <c r="P10" s="73">
        <v>33910.78</v>
      </c>
      <c r="Q10" s="73">
        <v>8695.04</v>
      </c>
      <c r="R10" s="73">
        <v>42062.22</v>
      </c>
      <c r="S10" s="52">
        <v>9021.09</v>
      </c>
      <c r="T10" s="52">
        <v>20651</v>
      </c>
      <c r="U10" s="52">
        <v>0</v>
      </c>
      <c r="V10" s="63">
        <v>17940.82</v>
      </c>
      <c r="W10" s="63">
        <v>17926.18</v>
      </c>
      <c r="X10" s="178">
        <v>49284.44</v>
      </c>
      <c r="Y10" s="183">
        <v>49284.44</v>
      </c>
      <c r="Z10" s="64">
        <v>94751.63</v>
      </c>
      <c r="AA10" s="64">
        <v>91161.17</v>
      </c>
      <c r="AB10" s="63">
        <v>19430.12</v>
      </c>
      <c r="AC10" s="178">
        <v>0</v>
      </c>
      <c r="AD10" s="183">
        <v>6521.28</v>
      </c>
      <c r="AE10" s="63">
        <v>25040.13</v>
      </c>
      <c r="AF10" s="271">
        <v>30913.35</v>
      </c>
      <c r="AG10" s="294">
        <v>54933.36</v>
      </c>
      <c r="AH10" s="312">
        <v>23557.81</v>
      </c>
      <c r="AI10" s="317">
        <v>43352.87</v>
      </c>
      <c r="AJ10" s="294">
        <v>22923.83</v>
      </c>
      <c r="AK10" s="366">
        <v>87811.21</v>
      </c>
      <c r="AL10" s="378">
        <v>71835.76</v>
      </c>
      <c r="AM10" s="210">
        <v>8377.54</v>
      </c>
      <c r="AN10" s="54">
        <f>116787.42</f>
        <v>95029.92</v>
      </c>
      <c r="AO10" s="340">
        <v>58858.65</v>
      </c>
      <c r="AP10" s="345"/>
      <c r="AQ10" s="346"/>
      <c r="AR10" s="347"/>
      <c r="AS10" s="345"/>
      <c r="AT10" s="346"/>
      <c r="AU10" s="347"/>
      <c r="AV10" s="345"/>
      <c r="AW10" s="346"/>
      <c r="AX10" s="347"/>
      <c r="AY10" s="355"/>
      <c r="AZ10" s="346"/>
      <c r="BA10" s="347"/>
    </row>
    <row r="11" spans="1:53" ht="15" thickBot="1">
      <c r="B11" s="526"/>
      <c r="C11" s="529"/>
      <c r="D11" s="529"/>
      <c r="E11" s="532"/>
      <c r="F11" s="532"/>
      <c r="G11" s="45" t="s">
        <v>33</v>
      </c>
      <c r="H11" s="55">
        <f>IFERROR(SUM(I11:AO11),0)</f>
        <v>809516.40</v>
      </c>
      <c r="I11" s="64">
        <v>55124.63</v>
      </c>
      <c r="J11" s="53">
        <v>16046.58</v>
      </c>
      <c r="K11" s="53">
        <v>19191.41</v>
      </c>
      <c r="L11" s="53">
        <v>21565.61</v>
      </c>
      <c r="M11" s="53">
        <v>16575.83</v>
      </c>
      <c r="N11" s="53">
        <v>24787.16</v>
      </c>
      <c r="O11" s="53">
        <v>6378.63</v>
      </c>
      <c r="P11" s="53">
        <v>22549.14</v>
      </c>
      <c r="Q11" s="53">
        <v>6524.22</v>
      </c>
      <c r="R11" s="53">
        <v>21074.81</v>
      </c>
      <c r="S11" s="53">
        <v>5831.36</v>
      </c>
      <c r="T11" s="53">
        <v>11235.10</v>
      </c>
      <c r="U11" s="53">
        <v>0</v>
      </c>
      <c r="V11" s="64">
        <v>7925.26</v>
      </c>
      <c r="W11" s="64">
        <v>11072.36</v>
      </c>
      <c r="X11" s="179">
        <v>22263.27</v>
      </c>
      <c r="Y11" s="184">
        <v>40078.35</v>
      </c>
      <c r="Z11" s="64">
        <v>52122.01</v>
      </c>
      <c r="AA11" s="64">
        <v>62920.35</v>
      </c>
      <c r="AB11" s="64">
        <v>14001.72</v>
      </c>
      <c r="AC11" s="179">
        <v>814</v>
      </c>
      <c r="AD11" s="184">
        <f>'FCST 8871789615 35%'!H50</f>
        <v>3954.10</v>
      </c>
      <c r="AE11" s="64">
        <f>'FCST 8871789615 35%'!I50</f>
        <v>9962.96</v>
      </c>
      <c r="AF11" s="272">
        <f>'FCST 8871789615 35%'!J50</f>
        <v>20959.44</v>
      </c>
      <c r="AG11" s="295">
        <f>'FCST 8871789615 35%'!K50</f>
        <v>36859.71</v>
      </c>
      <c r="AH11" s="304">
        <f>'FCST 8871789615 35%'!L50</f>
        <v>18594.05</v>
      </c>
      <c r="AI11" s="318">
        <f>'FCST 8871789615 35%'!M50</f>
        <v>27012.80</v>
      </c>
      <c r="AJ11" s="299">
        <f>'FCST 8871789615 35%'!N50</f>
        <v>33451.66</v>
      </c>
      <c r="AK11" s="367">
        <f>'FCST 8871789615 35%'!O50</f>
        <v>35803</v>
      </c>
      <c r="AL11" s="379">
        <f>'FCST 8871789615 35%'!P50</f>
        <v>49219.87</v>
      </c>
      <c r="AM11" s="210">
        <f>'FCST 8871789615 35%'!Q50</f>
        <v>18119.44</v>
      </c>
      <c r="AN11" s="56">
        <v>85180.58</v>
      </c>
      <c r="AO11" s="341">
        <v>32317.48</v>
      </c>
      <c r="AP11" s="348">
        <f>'FCST 8871789615 35%'!T50</f>
        <v>0</v>
      </c>
      <c r="AQ11" s="341">
        <f>'FCST 8871789615 35%'!U50</f>
        <v>0</v>
      </c>
      <c r="AR11" s="57">
        <f>'FCST 8871789615 35%'!V50</f>
        <v>0</v>
      </c>
      <c r="AS11" s="348">
        <f>'FCST 8871789615 35%'!W50</f>
        <v>0</v>
      </c>
      <c r="AT11" s="341">
        <f>'FCST 8871789615 35%'!X50</f>
        <v>0</v>
      </c>
      <c r="AU11" s="57">
        <f>'FCST 8871789615 35%'!Y50</f>
        <v>0</v>
      </c>
      <c r="AV11" s="348">
        <f>'FCST 8871789615 35%'!Z50</f>
        <v>0</v>
      </c>
      <c r="AW11" s="341">
        <f>'FCST 8871789615 35%'!AA50</f>
        <v>0</v>
      </c>
      <c r="AX11" s="57">
        <f>'FCST 8871789615 35%'!AB50</f>
        <v>0</v>
      </c>
      <c r="AY11" s="316">
        <f>'FCST 8871789615 35%'!AC50</f>
        <v>0</v>
      </c>
      <c r="AZ11" s="341">
        <f>'FCST 8871789615 35%'!AD50</f>
        <v>0</v>
      </c>
      <c r="BA11" s="57">
        <f>'FCST 8871789615 35%'!AE50</f>
        <v>0</v>
      </c>
    </row>
    <row r="12" spans="1:53">
      <c r="B12" s="526"/>
      <c r="C12" s="529"/>
      <c r="D12" s="529"/>
      <c r="E12" s="532"/>
      <c r="F12" s="532"/>
      <c r="G12" s="45" t="s">
        <v>31</v>
      </c>
      <c r="H12" s="55">
        <f>IFERROR(SUM(I12:AO12),0)</f>
        <v>1271623.81</v>
      </c>
      <c r="I12" s="64">
        <v>82805.46</v>
      </c>
      <c r="J12" s="53">
        <v>18085.67</v>
      </c>
      <c r="K12" s="53">
        <v>28084.96</v>
      </c>
      <c r="L12" s="53">
        <v>42564.95</v>
      </c>
      <c r="M12" s="53">
        <v>24627.27</v>
      </c>
      <c r="N12" s="53">
        <v>24627.28</v>
      </c>
      <c r="O12" s="78">
        <v>8695.04</v>
      </c>
      <c r="P12" s="53">
        <v>33910.78</v>
      </c>
      <c r="Q12" s="53">
        <v>8695.04</v>
      </c>
      <c r="R12" s="78">
        <v>42062.22</v>
      </c>
      <c r="S12" s="53">
        <v>9021.09</v>
      </c>
      <c r="T12" s="53">
        <v>20651</v>
      </c>
      <c r="U12" s="53"/>
      <c r="V12" s="63">
        <v>17940.83</v>
      </c>
      <c r="W12" s="64">
        <v>17926.18</v>
      </c>
      <c r="X12" s="180">
        <v>49284.44</v>
      </c>
      <c r="Y12" s="184">
        <v>49284.44</v>
      </c>
      <c r="Z12" s="64">
        <v>94751.63</v>
      </c>
      <c r="AA12" s="64">
        <v>91161.17</v>
      </c>
      <c r="AB12" s="64">
        <v>19430.12</v>
      </c>
      <c r="AC12" s="179"/>
      <c r="AD12" s="184">
        <v>6521.28</v>
      </c>
      <c r="AE12" s="64">
        <v>25040.13</v>
      </c>
      <c r="AF12" s="272">
        <v>30913.35</v>
      </c>
      <c r="AG12" s="296">
        <v>54933.36</v>
      </c>
      <c r="AH12" s="304">
        <v>23557.81</v>
      </c>
      <c r="AI12" s="318">
        <v>43352.87</v>
      </c>
      <c r="AJ12" s="299">
        <v>22923.83</v>
      </c>
      <c r="AK12" s="367">
        <v>87811.21</v>
      </c>
      <c r="AL12" s="379">
        <v>71835.76</v>
      </c>
      <c r="AM12" s="210">
        <v>8377.54</v>
      </c>
      <c r="AN12" s="56">
        <v>153888.58</v>
      </c>
      <c r="AO12" s="341">
        <v>58858.65</v>
      </c>
      <c r="AP12" s="348"/>
      <c r="AQ12" s="341"/>
      <c r="AR12" s="57"/>
      <c r="AS12" s="348"/>
      <c r="AT12" s="341"/>
      <c r="AU12" s="57"/>
      <c r="AV12" s="348"/>
      <c r="AW12" s="341"/>
      <c r="AX12" s="57"/>
      <c r="AY12" s="316"/>
      <c r="AZ12" s="341"/>
      <c r="BA12" s="57"/>
    </row>
    <row r="13" spans="1:53">
      <c r="B13" s="526"/>
      <c r="C13" s="529"/>
      <c r="D13" s="529"/>
      <c r="E13" s="532"/>
      <c r="F13" s="532"/>
      <c r="G13" s="45" t="s">
        <v>36</v>
      </c>
      <c r="H13" s="55">
        <f>IFERROR(SUM(I13:AO13),0)-14331.42</f>
        <v>846823.70</v>
      </c>
      <c r="I13" s="64">
        <v>55124.63</v>
      </c>
      <c r="J13" s="53">
        <v>16319.00</v>
      </c>
      <c r="K13" s="53">
        <v>19367.86</v>
      </c>
      <c r="L13" s="53">
        <v>22270.27</v>
      </c>
      <c r="M13" s="53">
        <v>11878.38</v>
      </c>
      <c r="N13" s="53">
        <v>24832.89</v>
      </c>
      <c r="O13" s="53">
        <v>6691.57</v>
      </c>
      <c r="P13" s="53">
        <v>22549.14</v>
      </c>
      <c r="Q13" s="53">
        <v>8000.28</v>
      </c>
      <c r="R13" s="53">
        <v>21083.06</v>
      </c>
      <c r="S13" s="53">
        <v>6274.70</v>
      </c>
      <c r="T13" s="53">
        <v>13190.13</v>
      </c>
      <c r="U13" s="53">
        <v>830.27</v>
      </c>
      <c r="V13" s="64">
        <v>8599.96</v>
      </c>
      <c r="W13" s="64">
        <v>8779.98</v>
      </c>
      <c r="X13" s="165">
        <v>41349.32</v>
      </c>
      <c r="Y13" s="184">
        <v>41349.32</v>
      </c>
      <c r="Z13" s="64">
        <v>53808.80</v>
      </c>
      <c r="AA13" s="64">
        <v>60596.08</v>
      </c>
      <c r="AB13" s="64">
        <v>19107.49</v>
      </c>
      <c r="AC13" s="179">
        <v>2791.10</v>
      </c>
      <c r="AD13" s="184">
        <v>3597.13</v>
      </c>
      <c r="AE13" s="64">
        <v>12022.76</v>
      </c>
      <c r="AF13" s="272">
        <v>20469.75</v>
      </c>
      <c r="AG13" s="296">
        <v>38241.73</v>
      </c>
      <c r="AH13" s="304">
        <v>16600.40</v>
      </c>
      <c r="AI13" s="318">
        <v>26025.22</v>
      </c>
      <c r="AJ13" s="296">
        <v>31652.15</v>
      </c>
      <c r="AK13" s="368">
        <v>31405.83</v>
      </c>
      <c r="AL13" s="295">
        <v>50466.33</v>
      </c>
      <c r="AM13" s="210">
        <v>22011.73</v>
      </c>
      <c r="AN13" s="56">
        <v>92606.27</v>
      </c>
      <c r="AO13" s="341">
        <v>48591.66</v>
      </c>
      <c r="AP13" s="348">
        <f>'FCST 8871789615 35%'!S50</f>
        <v>41617.10</v>
      </c>
      <c r="AQ13" s="341">
        <f>'FCST 8871789615 35%'!T50</f>
        <v>0</v>
      </c>
      <c r="AR13" s="57">
        <f>'FCST 8871789615 35%'!U50</f>
        <v>0</v>
      </c>
      <c r="AS13" s="348">
        <f>'FCST 8871789615 35%'!V50</f>
        <v>0</v>
      </c>
      <c r="AT13" s="341">
        <f>'FCST 8871789615 35%'!W50</f>
        <v>0</v>
      </c>
      <c r="AU13" s="57">
        <f>'FCST 8871789615 35%'!X50</f>
        <v>0</v>
      </c>
      <c r="AV13" s="348">
        <f>'FCST 8871789615 35%'!Y50</f>
        <v>0</v>
      </c>
      <c r="AW13" s="341">
        <f>'FCST 8871789615 35%'!Z50</f>
        <v>0</v>
      </c>
      <c r="AX13" s="57">
        <f>'FCST 8871789615 35%'!AA50</f>
        <v>0</v>
      </c>
      <c r="AY13" s="316">
        <f>'FCST 8871789615 35%'!AB50</f>
        <v>0</v>
      </c>
      <c r="AZ13" s="341">
        <f>'FCST 8871789615 35%'!AC50</f>
        <v>0</v>
      </c>
      <c r="BA13" s="57">
        <f>'FCST 8871789615 35%'!AD50</f>
        <v>0</v>
      </c>
    </row>
    <row r="14" spans="1:53">
      <c r="B14" s="526"/>
      <c r="C14" s="529"/>
      <c r="D14" s="529"/>
      <c r="E14" s="532"/>
      <c r="F14" s="532"/>
      <c r="G14" s="45" t="s">
        <v>34</v>
      </c>
      <c r="H14" s="58">
        <f>(H10-H11)/H10</f>
        <v>0.33250342684541073</v>
      </c>
      <c r="I14" s="65">
        <v>0.3342875007701635</v>
      </c>
      <c r="J14" s="59">
        <v>0.11274624929026023</v>
      </c>
      <c r="K14" s="59">
        <v>0.31667021098444925</v>
      </c>
      <c r="L14" s="59">
        <v>0.49334816531632913</v>
      </c>
      <c r="M14" s="59">
        <v>0.32693204871505133</v>
      </c>
      <c r="N14" s="59">
        <v>-6.4920801696964087E-3</v>
      </c>
      <c r="O14" s="59">
        <v>0.2664049486234068</v>
      </c>
      <c r="P14" s="59">
        <v>0.3350452551661916</v>
      </c>
      <c r="Q14" s="59">
        <v>0.24966123266390905</v>
      </c>
      <c r="R14" s="59">
        <v>0.49896116538285795</v>
      </c>
      <c r="S14" s="59">
        <v>0.35358589275244667</v>
      </c>
      <c r="T14" s="59">
        <v>0.45595082548563776</v>
      </c>
      <c r="U14" s="59">
        <v>0</v>
      </c>
      <c r="V14" s="65">
        <v>0.55825534221226436</v>
      </c>
      <c r="W14" s="65">
        <v>0.38233572570335028</v>
      </c>
      <c r="X14" s="181">
        <v>0.54826973262628054</v>
      </c>
      <c r="Y14" s="185">
        <v>0.18679497633354078</v>
      </c>
      <c r="Z14" s="65">
        <v>0.44990908829764481</v>
      </c>
      <c r="AA14" s="65">
        <v>0.30979002106568593</v>
      </c>
      <c r="AB14" s="65">
        <v>0.27938062205313069</v>
      </c>
      <c r="AC14" s="181">
        <v>0</v>
      </c>
      <c r="AD14" s="185">
        <f t="shared" ref="AD14:BA14" si="2">IFERROR((AD10-AD11)/AD10,0)</f>
        <v>0.39366236812717192</v>
      </c>
      <c r="AE14" s="65">
        <f t="shared" si="2"/>
        <v>0.60212041853341725</v>
      </c>
      <c r="AF14" s="273">
        <f t="shared" si="2"/>
        <v>0.32199381486553807</v>
      </c>
      <c r="AG14" s="297">
        <f t="shared" si="2"/>
        <v>0.32901050472385218</v>
      </c>
      <c r="AH14" s="313">
        <f t="shared" si="2"/>
        <v>0.21070550130960536</v>
      </c>
      <c r="AI14" s="319">
        <f t="shared" si="2"/>
        <v>0.37690853510099437</v>
      </c>
      <c r="AJ14" s="297">
        <f t="shared" si="2"/>
        <v>-0.45925265703878382</v>
      </c>
      <c r="AK14" s="369">
        <f t="shared" si="2"/>
        <v>0.59227528460806766</v>
      </c>
      <c r="AL14" s="380">
        <f t="shared" si="2"/>
        <v>0.31482772701606265</v>
      </c>
      <c r="AM14" s="211">
        <f t="shared" si="2"/>
        <v>-0.95</v>
      </c>
      <c r="AN14" s="60">
        <f t="shared" si="2"/>
        <v>0.10364462293191276</v>
      </c>
      <c r="AO14" s="342">
        <f t="shared" si="2"/>
        <v>0.45093069933282959</v>
      </c>
      <c r="AP14" s="349">
        <f t="shared" si="2"/>
        <v>0</v>
      </c>
      <c r="AQ14" s="342">
        <f t="shared" si="2"/>
        <v>0</v>
      </c>
      <c r="AR14" s="61">
        <f t="shared" si="2"/>
        <v>0</v>
      </c>
      <c r="AS14" s="349">
        <f t="shared" si="2"/>
        <v>0</v>
      </c>
      <c r="AT14" s="342">
        <f t="shared" si="2"/>
        <v>0</v>
      </c>
      <c r="AU14" s="61">
        <f t="shared" si="2"/>
        <v>0</v>
      </c>
      <c r="AV14" s="349">
        <f t="shared" si="2"/>
        <v>0</v>
      </c>
      <c r="AW14" s="342">
        <f t="shared" si="2"/>
        <v>0</v>
      </c>
      <c r="AX14" s="61">
        <f t="shared" si="2"/>
        <v>0</v>
      </c>
      <c r="AY14" s="357">
        <f t="shared" si="2"/>
        <v>0</v>
      </c>
      <c r="AZ14" s="342">
        <f t="shared" si="2"/>
        <v>0</v>
      </c>
      <c r="BA14" s="61">
        <f t="shared" si="2"/>
        <v>0</v>
      </c>
    </row>
    <row r="15" spans="1:53">
      <c r="B15" s="526"/>
      <c r="C15" s="529"/>
      <c r="D15" s="529"/>
      <c r="E15" s="532"/>
      <c r="F15" s="532"/>
      <c r="G15" s="45" t="s">
        <v>35</v>
      </c>
      <c r="H15" s="58">
        <f>(H12-H13)/H12</f>
        <v>0.33406114444252466</v>
      </c>
      <c r="I15" s="65">
        <v>0.3342875007701635</v>
      </c>
      <c r="J15" s="59">
        <v>9.7683571742868638E-2</v>
      </c>
      <c r="K15" s="59">
        <v>0.3103833014680808</v>
      </c>
      <c r="L15" s="59">
        <v>0.47679322474683322</v>
      </c>
      <c r="M15" s="59">
        <v>0.51767358459832047</v>
      </c>
      <c r="N15" s="59">
        <v>-8.34899457473459E-3</v>
      </c>
      <c r="O15" s="59">
        <v>0.23041513059392507</v>
      </c>
      <c r="P15" s="59">
        <v>0.3350452551661916</v>
      </c>
      <c r="Q15" s="59">
        <v>7.9902300248928457E-2</v>
      </c>
      <c r="R15" s="59">
        <v>0.49876500555012387</v>
      </c>
      <c r="S15" s="59">
        <v>0.30444053631160062</v>
      </c>
      <c r="T15" s="59">
        <v>0.36128042870089433</v>
      </c>
      <c r="U15" s="59">
        <v>0</v>
      </c>
      <c r="V15" s="65">
        <v>0.52064849895378162</v>
      </c>
      <c r="W15" s="65">
        <v>0.51021483668857504</v>
      </c>
      <c r="X15" s="181">
        <v>0.16100650814730891</v>
      </c>
      <c r="Y15" s="185">
        <v>0.16100650814730891</v>
      </c>
      <c r="Z15" s="65">
        <v>0.43210683152332197</v>
      </c>
      <c r="AA15" s="65">
        <v>0.3352862714753313</v>
      </c>
      <c r="AB15" s="65">
        <v>1.6604818044777269E-2</v>
      </c>
      <c r="AC15" s="181">
        <v>0</v>
      </c>
      <c r="AD15" s="185">
        <f t="shared" ref="AD15:BA15" si="3">IFERROR((AD12-AD13)/AD12,0)</f>
        <v>0.44840068127795768</v>
      </c>
      <c r="AE15" s="65">
        <f t="shared" si="3"/>
        <v>0.519860319882547</v>
      </c>
      <c r="AF15" s="273">
        <f t="shared" si="3"/>
        <v>0.33783473967185457</v>
      </c>
      <c r="AG15" s="297">
        <f t="shared" si="3"/>
        <v>0.30385237395383063</v>
      </c>
      <c r="AH15" s="313">
        <f t="shared" si="3"/>
        <v>0.29533353574101762</v>
      </c>
      <c r="AI15" s="319">
        <f t="shared" si="3"/>
        <v>0.39968869354708236</v>
      </c>
      <c r="AJ15" s="297">
        <f t="shared" si="3"/>
        <v>-0.3807528945057459</v>
      </c>
      <c r="AK15" s="369">
        <f t="shared" si="3"/>
        <v>0.64234832756418314</v>
      </c>
      <c r="AL15" s="380">
        <f t="shared" si="3"/>
        <v>0.29747612361857378</v>
      </c>
      <c r="AM15" s="211">
        <f t="shared" si="3"/>
        <v>-1.32</v>
      </c>
      <c r="AN15" s="60">
        <f t="shared" si="3"/>
        <v>0.39822517273487557</v>
      </c>
      <c r="AO15" s="342">
        <f t="shared" si="3"/>
        <v>0.17443474653238153</v>
      </c>
      <c r="AP15" s="349">
        <f t="shared" si="3"/>
        <v>0</v>
      </c>
      <c r="AQ15" s="342">
        <f t="shared" si="3"/>
        <v>0</v>
      </c>
      <c r="AR15" s="61">
        <f t="shared" si="3"/>
        <v>0</v>
      </c>
      <c r="AS15" s="349">
        <f t="shared" si="3"/>
        <v>0</v>
      </c>
      <c r="AT15" s="342">
        <f t="shared" si="3"/>
        <v>0</v>
      </c>
      <c r="AU15" s="61">
        <f t="shared" si="3"/>
        <v>0</v>
      </c>
      <c r="AV15" s="349">
        <f t="shared" si="3"/>
        <v>0</v>
      </c>
      <c r="AW15" s="342">
        <f t="shared" si="3"/>
        <v>0</v>
      </c>
      <c r="AX15" s="61">
        <f t="shared" si="3"/>
        <v>0</v>
      </c>
      <c r="AY15" s="357">
        <f t="shared" si="3"/>
        <v>0</v>
      </c>
      <c r="AZ15" s="342">
        <f t="shared" si="3"/>
        <v>0</v>
      </c>
      <c r="BA15" s="61">
        <f t="shared" si="3"/>
        <v>0</v>
      </c>
    </row>
    <row r="16" spans="1:53" ht="15" thickBot="1">
      <c r="B16" s="527"/>
      <c r="C16" s="530"/>
      <c r="D16" s="530"/>
      <c r="E16" s="533"/>
      <c r="F16" s="533"/>
      <c r="G16" s="229" t="s">
        <v>37</v>
      </c>
      <c r="H16" s="230">
        <f>H11-H13</f>
        <v>-37307.30</v>
      </c>
      <c r="I16" s="201">
        <v>0</v>
      </c>
      <c r="J16" s="62">
        <v>-272.42</v>
      </c>
      <c r="K16" s="62">
        <v>-176.45</v>
      </c>
      <c r="L16" s="62">
        <v>-704.66</v>
      </c>
      <c r="M16" s="62">
        <v>4697.45</v>
      </c>
      <c r="N16" s="62">
        <v>-45.73</v>
      </c>
      <c r="O16" s="62">
        <v>-312.93</v>
      </c>
      <c r="P16" s="62">
        <v>0</v>
      </c>
      <c r="Q16" s="62">
        <v>-1476.06</v>
      </c>
      <c r="R16" s="62">
        <v>-8.25</v>
      </c>
      <c r="S16" s="62">
        <v>-443.34</v>
      </c>
      <c r="T16" s="62">
        <v>-1955.03</v>
      </c>
      <c r="U16" s="62">
        <v>-830.27</v>
      </c>
      <c r="V16" s="66">
        <v>-674.70</v>
      </c>
      <c r="W16" s="66">
        <v>2292.38</v>
      </c>
      <c r="X16" s="182">
        <v>-19086.05</v>
      </c>
      <c r="Y16" s="189">
        <v>-1270.97</v>
      </c>
      <c r="Z16" s="66">
        <v>-1686.79</v>
      </c>
      <c r="AA16" s="66">
        <v>2324.27</v>
      </c>
      <c r="AB16" s="66">
        <v>-5105.77</v>
      </c>
      <c r="AC16" s="182">
        <v>-1977.40</v>
      </c>
      <c r="AD16" s="189">
        <f t="shared" ref="AD16:BA16" si="4">AD11-AD13</f>
        <v>356.96</v>
      </c>
      <c r="AE16" s="66">
        <f t="shared" si="4"/>
        <v>-2059.80</v>
      </c>
      <c r="AF16" s="274">
        <f t="shared" si="4"/>
        <v>489.70</v>
      </c>
      <c r="AG16" s="298">
        <f t="shared" si="4"/>
        <v>-1382.02</v>
      </c>
      <c r="AH16" s="314">
        <f t="shared" si="4"/>
        <v>1993.65</v>
      </c>
      <c r="AI16" s="320">
        <f t="shared" si="4"/>
        <v>987.59</v>
      </c>
      <c r="AJ16" s="298">
        <f t="shared" si="4"/>
        <v>1799.52</v>
      </c>
      <c r="AK16" s="370">
        <f t="shared" si="4"/>
        <v>4396.97</v>
      </c>
      <c r="AL16" s="381">
        <f t="shared" si="4"/>
        <v>-1246.47</v>
      </c>
      <c r="AM16" s="212">
        <f t="shared" si="4"/>
        <v>-3892.29</v>
      </c>
      <c r="AN16" s="187">
        <f t="shared" si="4"/>
        <v>-7425.69</v>
      </c>
      <c r="AO16" s="343">
        <f t="shared" si="4"/>
        <v>-16274.18</v>
      </c>
      <c r="AP16" s="350">
        <f t="shared" si="4"/>
        <v>-41617.10</v>
      </c>
      <c r="AQ16" s="343">
        <f t="shared" si="4"/>
        <v>0</v>
      </c>
      <c r="AR16" s="188">
        <f t="shared" si="4"/>
        <v>0</v>
      </c>
      <c r="AS16" s="350">
        <f t="shared" si="4"/>
        <v>0</v>
      </c>
      <c r="AT16" s="343">
        <f t="shared" si="4"/>
        <v>0</v>
      </c>
      <c r="AU16" s="188">
        <f t="shared" si="4"/>
        <v>0</v>
      </c>
      <c r="AV16" s="350">
        <f t="shared" si="4"/>
        <v>0</v>
      </c>
      <c r="AW16" s="343">
        <f t="shared" si="4"/>
        <v>0</v>
      </c>
      <c r="AX16" s="188">
        <f t="shared" si="4"/>
        <v>0</v>
      </c>
      <c r="AY16" s="358">
        <f t="shared" si="4"/>
        <v>0</v>
      </c>
      <c r="AZ16" s="343">
        <f t="shared" si="4"/>
        <v>0</v>
      </c>
      <c r="BA16" s="188">
        <f t="shared" si="4"/>
        <v>0</v>
      </c>
    </row>
    <row r="17" spans="1:53">
      <c r="B17" s="525" t="s">
        <v>20</v>
      </c>
      <c r="C17" s="528" t="s">
        <v>14</v>
      </c>
      <c r="D17" s="528">
        <v>8874098591</v>
      </c>
      <c r="E17" s="531" t="s">
        <v>38</v>
      </c>
      <c r="F17" s="531" t="s">
        <v>25</v>
      </c>
      <c r="G17" s="50" t="s">
        <v>32</v>
      </c>
      <c r="H17" s="51">
        <f>IFERROR(SUM(I17:AO17),0)</f>
        <v>1817547.20</v>
      </c>
      <c r="I17" s="63">
        <v>277570.82</v>
      </c>
      <c r="J17" s="52">
        <v>43076.13</v>
      </c>
      <c r="K17" s="52">
        <v>33814.60</v>
      </c>
      <c r="L17" s="52">
        <v>24050.21</v>
      </c>
      <c r="M17" s="52">
        <v>25733.86</v>
      </c>
      <c r="N17" s="52">
        <v>27248.97</v>
      </c>
      <c r="O17" s="52">
        <v>9652.35</v>
      </c>
      <c r="P17" s="52">
        <v>9652.35</v>
      </c>
      <c r="Q17" s="52">
        <v>0</v>
      </c>
      <c r="R17" s="52">
        <v>15533.80</v>
      </c>
      <c r="S17" s="52">
        <v>56999.95</v>
      </c>
      <c r="T17" s="52">
        <v>39046.88</v>
      </c>
      <c r="U17" s="52">
        <v>23513.13</v>
      </c>
      <c r="V17" s="63">
        <v>32762.06</v>
      </c>
      <c r="W17" s="63">
        <v>36485.89</v>
      </c>
      <c r="X17" s="178">
        <v>36485.88</v>
      </c>
      <c r="Y17" s="183"/>
      <c r="Z17" s="63">
        <v>13253.29</v>
      </c>
      <c r="AA17" s="178">
        <v>10580.63</v>
      </c>
      <c r="AB17" s="183">
        <v>37221.13</v>
      </c>
      <c r="AC17" s="231">
        <v>63398.30</v>
      </c>
      <c r="AD17" s="219">
        <v>133426.98000000001</v>
      </c>
      <c r="AE17" s="63">
        <v>130382.41</v>
      </c>
      <c r="AF17" s="271">
        <v>90746.44</v>
      </c>
      <c r="AG17" s="294">
        <v>50871.94</v>
      </c>
      <c r="AH17" s="312">
        <v>92339.78</v>
      </c>
      <c r="AI17" s="321">
        <v>103898.21</v>
      </c>
      <c r="AJ17" s="337">
        <v>101814.97</v>
      </c>
      <c r="AK17" s="371">
        <v>84487.68</v>
      </c>
      <c r="AL17" s="382">
        <v>81287.994999999995</v>
      </c>
      <c r="AM17" s="315">
        <f>69852.795+58931.9</f>
        <v>104792.11</v>
      </c>
      <c r="AN17" s="323">
        <v>56839.22</v>
      </c>
      <c r="AO17" s="344">
        <v>10580.63</v>
      </c>
      <c r="AP17" s="351">
        <v>10581.45</v>
      </c>
      <c r="AQ17" s="344">
        <v>10582.26</v>
      </c>
      <c r="AR17" s="324">
        <v>10583.08</v>
      </c>
      <c r="AS17" s="351">
        <v>10583.89</v>
      </c>
      <c r="AT17" s="344">
        <v>10584.70</v>
      </c>
      <c r="AU17" s="324">
        <v>10585.52</v>
      </c>
      <c r="AV17" s="351">
        <v>10586.33</v>
      </c>
      <c r="AW17" s="344">
        <v>10587.14</v>
      </c>
      <c r="AX17" s="324">
        <v>10587.96</v>
      </c>
      <c r="AY17" s="359">
        <v>10588.77</v>
      </c>
      <c r="AZ17" s="344">
        <v>10589.59</v>
      </c>
      <c r="BA17" s="324">
        <v>10590.40</v>
      </c>
    </row>
    <row r="18" spans="1:53">
      <c r="B18" s="526"/>
      <c r="C18" s="529"/>
      <c r="D18" s="529"/>
      <c r="E18" s="532"/>
      <c r="F18" s="532"/>
      <c r="G18" s="45" t="s">
        <v>33</v>
      </c>
      <c r="H18" s="55">
        <f>IFERROR(SUM(I18:AO18),0)</f>
        <v>1129820.44</v>
      </c>
      <c r="I18" s="64">
        <v>171481.08</v>
      </c>
      <c r="J18" s="53">
        <v>35722.43</v>
      </c>
      <c r="K18" s="53">
        <v>23777.49</v>
      </c>
      <c r="L18" s="53">
        <v>14795.57</v>
      </c>
      <c r="M18" s="53">
        <v>18425.82</v>
      </c>
      <c r="N18" s="53">
        <v>4653.83</v>
      </c>
      <c r="O18" s="53">
        <v>6632.24</v>
      </c>
      <c r="P18" s="53">
        <v>6976.44</v>
      </c>
      <c r="Q18" s="53">
        <v>0</v>
      </c>
      <c r="R18" s="53">
        <v>9813.42</v>
      </c>
      <c r="S18" s="53">
        <v>32931.48</v>
      </c>
      <c r="T18" s="53">
        <v>26173.26</v>
      </c>
      <c r="U18" s="53">
        <v>15935.18</v>
      </c>
      <c r="V18" s="64">
        <v>13352.38</v>
      </c>
      <c r="W18" s="64">
        <v>22810.79</v>
      </c>
      <c r="X18" s="179">
        <v>29161.96</v>
      </c>
      <c r="Y18" s="184">
        <v>0</v>
      </c>
      <c r="Z18" s="64">
        <v>11680.35</v>
      </c>
      <c r="AA18" s="179">
        <v>4918.12</v>
      </c>
      <c r="AB18" s="184">
        <v>56171.51</v>
      </c>
      <c r="AC18" s="179">
        <v>33773.90</v>
      </c>
      <c r="AD18" s="184">
        <f>'FCST 8874098591 35%'!H51</f>
        <v>58648.25</v>
      </c>
      <c r="AE18" s="64">
        <f>'FCST 8874098591 35%'!I51</f>
        <v>61691.76</v>
      </c>
      <c r="AF18" s="272">
        <f>'FCST 8874098591 35%'!J51</f>
        <v>52279.54</v>
      </c>
      <c r="AG18" s="299">
        <f>'FCST 8874098591 35%'!K51</f>
        <v>28285.21</v>
      </c>
      <c r="AH18" s="304">
        <f>'FCST 8874098591 35%'!L51</f>
        <v>52996.92</v>
      </c>
      <c r="AI18" s="318">
        <f>'FCST 8874098591 35%'!M51</f>
        <v>56052.94</v>
      </c>
      <c r="AJ18" s="296">
        <v>86869.67</v>
      </c>
      <c r="AK18" s="304">
        <f>'FCST 8874098591 35%'!O51</f>
        <v>49715.31</v>
      </c>
      <c r="AL18" s="295">
        <f>'FCST 8874098591 35%'!P51</f>
        <v>32222.43</v>
      </c>
      <c r="AM18" s="348">
        <f>'FCST 8874098591 35%'!Q51</f>
        <v>68722.47</v>
      </c>
      <c r="AN18" s="341">
        <v>36377.10</v>
      </c>
      <c r="AO18" s="341">
        <v>6771.61</v>
      </c>
      <c r="AP18" s="348">
        <f>'FCST 8874098591 35%'!T51</f>
        <v>0</v>
      </c>
      <c r="AQ18" s="341">
        <f>'FCST 8874098591 35%'!U51</f>
        <v>0</v>
      </c>
      <c r="AR18" s="57">
        <f>'FCST 8874098591 35%'!V51</f>
        <v>0</v>
      </c>
      <c r="AS18" s="348">
        <f>'FCST 8874098591 35%'!W51</f>
        <v>0</v>
      </c>
      <c r="AT18" s="341">
        <f>'FCST 8874098591 35%'!X51</f>
        <v>0</v>
      </c>
      <c r="AU18" s="57">
        <f>'FCST 8874098591 35%'!Y51</f>
        <v>0</v>
      </c>
      <c r="AV18" s="348">
        <f>'FCST 8874098591 35%'!Z51</f>
        <v>0</v>
      </c>
      <c r="AW18" s="341">
        <f>'FCST 8874098591 35%'!AA51</f>
        <v>0</v>
      </c>
      <c r="AX18" s="57">
        <f>'FCST 8874098591 35%'!AB51</f>
        <v>0</v>
      </c>
      <c r="AY18" s="316">
        <f>'FCST 8874098591 35%'!AC51</f>
        <v>0</v>
      </c>
      <c r="AZ18" s="341">
        <f>'FCST 8874098591 35%'!AD51</f>
        <v>0</v>
      </c>
      <c r="BA18" s="57">
        <f>'FCST 8874098591 35%'!AE51</f>
        <v>0</v>
      </c>
    </row>
    <row r="19" spans="1:53">
      <c r="B19" s="526"/>
      <c r="C19" s="529"/>
      <c r="D19" s="529"/>
      <c r="E19" s="532"/>
      <c r="F19" s="532"/>
      <c r="G19" s="45" t="s">
        <v>31</v>
      </c>
      <c r="H19" s="55">
        <f>IFERROR(SUM(I19:AO19),0)</f>
        <v>1809410.21</v>
      </c>
      <c r="I19" s="64">
        <v>277570.82</v>
      </c>
      <c r="J19" s="53">
        <v>43076.13</v>
      </c>
      <c r="K19" s="53">
        <v>33814.60</v>
      </c>
      <c r="L19" s="53">
        <v>24050.21</v>
      </c>
      <c r="M19" s="53">
        <v>17596.85</v>
      </c>
      <c r="N19" s="53">
        <v>27248.96</v>
      </c>
      <c r="O19" s="53">
        <v>9652.11</v>
      </c>
      <c r="P19" s="53">
        <v>9652.35</v>
      </c>
      <c r="Q19" s="53">
        <v>0</v>
      </c>
      <c r="R19" s="53">
        <v>15533.80</v>
      </c>
      <c r="S19" s="53">
        <v>57000.23</v>
      </c>
      <c r="T19" s="53">
        <v>39046.88</v>
      </c>
      <c r="U19" s="53">
        <v>23513.13</v>
      </c>
      <c r="V19" s="64">
        <v>32762.06</v>
      </c>
      <c r="W19" s="64">
        <v>36485.89</v>
      </c>
      <c r="X19" s="180">
        <v>36485.88</v>
      </c>
      <c r="Y19" s="184"/>
      <c r="Z19" s="200">
        <v>13253.29</v>
      </c>
      <c r="AA19" s="179">
        <v>10580.63</v>
      </c>
      <c r="AB19" s="184">
        <v>37221.13</v>
      </c>
      <c r="AC19" s="179">
        <v>63398.30</v>
      </c>
      <c r="AD19" s="184">
        <v>108569.53</v>
      </c>
      <c r="AE19" s="64">
        <v>130382.41</v>
      </c>
      <c r="AF19" s="272">
        <v>90746.44</v>
      </c>
      <c r="AG19" s="296">
        <v>50871.94</v>
      </c>
      <c r="AH19" s="304">
        <v>92339.78</v>
      </c>
      <c r="AI19" s="321">
        <v>103898.21</v>
      </c>
      <c r="AJ19" s="296">
        <v>101814.97</v>
      </c>
      <c r="AK19" s="372">
        <v>84487.68</v>
      </c>
      <c r="AL19" s="382">
        <v>81287.994999999995</v>
      </c>
      <c r="AM19" s="210">
        <v>104792.11</v>
      </c>
      <c r="AN19" s="56">
        <v>56839.22</v>
      </c>
      <c r="AO19" s="341">
        <v>10580.63</v>
      </c>
      <c r="AP19" s="348"/>
      <c r="AQ19" s="341"/>
      <c r="AR19" s="57"/>
      <c r="AS19" s="348"/>
      <c r="AT19" s="341"/>
      <c r="AU19" s="57"/>
      <c r="AV19" s="348"/>
      <c r="AW19" s="341"/>
      <c r="AX19" s="57"/>
      <c r="AY19" s="316"/>
      <c r="AZ19" s="341"/>
      <c r="BA19" s="57"/>
    </row>
    <row r="20" spans="1:53">
      <c r="B20" s="526"/>
      <c r="C20" s="529"/>
      <c r="D20" s="529"/>
      <c r="E20" s="532"/>
      <c r="F20" s="532"/>
      <c r="G20" s="45" t="s">
        <v>36</v>
      </c>
      <c r="H20" s="55">
        <f>IFERROR(SUM(I20:AO20),0)</f>
        <v>1191645.99</v>
      </c>
      <c r="I20" s="64">
        <v>171481.08</v>
      </c>
      <c r="J20" s="53">
        <v>41393.21</v>
      </c>
      <c r="K20" s="53">
        <v>26404.54</v>
      </c>
      <c r="L20" s="53">
        <v>17511.96</v>
      </c>
      <c r="M20" s="53">
        <v>22670.18</v>
      </c>
      <c r="N20" s="53">
        <v>4653.83</v>
      </c>
      <c r="O20" s="53">
        <v>7328.98</v>
      </c>
      <c r="P20" s="53">
        <v>7458.50</v>
      </c>
      <c r="Q20" s="53">
        <v>977.20</v>
      </c>
      <c r="R20" s="53">
        <v>9607.50</v>
      </c>
      <c r="S20" s="53">
        <v>30557.15</v>
      </c>
      <c r="T20" s="53">
        <v>26173.26</v>
      </c>
      <c r="U20" s="53">
        <v>19650.38</v>
      </c>
      <c r="V20" s="64">
        <v>12656.88</v>
      </c>
      <c r="W20" s="64">
        <v>22529.93</v>
      </c>
      <c r="X20" s="165">
        <v>27643.56</v>
      </c>
      <c r="Y20" s="184">
        <v>204.56</v>
      </c>
      <c r="Z20" s="64">
        <v>11915.80</v>
      </c>
      <c r="AA20" s="179">
        <v>9506.61</v>
      </c>
      <c r="AB20" s="184">
        <v>54685.67</v>
      </c>
      <c r="AC20" s="179">
        <v>33473.79</v>
      </c>
      <c r="AD20" s="184">
        <v>73496.47</v>
      </c>
      <c r="AE20" s="64">
        <v>65135.02</v>
      </c>
      <c r="AF20" s="272">
        <v>56905.73</v>
      </c>
      <c r="AG20" s="299">
        <v>40587.25</v>
      </c>
      <c r="AH20" s="304">
        <v>56545.37</v>
      </c>
      <c r="AI20" s="318">
        <v>53832.37</v>
      </c>
      <c r="AJ20" s="299">
        <v>76133.22</v>
      </c>
      <c r="AK20" s="304">
        <v>53888.63</v>
      </c>
      <c r="AL20" s="295">
        <v>34918.23</v>
      </c>
      <c r="AM20" s="348">
        <v>78116.00</v>
      </c>
      <c r="AN20" s="341">
        <v>34995.69</v>
      </c>
      <c r="AO20" s="341">
        <v>8607.45</v>
      </c>
      <c r="AP20" s="348">
        <f>'FCST 8874098591 35%'!T41</f>
        <v>0</v>
      </c>
      <c r="AQ20" s="341">
        <f>'FCST 8874098591 35%'!U41</f>
        <v>0</v>
      </c>
      <c r="AR20" s="57">
        <f>'FCST 8874098591 35%'!V41</f>
        <v>0</v>
      </c>
      <c r="AS20" s="348">
        <f>'FCST 8874098591 35%'!W41</f>
        <v>0</v>
      </c>
      <c r="AT20" s="341">
        <f>'FCST 8874098591 35%'!X41</f>
        <v>0</v>
      </c>
      <c r="AU20" s="57">
        <f>'FCST 8874098591 35%'!Y41</f>
        <v>0</v>
      </c>
      <c r="AV20" s="348">
        <f>'FCST 8874098591 35%'!Z41</f>
        <v>0</v>
      </c>
      <c r="AW20" s="341">
        <f>'FCST 8874098591 35%'!AA41</f>
        <v>0</v>
      </c>
      <c r="AX20" s="57">
        <f>'FCST 8874098591 35%'!AB41</f>
        <v>0</v>
      </c>
      <c r="AY20" s="316">
        <f>'FCST 8874098591 35%'!AC41</f>
        <v>0</v>
      </c>
      <c r="AZ20" s="341">
        <f>'FCST 8874098591 35%'!AD41</f>
        <v>0</v>
      </c>
      <c r="BA20" s="57">
        <f>'FCST 8874098591 35%'!AE41</f>
        <v>0</v>
      </c>
    </row>
    <row r="21" spans="1:53">
      <c r="B21" s="526"/>
      <c r="C21" s="529"/>
      <c r="D21" s="529"/>
      <c r="E21" s="532"/>
      <c r="F21" s="532"/>
      <c r="G21" s="45" t="s">
        <v>34</v>
      </c>
      <c r="H21" s="58">
        <f>(H17-H18)/H17</f>
        <v>0.37838178832414832</v>
      </c>
      <c r="I21" s="65">
        <v>0.38220781016611044</v>
      </c>
      <c r="J21" s="59">
        <v>0.17071404810743929</v>
      </c>
      <c r="K21" s="59">
        <v>0.29682753084408509</v>
      </c>
      <c r="L21" s="59">
        <v>0.38480481516818571</v>
      </c>
      <c r="M21" s="59">
        <v>0.28398534990338559</v>
      </c>
      <c r="N21" s="59">
        <v>0.82921087813357308</v>
      </c>
      <c r="O21" s="59">
        <v>0.31288873152761265</v>
      </c>
      <c r="P21" s="59">
        <v>0.27722893303063756</v>
      </c>
      <c r="Q21" s="59">
        <v>0</v>
      </c>
      <c r="R21" s="59">
        <v>0.36825397989453307</v>
      </c>
      <c r="S21" s="59">
        <v>0.42225427060800425</v>
      </c>
      <c r="T21" s="59">
        <v>0.32969636245952533</v>
      </c>
      <c r="U21" s="59">
        <v>0.3222859745243033</v>
      </c>
      <c r="V21" s="65">
        <v>0.5924436710861839</v>
      </c>
      <c r="W21" s="65">
        <v>0.37480531112195964</v>
      </c>
      <c r="X21" s="181">
        <v>0.20073301474504168</v>
      </c>
      <c r="Y21" s="185">
        <v>0</v>
      </c>
      <c r="Z21" s="65">
        <v>0.11868312817839723</v>
      </c>
      <c r="AA21" s="181">
        <v>0.53517753246049116</v>
      </c>
      <c r="AB21" s="185">
        <v>-0.50912962534644601</v>
      </c>
      <c r="AC21" s="181">
        <v>0.46727445949430391</v>
      </c>
      <c r="AD21" s="185">
        <f t="shared" ref="AD21:BA21" si="5">IFERROR((AD17-AD18)/AD17,0)</f>
        <v>0.45980935789748067</v>
      </c>
      <c r="AE21" s="65">
        <f t="shared" si="5"/>
        <v>0.52683987001261467</v>
      </c>
      <c r="AF21" s="273">
        <f t="shared" si="5"/>
        <v>0.4238943064950958</v>
      </c>
      <c r="AG21" s="297">
        <f t="shared" si="5"/>
        <v>0.44399191737332855</v>
      </c>
      <c r="AH21" s="313">
        <f t="shared" si="5"/>
        <v>0.42606617586260359</v>
      </c>
      <c r="AI21" s="319">
        <f t="shared" si="5"/>
        <v>0.4605014099743201</v>
      </c>
      <c r="AJ21" s="297">
        <f t="shared" si="5"/>
        <v>0.14678885041668513</v>
      </c>
      <c r="AK21" s="369">
        <f t="shared" si="5"/>
        <v>0.41156737766006135</v>
      </c>
      <c r="AL21" s="380">
        <f t="shared" si="5"/>
        <v>0.51284454734060048</v>
      </c>
      <c r="AM21" s="211">
        <f t="shared" si="5"/>
        <v>0.34420186342794845</v>
      </c>
      <c r="AN21" s="60">
        <f t="shared" si="5"/>
        <v>0.35999999999999993</v>
      </c>
      <c r="AO21" s="342">
        <f t="shared" si="5"/>
        <v>0.36</v>
      </c>
      <c r="AP21" s="349">
        <f t="shared" si="5"/>
        <v>1</v>
      </c>
      <c r="AQ21" s="342">
        <f t="shared" si="5"/>
        <v>1</v>
      </c>
      <c r="AR21" s="61">
        <f t="shared" si="5"/>
        <v>1</v>
      </c>
      <c r="AS21" s="349">
        <f t="shared" si="5"/>
        <v>1</v>
      </c>
      <c r="AT21" s="342">
        <f t="shared" si="5"/>
        <v>1</v>
      </c>
      <c r="AU21" s="61">
        <f t="shared" si="5"/>
        <v>1</v>
      </c>
      <c r="AV21" s="349">
        <f t="shared" si="5"/>
        <v>1</v>
      </c>
      <c r="AW21" s="342">
        <f t="shared" si="5"/>
        <v>1</v>
      </c>
      <c r="AX21" s="61">
        <f t="shared" si="5"/>
        <v>1</v>
      </c>
      <c r="AY21" s="357">
        <f t="shared" si="5"/>
        <v>1</v>
      </c>
      <c r="AZ21" s="342">
        <f t="shared" si="5"/>
        <v>1</v>
      </c>
      <c r="BA21" s="61">
        <f t="shared" si="5"/>
        <v>1</v>
      </c>
    </row>
    <row r="22" spans="1:53">
      <c r="B22" s="526"/>
      <c r="C22" s="529"/>
      <c r="D22" s="529"/>
      <c r="E22" s="532"/>
      <c r="F22" s="532"/>
      <c r="G22" s="45" t="s">
        <v>35</v>
      </c>
      <c r="H22" s="58">
        <f>(H19-H20)/H19</f>
        <v>0.3414174494925859</v>
      </c>
      <c r="I22" s="65">
        <v>0.38220781016611044</v>
      </c>
      <c r="J22" s="59">
        <v>3.906847537873593E-2</v>
      </c>
      <c r="K22" s="59">
        <v>0.21913780702410848</v>
      </c>
      <c r="L22" s="59">
        <v>0.27185840049261417</v>
      </c>
      <c r="M22" s="59">
        <v>-0.28830901352648602</v>
      </c>
      <c r="N22" s="59">
        <v>0.82921082713305061</v>
      </c>
      <c r="O22" s="59">
        <v>0.24068622512766732</v>
      </c>
      <c r="P22" s="59">
        <v>0.22728579388971276</v>
      </c>
      <c r="Q22" s="59">
        <v>0</v>
      </c>
      <c r="R22" s="59">
        <v>0.381509905800476</v>
      </c>
      <c r="S22" s="59">
        <v>0.46391176583602123</v>
      </c>
      <c r="T22" s="59">
        <v>0.32969636245952533</v>
      </c>
      <c r="U22" s="59">
        <v>0.16428045414402279</v>
      </c>
      <c r="V22" s="65">
        <v>0.6136725291936258</v>
      </c>
      <c r="W22" s="65">
        <v>0.38250301241160412</v>
      </c>
      <c r="X22" s="181">
        <v>0.24234915302318413</v>
      </c>
      <c r="Y22" s="185">
        <v>0</v>
      </c>
      <c r="Z22" s="65">
        <v>0.10091793249994328</v>
      </c>
      <c r="AA22" s="181">
        <v>0.101508369340731</v>
      </c>
      <c r="AB22" s="185">
        <v>-0.46921041137169217</v>
      </c>
      <c r="AC22" s="181">
        <v>0.47200816391385281</v>
      </c>
      <c r="AD22" s="185">
        <f t="shared" ref="AD22:BA22" si="6">IFERROR((AD19-AD20)/AD19,0)</f>
        <v>0.32304703291643122</v>
      </c>
      <c r="AE22" s="65">
        <f t="shared" si="6"/>
        <v>0.50043096343903526</v>
      </c>
      <c r="AF22" s="273">
        <f t="shared" si="6"/>
        <v>0.37291507544348163</v>
      </c>
      <c r="AG22" s="297">
        <f t="shared" si="6"/>
        <v>0.20216819515515849</v>
      </c>
      <c r="AH22" s="313">
        <f t="shared" si="6"/>
        <v>0.38763800468018317</v>
      </c>
      <c r="AI22" s="319">
        <f t="shared" si="6"/>
        <v>0.48187395814677308</v>
      </c>
      <c r="AJ22" s="297">
        <f t="shared" si="6"/>
        <v>0.25223941389500704</v>
      </c>
      <c r="AK22" s="369">
        <f t="shared" si="6"/>
        <v>0.36217179211103451</v>
      </c>
      <c r="AL22" s="380">
        <f t="shared" si="6"/>
        <v>0.47208809861776019</v>
      </c>
      <c r="AM22" s="211">
        <f t="shared" si="6"/>
        <v>0.25456212789881594</v>
      </c>
      <c r="AN22" s="60">
        <f t="shared" si="6"/>
        <v>0.38430382349052744</v>
      </c>
      <c r="AO22" s="342">
        <f t="shared" si="6"/>
        <v>0.18649003719493368</v>
      </c>
      <c r="AP22" s="349">
        <f t="shared" si="6"/>
        <v>0</v>
      </c>
      <c r="AQ22" s="342">
        <f t="shared" si="6"/>
        <v>0</v>
      </c>
      <c r="AR22" s="61">
        <f t="shared" si="6"/>
        <v>0</v>
      </c>
      <c r="AS22" s="349">
        <f t="shared" si="6"/>
        <v>0</v>
      </c>
      <c r="AT22" s="342">
        <f t="shared" si="6"/>
        <v>0</v>
      </c>
      <c r="AU22" s="61">
        <f t="shared" si="6"/>
        <v>0</v>
      </c>
      <c r="AV22" s="349">
        <f t="shared" si="6"/>
        <v>0</v>
      </c>
      <c r="AW22" s="342">
        <f t="shared" si="6"/>
        <v>0</v>
      </c>
      <c r="AX22" s="61">
        <f t="shared" si="6"/>
        <v>0</v>
      </c>
      <c r="AY22" s="357">
        <f t="shared" si="6"/>
        <v>0</v>
      </c>
      <c r="AZ22" s="342">
        <f t="shared" si="6"/>
        <v>0</v>
      </c>
      <c r="BA22" s="61">
        <f t="shared" si="6"/>
        <v>0</v>
      </c>
    </row>
    <row r="23" spans="1:53" ht="15" thickBot="1">
      <c r="B23" s="527"/>
      <c r="C23" s="530"/>
      <c r="D23" s="530"/>
      <c r="E23" s="533"/>
      <c r="F23" s="533"/>
      <c r="G23" s="229" t="s">
        <v>37</v>
      </c>
      <c r="H23" s="230">
        <f>H18-H20</f>
        <v>-61825.55</v>
      </c>
      <c r="I23" s="201">
        <v>0</v>
      </c>
      <c r="J23" s="62">
        <v>-5670.78</v>
      </c>
      <c r="K23" s="62">
        <v>-2627.05</v>
      </c>
      <c r="L23" s="62">
        <v>-2716.38</v>
      </c>
      <c r="M23" s="62">
        <v>-4244.36</v>
      </c>
      <c r="N23" s="62">
        <v>0</v>
      </c>
      <c r="O23" s="62">
        <v>-696.74</v>
      </c>
      <c r="P23" s="62">
        <v>-482.07</v>
      </c>
      <c r="Q23" s="62">
        <v>-977.20</v>
      </c>
      <c r="R23" s="62">
        <v>205.91</v>
      </c>
      <c r="S23" s="62">
        <v>2374.33</v>
      </c>
      <c r="T23" s="62">
        <v>0</v>
      </c>
      <c r="U23" s="62">
        <v>-3715.20</v>
      </c>
      <c r="V23" s="66">
        <v>695.50</v>
      </c>
      <c r="W23" s="66">
        <v>280.86</v>
      </c>
      <c r="X23" s="182">
        <v>1518.40</v>
      </c>
      <c r="Y23" s="186">
        <v>-204.56</v>
      </c>
      <c r="Z23" s="201">
        <v>-235.45</v>
      </c>
      <c r="AA23" s="213">
        <v>-4588.49</v>
      </c>
      <c r="AB23" s="186">
        <v>1485.84</v>
      </c>
      <c r="AC23" s="213">
        <v>300.11</v>
      </c>
      <c r="AD23" s="186">
        <f t="shared" ref="AD23:BA23" si="7">AD18-AD20</f>
        <v>-14848.22</v>
      </c>
      <c r="AE23" s="201">
        <f t="shared" si="7"/>
        <v>-3443.26</v>
      </c>
      <c r="AF23" s="275">
        <f t="shared" si="7"/>
        <v>-4626.18</v>
      </c>
      <c r="AG23" s="298">
        <f t="shared" si="7"/>
        <v>-12302.04</v>
      </c>
      <c r="AH23" s="314">
        <f t="shared" si="7"/>
        <v>-3548.45</v>
      </c>
      <c r="AI23" s="320">
        <f t="shared" si="7"/>
        <v>2220.57</v>
      </c>
      <c r="AJ23" s="298">
        <f t="shared" si="7"/>
        <v>10736.45</v>
      </c>
      <c r="AK23" s="370">
        <f t="shared" si="7"/>
        <v>-4173.32</v>
      </c>
      <c r="AL23" s="381">
        <f t="shared" si="7"/>
        <v>-2695.80</v>
      </c>
      <c r="AM23" s="212">
        <f t="shared" si="7"/>
        <v>-9393.54</v>
      </c>
      <c r="AN23" s="187">
        <f t="shared" si="7"/>
        <v>1381.41</v>
      </c>
      <c r="AO23" s="343">
        <f t="shared" si="7"/>
        <v>-1835.85</v>
      </c>
      <c r="AP23" s="350">
        <f t="shared" si="7"/>
        <v>0</v>
      </c>
      <c r="AQ23" s="343">
        <f t="shared" si="7"/>
        <v>0</v>
      </c>
      <c r="AR23" s="188">
        <f t="shared" si="7"/>
        <v>0</v>
      </c>
      <c r="AS23" s="350">
        <f t="shared" si="7"/>
        <v>0</v>
      </c>
      <c r="AT23" s="343">
        <f t="shared" si="7"/>
        <v>0</v>
      </c>
      <c r="AU23" s="188">
        <f t="shared" si="7"/>
        <v>0</v>
      </c>
      <c r="AV23" s="350">
        <f t="shared" si="7"/>
        <v>0</v>
      </c>
      <c r="AW23" s="343">
        <f t="shared" si="7"/>
        <v>0</v>
      </c>
      <c r="AX23" s="188">
        <f t="shared" si="7"/>
        <v>0</v>
      </c>
      <c r="AY23" s="358">
        <f t="shared" si="7"/>
        <v>0</v>
      </c>
      <c r="AZ23" s="343">
        <f t="shared" si="7"/>
        <v>0</v>
      </c>
      <c r="BA23" s="188">
        <f t="shared" si="7"/>
        <v>0</v>
      </c>
    </row>
    <row r="24" spans="1:53" ht="29.5" thickBot="1">
      <c r="A24" s="67"/>
      <c r="B24" s="38" t="s">
        <v>20</v>
      </c>
      <c r="C24" s="36"/>
      <c r="D24" s="36"/>
      <c r="E24" s="35" t="s">
        <v>73</v>
      </c>
      <c r="F24" s="191" t="s">
        <v>72</v>
      </c>
      <c r="G24" s="68" t="s">
        <v>33</v>
      </c>
      <c r="H24" s="69">
        <f>IFERROR(SUM(I24:AO24),0)</f>
        <v>17087.70</v>
      </c>
      <c r="I24" s="70"/>
      <c r="J24" s="71"/>
      <c r="K24" s="71"/>
      <c r="L24" s="71"/>
      <c r="M24" s="71"/>
      <c r="N24" s="71"/>
      <c r="O24" s="71"/>
      <c r="P24" s="71"/>
      <c r="Q24" s="71"/>
      <c r="R24" s="71"/>
      <c r="S24" s="72"/>
      <c r="T24" s="136"/>
      <c r="U24" s="141"/>
      <c r="V24" s="150"/>
      <c r="W24" s="166"/>
      <c r="X24" s="150"/>
      <c r="Y24" s="190"/>
      <c r="Z24" s="70"/>
      <c r="AA24" s="70"/>
      <c r="AB24" s="70"/>
      <c r="AC24" s="215"/>
      <c r="AD24" s="244"/>
      <c r="AE24" s="247">
        <v>1553.43</v>
      </c>
      <c r="AF24" s="276">
        <v>1553.43</v>
      </c>
      <c r="AG24" s="300">
        <v>1553.43</v>
      </c>
      <c r="AH24" s="305">
        <v>1553.43</v>
      </c>
      <c r="AI24" s="322">
        <v>1553.43</v>
      </c>
      <c r="AJ24" s="338">
        <v>1553.43</v>
      </c>
      <c r="AK24" s="305">
        <v>1553.43</v>
      </c>
      <c r="AL24" s="383">
        <v>1553.43</v>
      </c>
      <c r="AM24" s="399">
        <v>1553.43</v>
      </c>
      <c r="AN24" s="400">
        <v>1553.43</v>
      </c>
      <c r="AO24" s="400">
        <v>1553.43</v>
      </c>
      <c r="AP24" s="352"/>
      <c r="AQ24" s="353"/>
      <c r="AR24" s="354"/>
      <c r="AS24" s="352"/>
      <c r="AT24" s="353"/>
      <c r="AU24" s="354"/>
      <c r="AV24" s="352"/>
      <c r="AW24" s="353"/>
      <c r="AX24" s="354"/>
      <c r="AY24" s="360"/>
      <c r="AZ24" s="353"/>
      <c r="BA24" s="354"/>
    </row>
    <row r="25" spans="1:53">
      <c r="N25" s="39"/>
      <c r="O25" s="9" t="s">
        <v>123</v>
      </c>
    </row>
    <row r="26" spans="1:53">
      <c r="N26" s="39"/>
      <c r="AJ26" s="126"/>
      <c r="AM26" s="403"/>
    </row>
    <row r="27" spans="1:53">
      <c r="C27" s="130"/>
      <c r="D27" s="130"/>
      <c r="E27" s="130"/>
      <c r="F27" s="130"/>
      <c r="G27" s="130"/>
      <c r="H27" s="126">
        <f>H12-H13</f>
        <v>424800.10</v>
      </c>
      <c r="AJ27" s="126"/>
    </row>
    <row r="28" spans="1:53">
      <c r="C28" s="404"/>
      <c r="E28" s="404"/>
      <c r="G28" s="405"/>
      <c r="H28" s="405">
        <f>H19-H20</f>
        <v>617764.22</v>
      </c>
      <c r="R28" s="9">
        <v>138036.40</v>
      </c>
    </row>
    <row r="29" spans="1:53">
      <c r="C29" s="143"/>
      <c r="G29" s="405"/>
      <c r="H29" s="405">
        <f>SUM(H27:H28)</f>
        <v>1042564.32</v>
      </c>
      <c r="J29" s="126"/>
      <c r="R29" s="126">
        <v>184968.78</v>
      </c>
      <c r="W29" s="192"/>
      <c r="X29" s="39"/>
      <c r="Y29" s="192"/>
      <c r="Z29" s="39"/>
    </row>
    <row r="30" spans="1:53">
      <c r="V30" s="128"/>
      <c r="W30" s="192"/>
      <c r="X30" s="39"/>
      <c r="Y30" s="192"/>
      <c r="Z30" s="39"/>
    </row>
    <row r="31" spans="1:53">
      <c r="V31" s="128"/>
      <c r="AB31" s="395"/>
      <c r="AC31"/>
      <c r="AD31" s="395"/>
    </row>
    <row r="32" spans="1:53">
      <c r="F32" s="130"/>
      <c r="O32" s="192" t="e">
        <v>#REF!</v>
      </c>
      <c r="P32" s="9">
        <v>16718</v>
      </c>
    </row>
    <row r="33" spans="1:16">
      <c r="O33" s="39" t="e">
        <v>#REF!</v>
      </c>
      <c r="P33" s="126">
        <v>22402.50</v>
      </c>
    </row>
    <row r="34" spans="1:16">
      <c r="A34" s="126"/>
      <c r="P34" s="9">
        <v>27259</v>
      </c>
    </row>
    <row r="35" spans="1:16">
      <c r="A35" s="126"/>
    </row>
    <row r="37" spans="1:16">
      <c r="A37" s="152"/>
    </row>
    <row r="38" spans="1:16">
      <c r="A38" s="152"/>
    </row>
    <row r="39" spans="1:16">
      <c r="A39" s="152"/>
      <c r="E39" s="406"/>
    </row>
    <row r="40" spans="1:16">
      <c r="A40" s="152"/>
    </row>
    <row r="41" spans="1:16">
      <c r="A41" s="152"/>
    </row>
    <row r="42" spans="1:16">
      <c r="A42" s="152"/>
    </row>
    <row r="43" spans="1:16">
      <c r="A43" s="152"/>
    </row>
    <row r="44" spans="1:16">
      <c r="A44" s="152"/>
    </row>
    <row r="45" spans="1:16">
      <c r="A45" s="152"/>
    </row>
    <row r="46" spans="1:16">
      <c r="A46" s="152"/>
    </row>
    <row r="47" spans="1:16">
      <c r="A47" s="152"/>
    </row>
    <row r="48" spans="1:16">
      <c r="A48" s="152"/>
    </row>
    <row r="49" spans="1:1">
      <c r="A49" s="152"/>
    </row>
  </sheetData>
  <autoFilter ref="A9:W25" xr:uid="{00000000-0001-0000-0100-000000000000}"/>
  <mergeCells count="26">
    <mergeCell ref="I2:K2"/>
    <mergeCell ref="L2:N2"/>
    <mergeCell ref="O2:Q2"/>
    <mergeCell ref="R2:T2"/>
    <mergeCell ref="U2:W2"/>
    <mergeCell ref="AP2:AR2"/>
    <mergeCell ref="AS2:AU2"/>
    <mergeCell ref="AV2:AX2"/>
    <mergeCell ref="AY2:BA2"/>
    <mergeCell ref="B10:B16"/>
    <mergeCell ref="C10:C16"/>
    <mergeCell ref="D10:D16"/>
    <mergeCell ref="E10:E16"/>
    <mergeCell ref="F10:F16"/>
    <mergeCell ref="X2:Z2"/>
    <mergeCell ref="AA2:AC2"/>
    <mergeCell ref="AD2:AF2"/>
    <mergeCell ref="AG2:AI2"/>
    <mergeCell ref="AJ2:AL2"/>
    <mergeCell ref="AM2:AO2"/>
    <mergeCell ref="B2:C2"/>
    <mergeCell ref="B17:B23"/>
    <mergeCell ref="C17:C23"/>
    <mergeCell ref="D17:D23"/>
    <mergeCell ref="E17:E23"/>
    <mergeCell ref="F17:F23"/>
  </mergeCells>
  <conditionalFormatting sqref="I1:W1">
    <cfRule type="cellIs" dxfId="1" priority="1" operator="lessThan">
      <formula>0</formula>
    </cfRule>
    <cfRule type="cellIs" dxfId="0" priority="2" operator="greaterThan">
      <formula>0</formula>
    </cfRule>
  </conditionalFormatting>
  <dataValidations count="1">
    <dataValidation type="list" allowBlank="1" showInputMessage="1" showErrorMessage="1" sqref="B10 B17 B24" xr:uid="{7793E3E7-F18B-4A83-B9AF-8E7CF1F687C6}">
      <formula1>"BNL,Findomestic"</formula1>
    </dataValidation>
  </dataValidations>
  <pageMargins left="0.7" right="0.7" top="0.75" bottom="0.75" header="0.3" footer="0.3"/>
  <pageSetup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75373-3BD7-422A-89FA-03933C424967}">
  <sheetPr codeName="Sheet10"/>
  <dimension ref="A1:I24"/>
  <sheetViews>
    <sheetView workbookViewId="0">
      <selection activeCell="D3" sqref="D3"/>
    </sheetView>
  </sheetViews>
  <sheetFormatPr defaultRowHeight="14.5"/>
  <cols>
    <col min="1" max="1" width="11.453125" bestFit="1" customWidth="1"/>
    <col min="2" max="2" width="17.1796875" customWidth="1"/>
    <col min="3" max="3" width="17.08984375" customWidth="1"/>
    <col min="4" max="4" width="12.7265625" customWidth="1"/>
    <col min="5" max="5" width="6.7265625" customWidth="1"/>
    <col min="6" max="6" width="9.81640625" bestFit="1" customWidth="1"/>
    <col min="7" max="7" width="20.90625" bestFit="1" customWidth="1"/>
    <col min="8" max="8" width="13.453125" customWidth="1"/>
    <col min="9" max="9" width="16.36328125" customWidth="1"/>
    <col min="10" max="10" width="20.90625" bestFit="1" customWidth="1"/>
  </cols>
  <sheetData>
    <row r="1" spans="1:9" ht="15" thickBot="1">
      <c r="C1" s="555" t="s">
        <v>3</v>
      </c>
      <c r="D1" s="556"/>
      <c r="H1" s="546" t="s">
        <v>3</v>
      </c>
      <c r="I1" s="547"/>
    </row>
    <row r="2" spans="1:9">
      <c r="A2" s="552" t="s">
        <v>678</v>
      </c>
      <c r="B2" s="548" t="s">
        <v>21</v>
      </c>
      <c r="C2" s="408" t="s">
        <v>675</v>
      </c>
      <c r="D2" s="409">
        <v>221124.77</v>
      </c>
      <c r="F2" s="552" t="s">
        <v>677</v>
      </c>
      <c r="G2" s="548" t="s">
        <v>21</v>
      </c>
      <c r="H2" s="408" t="s">
        <v>675</v>
      </c>
      <c r="I2" s="409">
        <v>221124.77</v>
      </c>
    </row>
    <row r="3" spans="1:9">
      <c r="A3" s="553"/>
      <c r="B3" s="549"/>
      <c r="C3" s="407" t="s">
        <v>676</v>
      </c>
      <c r="D3" s="410">
        <v>163209.66</v>
      </c>
      <c r="F3" s="553"/>
      <c r="G3" s="549"/>
      <c r="H3" s="407" t="s">
        <v>676</v>
      </c>
      <c r="I3" s="410">
        <v>146121.96</v>
      </c>
    </row>
    <row r="4" spans="1:9">
      <c r="A4" s="553"/>
      <c r="B4" s="549"/>
      <c r="C4" s="407" t="s">
        <v>679</v>
      </c>
      <c r="D4" s="412">
        <v>0.33400000000000002</v>
      </c>
      <c r="F4" s="553"/>
      <c r="G4" s="549"/>
      <c r="H4" s="407" t="s">
        <v>679</v>
      </c>
      <c r="I4" s="412">
        <v>0.34699999999999998</v>
      </c>
    </row>
    <row r="5" spans="1:9">
      <c r="A5" s="553"/>
      <c r="B5" s="550" t="s">
        <v>20</v>
      </c>
      <c r="C5" s="407" t="s">
        <v>675</v>
      </c>
      <c r="D5" s="410">
        <v>172211.96</v>
      </c>
      <c r="F5" s="553"/>
      <c r="G5" s="557" t="s">
        <v>20</v>
      </c>
      <c r="H5" s="407" t="s">
        <v>675</v>
      </c>
      <c r="I5" s="410">
        <v>172211.96</v>
      </c>
    </row>
    <row r="6" spans="1:9">
      <c r="A6" s="553"/>
      <c r="B6" s="550"/>
      <c r="C6" s="407" t="s">
        <v>676</v>
      </c>
      <c r="D6" s="410">
        <v>121719.15</v>
      </c>
      <c r="F6" s="553"/>
      <c r="G6" s="557"/>
      <c r="H6" s="407" t="s">
        <v>676</v>
      </c>
      <c r="I6" s="410">
        <v>117650.65</v>
      </c>
    </row>
    <row r="7" spans="1:9" ht="15" thickBot="1">
      <c r="A7" s="554"/>
      <c r="B7" s="551"/>
      <c r="C7" s="411" t="s">
        <v>679</v>
      </c>
      <c r="D7" s="413">
        <v>0.34100000000000003</v>
      </c>
      <c r="F7" s="554"/>
      <c r="G7" s="558"/>
      <c r="H7" s="411" t="s">
        <v>679</v>
      </c>
      <c r="I7" s="413">
        <v>0.34399999999999997</v>
      </c>
    </row>
    <row r="9" spans="1:9">
      <c r="C9" s="134" t="s">
        <v>680</v>
      </c>
      <c r="D9" s="414">
        <f>D3+D6</f>
        <v>284928.81</v>
      </c>
      <c r="G9" s="134" t="s">
        <v>680</v>
      </c>
      <c r="H9" s="414">
        <f>I3+I6</f>
        <v>263772.61</v>
      </c>
      <c r="I9" s="414"/>
    </row>
    <row r="10" spans="1:9">
      <c r="I10" s="92"/>
    </row>
    <row r="12" spans="1:9">
      <c r="G12" s="134" t="s">
        <v>681</v>
      </c>
      <c r="H12" s="414">
        <f>D9-H9</f>
        <v>21156</v>
      </c>
    </row>
    <row r="16" spans="1:9">
      <c r="C16" s="151"/>
    </row>
    <row r="17" spans="3:3">
      <c r="C17" s="151"/>
    </row>
    <row r="18" spans="3:3">
      <c r="C18" s="85"/>
    </row>
    <row r="19" spans="3:3">
      <c r="C19" s="85"/>
    </row>
    <row r="20" spans="3:3">
      <c r="C20" s="151"/>
    </row>
    <row r="21" spans="3:3">
      <c r="C21" s="151"/>
    </row>
    <row r="22" spans="3:3">
      <c r="C22" s="151"/>
    </row>
    <row r="23" spans="3:3">
      <c r="C23" s="85"/>
    </row>
    <row r="24" spans="3:3">
      <c r="C24" s="85"/>
    </row>
  </sheetData>
  <mergeCells count="8">
    <mergeCell ref="H1:I1"/>
    <mergeCell ref="B2:B4"/>
    <mergeCell ref="B5:B7"/>
    <mergeCell ref="A2:A7"/>
    <mergeCell ref="C1:D1"/>
    <mergeCell ref="F2:F7"/>
    <mergeCell ref="G2:G4"/>
    <mergeCell ref="G5:G7"/>
  </mergeCell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7167b68-7f04-4ee7-b8f2-f50eee9a8356">
      <Terms xmlns="http://schemas.microsoft.com/office/infopath/2007/PartnerControls"/>
    </lcf76f155ced4ddcb4097134ff3c332f>
    <TaxCatchAll xmlns="a6c78cc2-cb57-40ca-90d8-1c1b8b1f6a1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EFA3A4F6C208E47B5D36A88BFD639BD" ma:contentTypeVersion="13" ma:contentTypeDescription="Create a new document." ma:contentTypeScope="" ma:versionID="077c968c2d7c467fcdd8460b40393278">
  <xsd:schema xmlns:xsd="http://www.w3.org/2001/XMLSchema" xmlns:xs="http://www.w3.org/2001/XMLSchema" xmlns:p="http://schemas.microsoft.com/office/2006/metadata/properties" xmlns:ns2="c7167b68-7f04-4ee7-b8f2-f50eee9a8356" xmlns:ns3="a6c78cc2-cb57-40ca-90d8-1c1b8b1f6a10" targetNamespace="http://schemas.microsoft.com/office/2006/metadata/properties" ma:root="true" ma:fieldsID="85d1d2ea21aaeb1cf091829023a78b39" ns2:_="" ns3:_="">
    <xsd:import namespace="c7167b68-7f04-4ee7-b8f2-f50eee9a8356"/>
    <xsd:import namespace="a6c78cc2-cb57-40ca-90d8-1c1b8b1f6a1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7167b68-7f04-4ee7-b8f2-f50eee9a835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6d165d17-9b79-46c3-82b9-c927e733c429"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6c78cc2-cb57-40ca-90d8-1c1b8b1f6a1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174bd925-7bd6-409a-aa5d-f17ac6933815}" ma:internalName="TaxCatchAll" ma:showField="CatchAllData" ma:web="a6c78cc2-cb57-40ca-90d8-1c1b8b1f6a1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B2C763D-954C-444F-AC82-254ECDE65B05}">
  <ds:schemaRefs>
    <ds:schemaRef ds:uri="http://schemas.microsoft.com/office/2006/metadata/properties"/>
    <ds:schemaRef ds:uri="http://schemas.microsoft.com/office/infopath/2007/PartnerControls"/>
    <ds:schemaRef ds:uri="c7167b68-7f04-4ee7-b8f2-f50eee9a8356"/>
    <ds:schemaRef ds:uri="a6c78cc2-cb57-40ca-90d8-1c1b8b1f6a10"/>
  </ds:schemaRefs>
</ds:datastoreItem>
</file>

<file path=customXml/itemProps2.xml><?xml version="1.0" encoding="utf-8"?>
<ds:datastoreItem xmlns:ds="http://schemas.openxmlformats.org/officeDocument/2006/customXml" ds:itemID="{2876CAFF-C285-4BD0-971C-E99778490A03}">
  <ds:schemaRefs>
    <ds:schemaRef ds:uri="http://schemas.microsoft.com/sharepoint/v3/contenttype/forms"/>
  </ds:schemaRefs>
</ds:datastoreItem>
</file>

<file path=customXml/itemProps3.xml><?xml version="1.0" encoding="utf-8"?>
<ds:datastoreItem xmlns:ds="http://schemas.openxmlformats.org/officeDocument/2006/customXml" ds:itemID="{A3FE4EE2-E7B4-49DA-9497-A528377353A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7167b68-7f04-4ee7-b8f2-f50eee9a8356"/>
    <ds:schemaRef ds:uri="a6c78cc2-cb57-40ca-90d8-1c1b8b1f6a1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Findomestic Forecast 26</vt:lpstr>
      <vt:lpstr>Opp. FY25 (+old)</vt:lpstr>
      <vt:lpstr>Sheet2</vt:lpstr>
      <vt:lpstr>Opp. FY26</vt:lpstr>
      <vt:lpstr>Opp. FY27</vt:lpstr>
      <vt:lpstr>BD</vt:lpstr>
      <vt:lpstr>Costi vs Forecast</vt:lpstr>
      <vt:lpstr>Summary</vt:lpstr>
      <vt:lpstr>Summary Final Results FY26</vt:lpstr>
      <vt:lpstr>Contracts</vt:lpstr>
      <vt:lpstr>FCST 9940435940 35%</vt:lpstr>
      <vt:lpstr>FCST 9940436673 35%</vt:lpstr>
      <vt:lpstr>FCST Savoy-Supporto Security</vt:lpstr>
      <vt:lpstr>Summary (2)</vt:lpstr>
      <vt:lpstr>Summary (3)</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Serena Mariani</dc:creator>
  <cp:keywords/>
  <dc:description/>
  <cp:lastModifiedBy>Serena Mariani</cp:lastModifiedBy>
  <cp:revision>1</cp:revision>
  <dcterms:created xsi:type="dcterms:W3CDTF">2026-08-04T06:26:41Z</dcterms:created>
  <dcterms:modified xsi:type="dcterms:W3CDTF">2026-08-07T15:49:23Z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0x010100BEFA3A4F6C208E47B5D36A88BFD639BD</vt:lpwstr>
  </property>
  <property fmtid="{D5CDD505-2E9C-101B-9397-08002B2CF9AE}" pid="3" name="MediaServiceImageTags">
    <vt:lpwstr/>
  </property>
</Properties>
</file>