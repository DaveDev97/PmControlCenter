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tables/table1.xml" ContentType="application/vnd.openxmlformats-officedocument.spreadsheetml.table+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6.xml" ContentType="application/vnd.openxmlformats-officedocument.spreadsheetml.comments+xml"/>
  <Override PartName="/xl/worksheets/sheet12.xml" ContentType="application/vnd.openxmlformats-officedocument.spreadsheetml.worksheet+xml"/>
  <Override PartName="/xl/comments/comment7.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1" showHorizontalScroll="1" showVerticalScroll="1" showSheetTabs="1" xWindow="7030" yWindow="680" windowWidth="12220" windowHeight="10050" tabRatio="782" firstSheet="4" activeTab="5" autoFilterDateGrouping="1"/>
  </bookViews>
  <sheets>
    <sheet xmlns:r="http://schemas.openxmlformats.org/officeDocument/2006/relationships" name="BetaCredit Forecast 26" sheetId="1" state="hidden" r:id="rId1"/>
    <sheet xmlns:r="http://schemas.openxmlformats.org/officeDocument/2006/relationships" name="Opp. FY25 (+old)" sheetId="2" state="visible" r:id="rId2"/>
    <sheet xmlns:r="http://schemas.openxmlformats.org/officeDocument/2006/relationships" name="Sheet2" sheetId="3" state="hidden" r:id="rId3"/>
    <sheet xmlns:r="http://schemas.openxmlformats.org/officeDocument/2006/relationships" name="Opp. FY26" sheetId="4" state="visible" r:id="rId4"/>
    <sheet xmlns:r="http://schemas.openxmlformats.org/officeDocument/2006/relationships" name="Opp. FY27" sheetId="5" state="visible" r:id="rId5"/>
    <sheet xmlns:r="http://schemas.openxmlformats.org/officeDocument/2006/relationships" name="BD" sheetId="6" state="visible" r:id="rId6"/>
    <sheet xmlns:r="http://schemas.openxmlformats.org/officeDocument/2006/relationships" name="Costi vs Forecast" sheetId="7" state="visible" r:id="rId7"/>
    <sheet xmlns:r="http://schemas.openxmlformats.org/officeDocument/2006/relationships" name="Summary" sheetId="8" state="visible" r:id="rId8"/>
    <sheet xmlns:r="http://schemas.openxmlformats.org/officeDocument/2006/relationships" name="Summary Final Results FY26" sheetId="9" state="visible" r:id="rId9"/>
    <sheet xmlns:r="http://schemas.openxmlformats.org/officeDocument/2006/relationships" name="Contracts" sheetId="10" state="visible" r:id="rId10"/>
    <sheet xmlns:r="http://schemas.openxmlformats.org/officeDocument/2006/relationships" name="FCST 9915583648 35%" sheetId="11" state="visible" r:id="rId11"/>
    <sheet xmlns:r="http://schemas.openxmlformats.org/officeDocument/2006/relationships" name="FCST 9997412455 35%" sheetId="12" state="visible" r:id="rId12"/>
    <sheet xmlns:r="http://schemas.openxmlformats.org/officeDocument/2006/relationships" name="FCST DeltaCorp-Supporto Securit" sheetId="13" state="visible" r:id="rId13"/>
    <sheet xmlns:r="http://schemas.openxmlformats.org/officeDocument/2006/relationships" name="Summary (2)" sheetId="14" state="hidden" r:id="rId14"/>
    <sheet xmlns:r="http://schemas.openxmlformats.org/officeDocument/2006/relationships" name="Summary (3)" sheetId="15" state="hidden" r:id="rId15"/>
    <sheet xmlns:r="http://schemas.openxmlformats.org/officeDocument/2006/relationships" name="Sheet1" sheetId="16" state="hidden" r:id="rId16"/>
  </sheets>
  <externalReferences>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s>
  <definedNames>
    <definedName name="_INITIATIVE">#REF!</definedName>
    <definedName name="avg_lcr">#REF!</definedName>
    <definedName name="BuColumn">#REF!</definedName>
    <definedName name="BusinessColumn">#REF!</definedName>
    <definedName name="BusinessStart">#REF!</definedName>
    <definedName name="BuStart">#REF!</definedName>
    <definedName name="end_date">#REF!</definedName>
    <definedName name="holid">#REF!</definedName>
    <definedName name="holydays">#REF!</definedName>
    <definedName name="LeColumn">#REF!</definedName>
    <definedName name="LeStart">#REF!</definedName>
    <definedName name="price">#REF!</definedName>
    <definedName name="price_ratecard">#REF!</definedName>
    <definedName name="referente_fornitore">#REF!</definedName>
    <definedName name="rev_runrate">#REF!</definedName>
    <definedName name="Role_C">#REF!</definedName>
    <definedName name="Role_Col">#REF!</definedName>
    <definedName name="Role_init">#REF!</definedName>
    <definedName name="RoleC">#REF!</definedName>
    <definedName name="sales_factor">#REF!</definedName>
    <definedName name="servizio">#REF!</definedName>
    <definedName name="start_date">#REF!</definedName>
    <definedName name="total_costs">#REF!</definedName>
    <definedName name="total_nonpayroll">#REF!</definedName>
    <definedName name="total_payroll">[2]!payroll_costs[[#Totals],[Total (€)]]</definedName>
    <definedName name="TypeColumn">#REF!</definedName>
    <definedName name="TypeStart">#REF!</definedName>
    <definedName name="_xlnm._FilterDatabase" localSheetId="5" hidden="1">'BD'!$B$3:$J$85</definedName>
    <definedName name="_xlnm._FilterDatabase" localSheetId="7" hidden="1">'Summary'!$A$9:$W$25</definedName>
    <definedName name="BuColumn" localSheetId="9">[1]!Table3[[#All],[Business Line]]</definedName>
    <definedName name="BusinessColumn" localSheetId="9">[1]!Table1[Business Line]</definedName>
    <definedName name="BusinessStart" localSheetId="9">[1]!Table1[[#Headers],[Business Line]]</definedName>
    <definedName name="BuStart" localSheetId="9">[1]!Table3[[#Headers],[Business Line]]</definedName>
    <definedName name="LeColumn" localSheetId="9">[1]!Table1[[#All],[LE]]</definedName>
    <definedName name="LeStart" localSheetId="9">[1]!Table1[[#Headers],[LE]]</definedName>
    <definedName name="TypeColumn" localSheetId="9">[3]!Table3[[#All],[Type]]</definedName>
    <definedName name="TypeStart" localSheetId="9">[3]!Table3[[#Headers],[Type]]</definedName>
    <definedName name="_xlnm._FilterDatabase" localSheetId="9" hidden="1">'Contracts'!$A$1:$C$1</definedName>
    <definedName name="_INITIATIVE" localSheetId="10">#REF!</definedName>
    <definedName name="Role_C" localSheetId="10">#REF!</definedName>
    <definedName name="Role_Col" localSheetId="10">#REF!</definedName>
    <definedName name="Role_init" localSheetId="10">#REF!</definedName>
    <definedName name="RoleC" localSheetId="10">#REF!</definedName>
    <definedName name="_INITIATIVE" localSheetId="11">#REF!</definedName>
    <definedName name="Role_C" localSheetId="11">#REF!</definedName>
    <definedName name="Role_Col" localSheetId="11">#REF!</definedName>
    <definedName name="Role_init" localSheetId="11">#REF!</definedName>
    <definedName name="RoleC" localSheetId="11">#REF!</definedName>
    <definedName name="_INITIATIVE" localSheetId="12">#REF!</definedName>
    <definedName name="Role_C" localSheetId="12">#REF!</definedName>
    <definedName name="Role_Col" localSheetId="12">#REF!</definedName>
    <definedName name="Role_init" localSheetId="12">#REF!</definedName>
    <definedName name="RoleC" localSheetId="12">#REF!</definedName>
    <definedName name="_xlnm._FilterDatabase" localSheetId="13" hidden="1">'Summary (2)'!$A$9:$W$25</definedName>
    <definedName name="_xlnm._FilterDatabase" localSheetId="14" hidden="1">'Summary (3)'!$A$9:$W$25</definedName>
  </definedNames>
  <calcPr calcId="191029" fullCalcOnLoad="1" calcCompleted="0"/>
  <pivotCaches>
    <pivotCache xmlns:r="http://schemas.openxmlformats.org/officeDocument/2006/relationships" cacheId="0" r:id="rId17"/>
  </pivotCaches>
</workbook>
</file>

<file path=xl/styles.xml><?xml version="1.0" encoding="utf-8"?>
<styleSheet xmlns="http://schemas.openxmlformats.org/spreadsheetml/2006/main">
  <numFmts count="33">
    <numFmt numFmtId="164" formatCode="#,##0.00\ &quot;€&quot;"/>
    <numFmt numFmtId="165" formatCode="_-* #,##0.00_-;\-* #,##0.00_-;_-* &quot;-&quot;??_-;_-@_-"/>
    <numFmt numFmtId="166" formatCode="_-* #,##0.00\ &quot;€&quot;_-;\-* #,##0.00\ &quot;€&quot;_-;_-* &quot;-&quot;??\ &quot;€&quot;_-;_-@_-"/>
    <numFmt numFmtId="167" formatCode="&quot;€&quot;\ #,##0.00"/>
    <numFmt numFmtId="168" formatCode="_-* #,##0.00\ _€_-;\-* #,##0.00\ _€_-;_-* &quot;-&quot;??\ _€_-;_-@_-"/>
    <numFmt numFmtId="169" formatCode="0.0%"/>
    <numFmt numFmtId="170" formatCode="0.0"/>
    <numFmt numFmtId="171" formatCode="_-* #,##0.00\ [$€-410]_-;\-* #,##0.00\ [$€-410]_-;_-* &quot;-&quot;??\ [$€-410]_-;_-@_-"/>
    <numFmt numFmtId="172" formatCode="_-* #,##0_-;\-* #,##0_-;_-* &quot;-&quot;??_-;_-@_-"/>
    <numFmt numFmtId="173" formatCode="#,##0.00\ &quot;€&quot;;[Red]\-#,##0.00\ &quot;€&quot;"/>
    <numFmt numFmtId="174" formatCode="[$€-2]\ #,##0.00;[Red]\-[$€-2]\ #,##0.00"/>
    <numFmt numFmtId="175" formatCode="#,##0\ &quot;€&quot;;[Red]\-#,##0\ &quot;€&quot;"/>
    <numFmt numFmtId="176" formatCode="_-* #,##0\ &quot;€&quot;_-;\-* #,##0\ &quot;€&quot;_-;_-* &quot;-&quot;??\ &quot;€&quot;_-;_-@_-"/>
    <numFmt numFmtId="177" formatCode="_-* #,##0.0\ &quot;€&quot;_-;\-* #,##0.0\ &quot;€&quot;_-;_-* &quot;-&quot;??\ &quot;€&quot;_-;_-@_-"/>
    <numFmt numFmtId="178" formatCode="_-[$$-409]* #,##0.00_ ;_-[$$-409]* \-#,##0.00\ ;_-[$$-409]* &quot;-&quot;??_ ;_-@_ "/>
    <numFmt numFmtId="179" formatCode="[$-F800]dddd\,\ mmmm\ dd\,\ yyyy"/>
    <numFmt numFmtId="180" formatCode="_-* #,##0.00_€_-;\-* #,##0.00_€_-;_-* &quot;-&quot;??_€_-;_-@_-"/>
    <numFmt numFmtId="181" formatCode="_-&quot;€&quot;\ * #,##0.00_-;\-&quot;€&quot;\ * #,##0.00_-;_-&quot;€&quot;\ * &quot;-&quot;??_-;_-@_-"/>
    <numFmt numFmtId="182" formatCode="#,##0\ [$€-1];[Red]\-#,##0\ [$€-1]"/>
    <numFmt numFmtId="183" formatCode="[$€-2]\ #,##0;[Red]\-[$€-2]\ #,##0"/>
    <numFmt numFmtId="184" formatCode="&quot;L.&quot;#,##0;[Red]&quot;L.&quot;\-#,##0"/>
    <numFmt numFmtId="185" formatCode="0.000_)"/>
    <numFmt numFmtId="186" formatCode="_-&quot;L.&quot;\ * #,##0_-;\-&quot;L.&quot;\ * #,##0_-;_-&quot;L.&quot;\ * &quot;-&quot;_-;_-@_-"/>
    <numFmt numFmtId="187" formatCode="ddd\ d:m:yy"/>
    <numFmt numFmtId="188" formatCode="_-[$€-2]\ * #,##0.00_-;\-[$€-2]\ * #,##0.00_-;_-[$€-2]\ * &quot;-&quot;??_-"/>
    <numFmt numFmtId="189" formatCode="00"/>
    <numFmt numFmtId="190" formatCode="0.000000"/>
    <numFmt numFmtId="191" formatCode="_ * #,##0_ ;_ * \-#,##0_ ;_ * &quot;-&quot;_ ;_ @_ "/>
    <numFmt numFmtId="192" formatCode="0.00_)"/>
    <numFmt numFmtId="193" formatCode="m/d"/>
    <numFmt numFmtId="194" formatCode="_ &quot;SFr.&quot;\ * #,##0_ ;_ &quot;SFr.&quot;\ * \-#,##0_ ;_ &quot;SFr.&quot;\ * &quot;-&quot;_ ;_ @_ "/>
    <numFmt numFmtId="195" formatCode="[Blue]0%\+;[Red]0%\-;\-"/>
    <numFmt numFmtId="196" formatCode="[Blue]#,##0\+;[Red]#,##0\-;\-"/>
  </numFmts>
  <fonts count="97">
    <font>
      <name val="Calibri"/>
      <family val="2"/>
      <color theme="1"/>
      <sz val="11"/>
      <scheme val="minor"/>
    </font>
    <font>
      <name val="Calibri"/>
      <family val="2"/>
      <color theme="1"/>
      <sz val="11"/>
      <scheme val="minor"/>
    </font>
    <font>
      <name val="Calibri"/>
      <family val="2"/>
      <color rgb="FF006100"/>
      <sz val="11"/>
      <scheme val="minor"/>
    </font>
    <font>
      <name val="Calibri"/>
      <family val="2"/>
      <b val="1"/>
      <color theme="0"/>
      <sz val="11"/>
      <scheme val="minor"/>
    </font>
    <font>
      <name val="Calibri"/>
      <family val="2"/>
      <b val="1"/>
      <color theme="1"/>
      <sz val="11"/>
      <scheme val="minor"/>
    </font>
    <font>
      <name val="Arial"/>
      <family val="2"/>
      <sz val="10"/>
    </font>
    <font>
      <name val="Calibri"/>
      <family val="2"/>
      <color rgb="FF3F3F76"/>
      <sz val="9"/>
      <scheme val="minor"/>
    </font>
    <font>
      <name val="Arial"/>
      <family val="2"/>
      <color theme="1"/>
      <sz val="10"/>
    </font>
    <font>
      <name val="Calibri"/>
      <family val="2"/>
      <color theme="1"/>
      <sz val="9"/>
      <scheme val="minor"/>
    </font>
    <font>
      <name val="Calibri"/>
      <family val="2"/>
      <color theme="10"/>
      <sz val="11"/>
      <u val="single"/>
      <scheme val="minor"/>
    </font>
    <font>
      <name val="Calibri"/>
      <family val="2"/>
      <color theme="1"/>
      <sz val="10"/>
      <scheme val="minor"/>
    </font>
    <font>
      <name val="Arial"/>
      <family val="2"/>
      <color theme="1"/>
      <sz val="8"/>
    </font>
    <font>
      <name val="Calibri"/>
      <family val="2"/>
      <color indexed="8"/>
      <sz val="11"/>
    </font>
    <font>
      <name val="Arial"/>
      <family val="2"/>
      <color indexed="8"/>
      <sz val="10"/>
    </font>
    <font>
      <name val="Calibri"/>
      <family val="2"/>
      <color indexed="9"/>
      <sz val="11"/>
    </font>
    <font>
      <name val="Arial"/>
      <family val="2"/>
      <color indexed="9"/>
      <sz val="10"/>
    </font>
    <font>
      <name val="Arial"/>
      <family val="2"/>
      <b val="1"/>
      <color indexed="63"/>
      <sz val="10"/>
    </font>
    <font>
      <name val="Calibri"/>
      <family val="2"/>
      <color indexed="20"/>
      <sz val="11"/>
    </font>
    <font>
      <name val="Arial"/>
      <family val="2"/>
      <color indexed="20"/>
      <sz val="10"/>
    </font>
    <font>
      <name val="Calibri"/>
      <family val="2"/>
      <color rgb="FF9C0006"/>
      <sz val="8"/>
    </font>
    <font>
      <name val="Arial"/>
      <family val="2"/>
      <b val="1"/>
      <color indexed="52"/>
      <sz val="10"/>
    </font>
    <font>
      <name val="Calibri"/>
      <family val="2"/>
      <b val="1"/>
      <color indexed="52"/>
      <sz val="11"/>
    </font>
    <font>
      <name val="Calibri"/>
      <family val="2"/>
      <b val="1"/>
      <color indexed="9"/>
      <sz val="11"/>
    </font>
    <font>
      <name val="Arial"/>
      <family val="2"/>
      <b val="1"/>
      <color indexed="9"/>
      <sz val="10"/>
    </font>
    <font>
      <name val="Arial"/>
      <family val="2"/>
      <color indexed="12"/>
      <sz val="10"/>
      <u val="single"/>
    </font>
    <font>
      <name val="Arial"/>
      <family val="2"/>
      <color indexed="36"/>
      <sz val="10"/>
      <u val="single"/>
    </font>
    <font>
      <name val="Arial"/>
      <family val="2"/>
      <color indexed="62"/>
      <sz val="10"/>
    </font>
    <font>
      <name val="Arial"/>
      <family val="2"/>
      <b val="1"/>
      <color indexed="8"/>
      <sz val="10"/>
    </font>
    <font>
      <name val="Arial"/>
      <family val="2"/>
      <i val="1"/>
      <color indexed="23"/>
      <sz val="10"/>
    </font>
    <font>
      <name val="Calibri"/>
      <family val="2"/>
      <i val="1"/>
      <color indexed="23"/>
      <sz val="11"/>
    </font>
    <font>
      <name val="Calibri"/>
      <family val="2"/>
      <color indexed="17"/>
      <sz val="11"/>
    </font>
    <font>
      <name val="Arial"/>
      <family val="2"/>
      <color indexed="17"/>
      <sz val="10"/>
    </font>
    <font>
      <name val="Calibri"/>
      <family val="2"/>
      <color rgb="FF006100"/>
      <sz val="8"/>
    </font>
    <font>
      <name val="Calibri"/>
      <family val="2"/>
      <b val="1"/>
      <color indexed="56"/>
      <sz val="15"/>
    </font>
    <font>
      <name val="Arial"/>
      <family val="2"/>
      <b val="1"/>
      <color indexed="56"/>
      <sz val="15"/>
    </font>
    <font>
      <name val="Calibri"/>
      <family val="2"/>
      <b val="1"/>
      <color indexed="56"/>
      <sz val="13"/>
    </font>
    <font>
      <name val="Arial"/>
      <family val="2"/>
      <b val="1"/>
      <color indexed="56"/>
      <sz val="13"/>
    </font>
    <font>
      <name val="Calibri"/>
      <family val="2"/>
      <b val="1"/>
      <color indexed="56"/>
      <sz val="11"/>
    </font>
    <font>
      <name val="Arial"/>
      <family val="2"/>
      <b val="1"/>
      <color indexed="56"/>
      <sz val="11"/>
    </font>
    <font>
      <name val="Calibri"/>
      <family val="2"/>
      <color theme="10"/>
      <sz val="11"/>
      <u val="single"/>
    </font>
    <font>
      <name val="Calibri"/>
      <family val="2"/>
      <color indexed="62"/>
      <sz val="11"/>
    </font>
    <font>
      <name val="Calibri"/>
      <family val="2"/>
      <color indexed="52"/>
      <sz val="11"/>
    </font>
    <font>
      <name val="Arial"/>
      <family val="2"/>
      <color indexed="52"/>
      <sz val="10"/>
    </font>
    <font>
      <name val="Arial"/>
      <family val="2"/>
      <color indexed="60"/>
      <sz val="10"/>
    </font>
    <font>
      <name val="Calibri"/>
      <family val="2"/>
      <b val="1"/>
      <color indexed="63"/>
      <sz val="11"/>
    </font>
    <font>
      <name val="Centennial 45 Light"/>
      <sz val="11"/>
    </font>
    <font>
      <name val="Cambria"/>
      <family val="2"/>
      <b val="1"/>
      <color indexed="56"/>
      <sz val="18"/>
    </font>
    <font>
      <name val="Arial"/>
      <family val="2"/>
      <b val="1"/>
      <color theme="1"/>
      <sz val="12"/>
    </font>
    <font>
      <name val="Calibri"/>
      <family val="2"/>
      <b val="1"/>
      <color indexed="8"/>
      <sz val="11"/>
    </font>
    <font>
      <name val="Arial"/>
      <family val="2"/>
      <color indexed="10"/>
      <sz val="10"/>
    </font>
    <font>
      <name val="Calibri"/>
      <family val="2"/>
      <color indexed="10"/>
      <sz val="11"/>
    </font>
    <font>
      <name val="Calibri"/>
      <family val="2"/>
      <sz val="8"/>
      <scheme val="minor"/>
    </font>
    <font>
      <name val="Calibri"/>
      <family val="2"/>
      <color rgb="FFFF0000"/>
      <sz val="11"/>
      <scheme val="minor"/>
    </font>
    <font>
      <name val="Calibri"/>
      <family val="2"/>
      <i val="1"/>
      <color rgb="FFFF0000"/>
      <sz val="11"/>
      <scheme val="minor"/>
    </font>
    <font>
      <name val="Arial"/>
      <family val="2"/>
      <b val="1"/>
      <color theme="0"/>
      <sz val="10"/>
    </font>
    <font>
      <name val="Calibri"/>
      <family val="2"/>
      <color rgb="FF000000"/>
      <sz val="10"/>
      <scheme val="minor"/>
    </font>
    <font>
      <name val="Calibri"/>
      <family val="2"/>
      <color rgb="FF000000"/>
      <sz val="11"/>
    </font>
    <font>
      <name val="Calibri"/>
      <family val="2"/>
      <sz val="11"/>
      <scheme val="minor"/>
    </font>
    <font>
      <name val="Aptos Narrow"/>
      <family val="2"/>
      <color rgb="FF000000"/>
      <sz val="11"/>
    </font>
    <font>
      <name val="Calibri"/>
      <family val="2"/>
      <b val="1"/>
      <color theme="1"/>
      <sz val="9"/>
      <scheme val="minor"/>
    </font>
    <font>
      <name val="Aptos"/>
      <family val="2"/>
      <color theme="1"/>
      <sz val="11"/>
    </font>
    <font>
      <name val="Times New Roman"/>
      <family val="1"/>
      <color rgb="FF000000"/>
      <sz val="10"/>
    </font>
    <font>
      <name val="Calibri"/>
      <family val="2"/>
      <b val="1"/>
      <color rgb="FF000000"/>
      <sz val="11"/>
    </font>
    <font>
      <name val="Graphik"/>
      <family val="2"/>
      <b val="1"/>
      <color rgb="FF000000"/>
      <sz val="10"/>
    </font>
    <font>
      <name val="Aptos"/>
      <family val="2"/>
      <b val="1"/>
      <color rgb="FF000000"/>
      <sz val="11"/>
    </font>
    <font>
      <name val="Tahoma"/>
      <family val="2"/>
      <color indexed="81"/>
      <sz val="9"/>
    </font>
    <font>
      <name val="Tahoma"/>
      <family val="2"/>
      <b val="1"/>
      <color indexed="81"/>
      <sz val="9"/>
    </font>
    <font>
      <name val="Aptos"/>
      <family val="2"/>
      <color theme="1"/>
      <sz val="12"/>
    </font>
    <font>
      <name val="Segoe UI"/>
      <family val="2"/>
      <color rgb="FF181818"/>
      <sz val="10"/>
    </font>
    <font>
      <name val="Arial"/>
      <family val="2"/>
      <b val="1"/>
      <color theme="0"/>
      <sz val="10"/>
    </font>
    <font>
      <name val="Aptos"/>
      <family val="2"/>
      <b val="1"/>
      <color theme="1"/>
      <sz val="11"/>
    </font>
    <font>
      <name val="Arial"/>
      <family val="2"/>
      <color rgb="FFFF0000"/>
      <sz val="8"/>
    </font>
    <font>
      <name val="Book Antiqua"/>
      <family val="1"/>
      <sz val="11"/>
    </font>
    <font>
      <name val="Tms Rmn"/>
      <sz val="11"/>
    </font>
    <font>
      <name val="Book Antiqua"/>
      <family val="1"/>
      <sz val="10"/>
    </font>
    <font>
      <name val="Arial"/>
      <family val="2"/>
      <sz val="8"/>
    </font>
    <font>
      <name val="Book Antiqua"/>
      <family val="1"/>
      <sz val="8"/>
    </font>
    <font>
      <name val="Arial"/>
      <family val="2"/>
      <b val="1"/>
      <color indexed="37"/>
      <sz val="11"/>
      <u val="single"/>
    </font>
    <font>
      <name val="Arial"/>
      <family val="2"/>
      <color indexed="12"/>
      <sz val="10"/>
    </font>
    <font>
      <name val="Small Fonts"/>
      <family val="2"/>
      <sz val="7"/>
    </font>
    <font>
      <name val="Courier"/>
      <family val="3"/>
      <sz val="10"/>
    </font>
    <font>
      <name val="Helv"/>
      <b val="1"/>
      <i val="1"/>
      <sz val="16"/>
    </font>
    <font>
      <name val="MS Sans Serif"/>
      <family val="2"/>
      <sz val="10"/>
    </font>
    <font>
      <name val="Arial"/>
      <family val="2"/>
      <b val="1"/>
      <sz val="8"/>
    </font>
    <font>
      <name val="Book Antiqua"/>
      <family val="1"/>
      <b val="1"/>
      <sz val="10"/>
    </font>
    <font>
      <name val="Arial"/>
      <family val="2"/>
      <color indexed="12"/>
      <sz val="8"/>
    </font>
    <font>
      <name val="Aptos"/>
      <family val="2"/>
      <b val="1"/>
      <color theme="1"/>
      <sz val="12"/>
    </font>
    <font>
      <name val="Aptos"/>
      <family val="2"/>
      <b val="1"/>
      <color rgb="FF000000"/>
      <sz val="11"/>
    </font>
    <font>
      <name val="Calibri"/>
      <family val="2"/>
      <color rgb="FF000000"/>
      <sz val="11"/>
    </font>
    <font>
      <name val="Aptos"/>
      <family val="2"/>
      <color theme="1"/>
      <sz val="11"/>
    </font>
    <font>
      <name val="Aptos Narrow"/>
      <family val="2"/>
      <color rgb="FF000000"/>
      <sz val="11"/>
    </font>
    <font>
      <name val="Tw Cen MT"/>
      <family val="2"/>
      <b val="1"/>
      <color theme="0"/>
      <sz val="10"/>
    </font>
    <font>
      <name val="Tw Cen MT"/>
      <family val="2"/>
      <b val="1"/>
      <color theme="1"/>
      <sz val="10"/>
    </font>
    <font>
      <name val="Tw Cen MT"/>
      <family val="2"/>
      <color theme="1"/>
      <sz val="10"/>
    </font>
    <font>
      <name val="Tw Cen MT"/>
      <family val="2"/>
      <i val="1"/>
      <color theme="1"/>
      <sz val="10"/>
    </font>
    <font>
      <name val="Calibri"/>
      <family val="2"/>
      <b val="1"/>
      <sz val="11"/>
      <scheme val="minor"/>
    </font>
    <font>
      <name val="Calibri"/>
      <family val="2"/>
      <b val="1"/>
      <color theme="1"/>
      <sz val="11"/>
      <scheme val="minor"/>
    </font>
  </fonts>
  <fills count="67">
    <fill>
      <patternFill/>
    </fill>
    <fill>
      <patternFill patternType="gray125"/>
    </fill>
    <fill>
      <patternFill patternType="solid">
        <fgColor rgb="FFC6EFCE"/>
      </patternFill>
    </fill>
    <fill>
      <patternFill patternType="solid">
        <fgColor theme="4"/>
        <bgColor theme="6"/>
      </patternFill>
    </fill>
    <fill>
      <patternFill patternType="solid">
        <fgColor theme="4" tint="0.7999816888943144"/>
        <bgColor indexed="64"/>
      </patternFill>
    </fill>
    <fill>
      <patternFill patternType="solid">
        <fgColor theme="4"/>
        <bgColor indexed="64"/>
      </patternFill>
    </fill>
    <fill>
      <patternFill patternType="solid">
        <fgColor theme="4" tint="0.5999938962981048"/>
        <bgColor indexed="64"/>
      </patternFill>
    </fill>
    <fill>
      <patternFill patternType="solid">
        <fgColor theme="3"/>
        <bgColor indexed="64"/>
      </patternFill>
    </fill>
    <fill>
      <patternFill patternType="solid">
        <fgColor theme="5"/>
        <bgColor indexed="64"/>
      </patternFill>
    </fill>
    <fill>
      <patternFill patternType="solid">
        <fgColor theme="7"/>
        <bgColor indexed="64"/>
      </patternFill>
    </fill>
    <fill>
      <patternFill patternType="solid">
        <fgColor theme="9"/>
        <bgColor indexed="64"/>
      </patternFill>
    </fill>
    <fill>
      <patternFill patternType="solid">
        <fgColor rgb="FFFFFF00"/>
        <bgColor indexed="64"/>
      </patternFill>
    </fill>
    <fill>
      <patternFill patternType="solid">
        <fgColor rgb="FFFFCC99"/>
      </patternFill>
    </fill>
    <fill>
      <patternFill patternType="solid">
        <fgColor theme="0" tint="-0.0499893185216834"/>
        <bgColor indexed="64"/>
      </patternFill>
    </fill>
    <fill>
      <patternFill patternType="solid">
        <fgColor rgb="FFFFC7CE"/>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theme="0" tint="-0.1499984740745262"/>
        <bgColor indexed="64"/>
      </patternFill>
    </fill>
    <fill>
      <patternFill patternType="solid">
        <fgColor theme="0" tint="-0.249977111117893"/>
        <bgColor indexed="64"/>
      </patternFill>
    </fill>
    <fill>
      <patternFill patternType="solid">
        <fgColor rgb="FFFF0000"/>
        <bgColor indexed="64"/>
      </patternFill>
    </fill>
    <fill>
      <patternFill patternType="solid">
        <fgColor theme="2"/>
        <bgColor indexed="64"/>
      </patternFill>
    </fill>
    <fill>
      <patternFill patternType="solid">
        <fgColor theme="9" tint="0.7999816888943144"/>
        <bgColor indexed="64"/>
      </patternFill>
    </fill>
    <fill>
      <patternFill patternType="solid">
        <fgColor rgb="FF0070C0"/>
        <bgColor indexed="64"/>
      </patternFill>
    </fill>
    <fill>
      <patternFill patternType="solid">
        <fgColor rgb="FF00B050"/>
        <bgColor indexed="64"/>
      </patternFill>
    </fill>
    <fill>
      <patternFill patternType="solid">
        <fgColor rgb="FFFFFFFF"/>
        <bgColor indexed="64"/>
      </patternFill>
    </fill>
    <fill>
      <patternFill patternType="solid">
        <fgColor rgb="FFFFC000"/>
        <bgColor indexed="64"/>
      </patternFill>
    </fill>
    <fill>
      <patternFill patternType="solid">
        <fgColor rgb="FF92D050"/>
        <bgColor indexed="64"/>
      </patternFill>
    </fill>
    <fill>
      <patternFill patternType="solid">
        <fgColor theme="8" tint="-0.249977111117893"/>
        <bgColor indexed="64"/>
      </patternFill>
    </fill>
    <fill>
      <patternFill patternType="solid">
        <fgColor theme="9" tint="0.3999755851924192"/>
        <bgColor indexed="64"/>
      </patternFill>
    </fill>
    <fill>
      <patternFill patternType="solid">
        <fgColor theme="8" tint="-0.499984740745262"/>
        <bgColor indexed="64"/>
      </patternFill>
    </fill>
    <fill>
      <patternFill patternType="solid">
        <fgColor theme="5" tint="-0.249977111117893"/>
        <bgColor indexed="64"/>
      </patternFill>
    </fill>
    <fill>
      <patternFill patternType="solid">
        <fgColor theme="7" tint="0.7999816888943144"/>
        <bgColor indexed="64"/>
      </patternFill>
    </fill>
    <fill>
      <patternFill patternType="solid">
        <fgColor rgb="FFFFFFCC"/>
        <bgColor indexed="64"/>
      </patternFill>
    </fill>
    <fill>
      <patternFill patternType="solid">
        <fgColor theme="2" tint="-0.09997863704336681"/>
        <bgColor indexed="64"/>
      </patternFill>
    </fill>
    <fill>
      <patternFill patternType="solid">
        <fgColor indexed="22"/>
        <bgColor indexed="64"/>
      </patternFill>
    </fill>
    <fill>
      <patternFill patternType="solid">
        <fgColor indexed="44"/>
        <bgColor indexed="64"/>
      </patternFill>
    </fill>
    <fill>
      <patternFill patternType="solid">
        <fgColor indexed="26"/>
        <bgColor indexed="64"/>
      </patternFill>
    </fill>
    <fill>
      <patternFill patternType="solid">
        <fgColor indexed="13"/>
        <bgColor indexed="64"/>
      </patternFill>
    </fill>
    <fill>
      <patternFill patternType="solid">
        <fgColor indexed="43"/>
        <bgColor indexed="64"/>
      </patternFill>
    </fill>
    <fill>
      <patternFill patternType="solid">
        <fgColor theme="8" tint="0.7999816888943144"/>
        <bgColor indexed="64"/>
      </patternFill>
    </fill>
    <fill>
      <patternFill patternType="solid">
        <fgColor theme="0" tint="-0.1499984740745262"/>
        <bgColor theme="0" tint="-0.1499984740745262"/>
      </patternFill>
    </fill>
    <fill>
      <patternFill patternType="solid">
        <fgColor theme="9" tint="0.5999938962981048"/>
        <bgColor indexed="64"/>
      </patternFill>
    </fill>
    <fill>
      <patternFill patternType="solid">
        <fgColor theme="6" tint="0.7999816888943144"/>
        <bgColor indexed="64"/>
      </patternFill>
    </fill>
    <fill>
      <patternFill patternType="solid">
        <fgColor theme="4" tint="-0.249977111117893"/>
        <bgColor indexed="64"/>
      </patternFill>
    </fill>
    <fill>
      <patternFill patternType="solid">
        <fgColor theme="3" tint="0.749992370372631"/>
        <bgColor indexed="64"/>
      </patternFill>
    </fill>
    <fill>
      <patternFill patternType="solid">
        <fgColor theme="3" tint="0.8999908444471572"/>
        <bgColor indexed="64"/>
      </patternFill>
    </fill>
  </fills>
  <borders count="78">
    <border>
      <left/>
      <right/>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right/>
      <top/>
      <bottom style="hair">
        <color auto="1"/>
      </bottom>
      <diagonal/>
    </border>
    <border>
      <left style="thin">
        <color indexed="64"/>
      </left>
      <right style="thin">
        <color indexed="64"/>
      </right>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diagonal/>
    </border>
    <border>
      <left/>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medium">
        <color indexed="64"/>
      </right>
      <top/>
      <bottom style="thin">
        <color indexed="64"/>
      </bottom>
      <diagonal/>
    </border>
    <border>
      <left style="double">
        <color indexed="64"/>
      </left>
      <right/>
      <top/>
      <bottom style="hair">
        <color indexed="64"/>
      </bottom>
      <diagonal/>
    </border>
    <border>
      <left style="double">
        <color indexed="64"/>
      </left>
      <right style="double">
        <color indexed="64"/>
      </right>
      <top style="double">
        <color indexed="64"/>
      </top>
      <bottom style="double">
        <color indexed="64"/>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medium">
        <color indexed="64"/>
      </right>
      <top style="medium">
        <color indexed="64"/>
      </top>
      <bottom/>
      <diagonal/>
    </border>
    <border>
      <left style="thin">
        <color theme="0" tint="-0.3499862666707358"/>
      </left>
      <right style="thin">
        <color theme="0" tint="-0.3499862666707358"/>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bottom/>
      <diagonal/>
    </border>
    <border>
      <left/>
      <right/>
      <top style="medium">
        <color indexed="64"/>
      </top>
      <bottom/>
      <diagonal/>
    </border>
    <border>
      <left/>
      <right style="thin">
        <color indexed="64"/>
      </right>
      <top style="medium">
        <color indexed="64"/>
      </top>
      <bottom/>
      <diagonal/>
    </border>
  </borders>
  <cellStyleXfs count="647">
    <xf numFmtId="0" fontId="1" fillId="0" borderId="0"/>
    <xf numFmtId="43" fontId="1" fillId="0" borderId="0"/>
    <xf numFmtId="9" fontId="1" fillId="0" borderId="0"/>
    <xf numFmtId="0" fontId="2" fillId="2" borderId="0"/>
    <xf numFmtId="0" fontId="7" fillId="0" borderId="0"/>
    <xf numFmtId="43" fontId="1" fillId="0" borderId="0"/>
    <xf numFmtId="0" fontId="5" fillId="0" borderId="0"/>
    <xf numFmtId="43" fontId="5" fillId="0" borderId="0"/>
    <xf numFmtId="0" fontId="6" fillId="12" borderId="4"/>
    <xf numFmtId="0" fontId="5" fillId="0" borderId="0"/>
    <xf numFmtId="0" fontId="8" fillId="0" borderId="5" applyAlignment="1">
      <alignment horizontal="center" vertical="distributed"/>
    </xf>
    <xf numFmtId="43" fontId="1" fillId="0" borderId="0"/>
    <xf numFmtId="0" fontId="11" fillId="0" borderId="0"/>
    <xf numFmtId="0" fontId="1" fillId="0" borderId="0"/>
    <xf numFmtId="43" fontId="1" fillId="0" borderId="0"/>
    <xf numFmtId="43" fontId="5" fillId="0" borderId="0"/>
    <xf numFmtId="0" fontId="12" fillId="15" borderId="0"/>
    <xf numFmtId="0" fontId="13" fillId="15" borderId="0"/>
    <xf numFmtId="0" fontId="12" fillId="15" borderId="0"/>
    <xf numFmtId="0" fontId="12" fillId="15" borderId="0"/>
    <xf numFmtId="0" fontId="12" fillId="15" borderId="0"/>
    <xf numFmtId="0" fontId="12" fillId="15" borderId="0"/>
    <xf numFmtId="0" fontId="12" fillId="16" borderId="0"/>
    <xf numFmtId="0" fontId="13" fillId="16" borderId="0"/>
    <xf numFmtId="0" fontId="12" fillId="16" borderId="0"/>
    <xf numFmtId="0" fontId="12" fillId="16" borderId="0"/>
    <xf numFmtId="0" fontId="12" fillId="16" borderId="0"/>
    <xf numFmtId="0" fontId="12" fillId="16" borderId="0"/>
    <xf numFmtId="0" fontId="12" fillId="17" borderId="0"/>
    <xf numFmtId="0" fontId="13" fillId="17" borderId="0"/>
    <xf numFmtId="0" fontId="12" fillId="17" borderId="0"/>
    <xf numFmtId="0" fontId="12" fillId="17" borderId="0"/>
    <xf numFmtId="0" fontId="12" fillId="17" borderId="0"/>
    <xf numFmtId="0" fontId="12" fillId="17" borderId="0"/>
    <xf numFmtId="0" fontId="12" fillId="18" borderId="0"/>
    <xf numFmtId="0" fontId="13" fillId="18" borderId="0"/>
    <xf numFmtId="0" fontId="12" fillId="18" borderId="0"/>
    <xf numFmtId="0" fontId="12" fillId="18" borderId="0"/>
    <xf numFmtId="0" fontId="12" fillId="18" borderId="0"/>
    <xf numFmtId="0" fontId="12" fillId="18" borderId="0"/>
    <xf numFmtId="0" fontId="12" fillId="19" borderId="0"/>
    <xf numFmtId="0" fontId="13" fillId="19" borderId="0"/>
    <xf numFmtId="0" fontId="12" fillId="19" borderId="0"/>
    <xf numFmtId="0" fontId="12" fillId="19" borderId="0"/>
    <xf numFmtId="0" fontId="12" fillId="19" borderId="0"/>
    <xf numFmtId="0" fontId="12" fillId="19" borderId="0"/>
    <xf numFmtId="0" fontId="12" fillId="20" borderId="0"/>
    <xf numFmtId="0" fontId="13" fillId="20" borderId="0"/>
    <xf numFmtId="0" fontId="12" fillId="20" borderId="0"/>
    <xf numFmtId="0" fontId="12" fillId="20" borderId="0"/>
    <xf numFmtId="0" fontId="12" fillId="20" borderId="0"/>
    <xf numFmtId="0" fontId="12" fillId="20" borderId="0"/>
    <xf numFmtId="0" fontId="13" fillId="15" borderId="0"/>
    <xf numFmtId="0" fontId="13" fillId="16" borderId="0"/>
    <xf numFmtId="0" fontId="13" fillId="17" borderId="0"/>
    <xf numFmtId="0" fontId="13" fillId="18" borderId="0"/>
    <xf numFmtId="0" fontId="13" fillId="19" borderId="0"/>
    <xf numFmtId="0" fontId="13" fillId="20" borderId="0"/>
    <xf numFmtId="0" fontId="12" fillId="21" borderId="0"/>
    <xf numFmtId="0" fontId="13" fillId="21" borderId="0"/>
    <xf numFmtId="0" fontId="12" fillId="21" borderId="0"/>
    <xf numFmtId="0" fontId="12" fillId="21" borderId="0"/>
    <xf numFmtId="0" fontId="12" fillId="21" borderId="0"/>
    <xf numFmtId="0" fontId="12" fillId="21" borderId="0"/>
    <xf numFmtId="0" fontId="12" fillId="22" borderId="0"/>
    <xf numFmtId="0" fontId="13" fillId="22" borderId="0"/>
    <xf numFmtId="0" fontId="12" fillId="22" borderId="0"/>
    <xf numFmtId="0" fontId="12" fillId="22" borderId="0"/>
    <xf numFmtId="0" fontId="12" fillId="22" borderId="0"/>
    <xf numFmtId="0" fontId="12" fillId="22" borderId="0"/>
    <xf numFmtId="0" fontId="12" fillId="23" borderId="0"/>
    <xf numFmtId="0" fontId="13" fillId="23" borderId="0"/>
    <xf numFmtId="0" fontId="12" fillId="23" borderId="0"/>
    <xf numFmtId="0" fontId="12" fillId="23" borderId="0"/>
    <xf numFmtId="0" fontId="12" fillId="23" borderId="0"/>
    <xf numFmtId="0" fontId="12" fillId="23" borderId="0"/>
    <xf numFmtId="0" fontId="12" fillId="18" borderId="0"/>
    <xf numFmtId="0" fontId="13" fillId="18" borderId="0"/>
    <xf numFmtId="0" fontId="12" fillId="18" borderId="0"/>
    <xf numFmtId="0" fontId="12" fillId="18" borderId="0"/>
    <xf numFmtId="0" fontId="12" fillId="18" borderId="0"/>
    <xf numFmtId="0" fontId="12" fillId="18" borderId="0"/>
    <xf numFmtId="0" fontId="12" fillId="21" borderId="0"/>
    <xf numFmtId="0" fontId="13" fillId="21" borderId="0"/>
    <xf numFmtId="0" fontId="12" fillId="21" borderId="0"/>
    <xf numFmtId="0" fontId="12" fillId="21" borderId="0"/>
    <xf numFmtId="0" fontId="12" fillId="21" borderId="0"/>
    <xf numFmtId="0" fontId="12" fillId="21" borderId="0"/>
    <xf numFmtId="0" fontId="12" fillId="24" borderId="0"/>
    <xf numFmtId="0" fontId="13" fillId="24" borderId="0"/>
    <xf numFmtId="0" fontId="12" fillId="24" borderId="0"/>
    <xf numFmtId="0" fontId="12" fillId="24" borderId="0"/>
    <xf numFmtId="0" fontId="12" fillId="24" borderId="0"/>
    <xf numFmtId="0" fontId="12" fillId="24" borderId="0"/>
    <xf numFmtId="0" fontId="13" fillId="21" borderId="0"/>
    <xf numFmtId="0" fontId="13" fillId="22" borderId="0"/>
    <xf numFmtId="0" fontId="13" fillId="23" borderId="0"/>
    <xf numFmtId="0" fontId="13" fillId="18" borderId="0"/>
    <xf numFmtId="0" fontId="13" fillId="21" borderId="0"/>
    <xf numFmtId="0" fontId="13" fillId="24" borderId="0"/>
    <xf numFmtId="0" fontId="14" fillId="25" borderId="0"/>
    <xf numFmtId="0" fontId="15" fillId="25" borderId="0"/>
    <xf numFmtId="0" fontId="14" fillId="22" borderId="0"/>
    <xf numFmtId="0" fontId="15" fillId="22" borderId="0"/>
    <xf numFmtId="0" fontId="14" fillId="23" borderId="0"/>
    <xf numFmtId="0" fontId="15" fillId="23" borderId="0"/>
    <xf numFmtId="0" fontId="14" fillId="26" borderId="0"/>
    <xf numFmtId="0" fontId="15" fillId="26" borderId="0"/>
    <xf numFmtId="0" fontId="14" fillId="27" borderId="0"/>
    <xf numFmtId="0" fontId="15" fillId="27" borderId="0"/>
    <xf numFmtId="0" fontId="14" fillId="28" borderId="0"/>
    <xf numFmtId="0" fontId="15" fillId="28" borderId="0"/>
    <xf numFmtId="0" fontId="15" fillId="25" borderId="0"/>
    <xf numFmtId="0" fontId="15" fillId="22" borderId="0"/>
    <xf numFmtId="0" fontId="15" fillId="23" borderId="0"/>
    <xf numFmtId="0" fontId="15" fillId="26" borderId="0"/>
    <xf numFmtId="0" fontId="15" fillId="27" borderId="0"/>
    <xf numFmtId="0" fontId="15" fillId="28" borderId="0"/>
    <xf numFmtId="0" fontId="14" fillId="29" borderId="0"/>
    <xf numFmtId="0" fontId="15" fillId="29" borderId="0"/>
    <xf numFmtId="0" fontId="14" fillId="30" borderId="0"/>
    <xf numFmtId="0" fontId="15" fillId="30" borderId="0"/>
    <xf numFmtId="0" fontId="14" fillId="31" borderId="0"/>
    <xf numFmtId="0" fontId="15" fillId="31" borderId="0"/>
    <xf numFmtId="0" fontId="14" fillId="26" borderId="0"/>
    <xf numFmtId="0" fontId="15" fillId="26" borderId="0"/>
    <xf numFmtId="0" fontId="14" fillId="27" borderId="0"/>
    <xf numFmtId="0" fontId="15" fillId="27" borderId="0"/>
    <xf numFmtId="0" fontId="14" fillId="32" borderId="0"/>
    <xf numFmtId="0" fontId="15" fillId="32" borderId="0"/>
    <xf numFmtId="0" fontId="15" fillId="29" borderId="0"/>
    <xf numFmtId="0" fontId="15" fillId="30" borderId="0"/>
    <xf numFmtId="0" fontId="15" fillId="31" borderId="0"/>
    <xf numFmtId="0" fontId="15" fillId="26" borderId="0"/>
    <xf numFmtId="0" fontId="15" fillId="27" borderId="0"/>
    <xf numFmtId="0" fontId="15" fillId="32" borderId="0"/>
    <xf numFmtId="0" fontId="16" fillId="33" borderId="7"/>
    <xf numFmtId="0" fontId="17" fillId="16" borderId="0"/>
    <xf numFmtId="0" fontId="18" fillId="16" borderId="0"/>
    <xf numFmtId="179" fontId="19" fillId="14" borderId="0"/>
    <xf numFmtId="179" fontId="19" fillId="14" borderId="0"/>
    <xf numFmtId="0" fontId="20" fillId="33" borderId="8"/>
    <xf numFmtId="0" fontId="21" fillId="33" borderId="8"/>
    <xf numFmtId="0" fontId="20" fillId="33" borderId="8"/>
    <xf numFmtId="0" fontId="22" fillId="34" borderId="9"/>
    <xf numFmtId="0" fontId="23" fillId="34" borderId="9"/>
    <xf numFmtId="179" fontId="24" fillId="0" borderId="0" applyAlignment="1" applyProtection="1">
      <alignment vertical="top"/>
      <protection locked="0" hidden="0"/>
    </xf>
    <xf numFmtId="179" fontId="25" fillId="0" borderId="0" applyAlignment="1" applyProtection="1">
      <alignment vertical="top"/>
      <protection locked="0" hidden="0"/>
    </xf>
    <xf numFmtId="180" fontId="1" fillId="0" borderId="0"/>
    <xf numFmtId="180" fontId="1" fillId="0" borderId="0"/>
    <xf numFmtId="43" fontId="12" fillId="0" borderId="0"/>
    <xf numFmtId="43" fontId="12" fillId="0" borderId="0"/>
    <xf numFmtId="180" fontId="1" fillId="0" borderId="0"/>
    <xf numFmtId="180" fontId="1" fillId="0" borderId="0"/>
    <xf numFmtId="43" fontId="1" fillId="0" borderId="0"/>
    <xf numFmtId="43" fontId="1" fillId="0" borderId="0"/>
    <xf numFmtId="180" fontId="1" fillId="0" borderId="0"/>
    <xf numFmtId="43" fontId="1" fillId="0" borderId="0"/>
    <xf numFmtId="43" fontId="1" fillId="0" borderId="0"/>
    <xf numFmtId="180" fontId="1" fillId="0" borderId="0"/>
    <xf numFmtId="180" fontId="1" fillId="0" borderId="0"/>
    <xf numFmtId="180" fontId="1" fillId="0" borderId="0"/>
    <xf numFmtId="43" fontId="5" fillId="0" borderId="0"/>
    <xf numFmtId="180" fontId="1" fillId="0" borderId="0"/>
    <xf numFmtId="180" fontId="1" fillId="0" borderId="0"/>
    <xf numFmtId="180" fontId="1" fillId="0" borderId="0"/>
    <xf numFmtId="180" fontId="1" fillId="0" borderId="0"/>
    <xf numFmtId="180" fontId="1" fillId="0" borderId="0"/>
    <xf numFmtId="180" fontId="1" fillId="0" borderId="0"/>
    <xf numFmtId="180" fontId="1" fillId="0" borderId="0"/>
    <xf numFmtId="180" fontId="1" fillId="0" borderId="0"/>
    <xf numFmtId="180" fontId="1" fillId="0" borderId="0"/>
    <xf numFmtId="180" fontId="1" fillId="0" borderId="0"/>
    <xf numFmtId="180" fontId="1" fillId="0" borderId="0"/>
    <xf numFmtId="180" fontId="1" fillId="0" borderId="0"/>
    <xf numFmtId="43" fontId="5" fillId="0" borderId="0"/>
    <xf numFmtId="180" fontId="1" fillId="0" borderId="0"/>
    <xf numFmtId="180" fontId="1" fillId="0" borderId="0"/>
    <xf numFmtId="180" fontId="1" fillId="0" borderId="0"/>
    <xf numFmtId="180" fontId="1" fillId="0" borderId="0"/>
    <xf numFmtId="181" fontId="12" fillId="0" borderId="0"/>
    <xf numFmtId="181" fontId="12" fillId="0" borderId="0"/>
    <xf numFmtId="0" fontId="26" fillId="20" borderId="8"/>
    <xf numFmtId="0" fontId="27" fillId="0" borderId="10"/>
    <xf numFmtId="0" fontId="28" fillId="0" borderId="0"/>
    <xf numFmtId="181" fontId="12" fillId="0" borderId="0"/>
    <xf numFmtId="0" fontId="29" fillId="0" borderId="0"/>
    <xf numFmtId="0" fontId="28" fillId="0" borderId="0"/>
    <xf numFmtId="0" fontId="30" fillId="17" borderId="0"/>
    <xf numFmtId="0" fontId="31" fillId="17" borderId="0"/>
    <xf numFmtId="179" fontId="32" fillId="2" borderId="0"/>
    <xf numFmtId="179" fontId="32" fillId="2" borderId="0"/>
    <xf numFmtId="0" fontId="31" fillId="17" borderId="0"/>
    <xf numFmtId="0" fontId="33" fillId="0" borderId="11"/>
    <xf numFmtId="0" fontId="34" fillId="0" borderId="11"/>
    <xf numFmtId="0" fontId="35" fillId="0" borderId="12"/>
    <xf numFmtId="0" fontId="36" fillId="0" borderId="12"/>
    <xf numFmtId="0" fontId="37" fillId="0" borderId="13"/>
    <xf numFmtId="0" fontId="38" fillId="0" borderId="13"/>
    <xf numFmtId="0" fontId="37" fillId="0" borderId="0"/>
    <xf numFmtId="0" fontId="38" fillId="0" borderId="0"/>
    <xf numFmtId="0" fontId="24" fillId="0" borderId="0" applyAlignment="1" applyProtection="1">
      <alignment vertical="top"/>
      <protection locked="0" hidden="0"/>
    </xf>
    <xf numFmtId="0" fontId="39" fillId="0" borderId="0" applyAlignment="1" applyProtection="1">
      <alignment vertical="top"/>
      <protection locked="0" hidden="0"/>
    </xf>
    <xf numFmtId="179" fontId="9" fillId="0" borderId="0"/>
    <xf numFmtId="0" fontId="40" fillId="20" borderId="8"/>
    <xf numFmtId="0" fontId="26" fillId="20" borderId="8"/>
    <xf numFmtId="0" fontId="41" fillId="0" borderId="14"/>
    <xf numFmtId="0" fontId="42" fillId="0" borderId="14"/>
    <xf numFmtId="0" fontId="43" fillId="35" borderId="0"/>
    <xf numFmtId="0" fontId="7" fillId="0" borderId="0"/>
    <xf numFmtId="179" fontId="5" fillId="0" borderId="0"/>
    <xf numFmtId="0" fontId="7" fillId="0" borderId="0"/>
    <xf numFmtId="179" fontId="5" fillId="0" borderId="0"/>
    <xf numFmtId="0" fontId="1" fillId="0" borderId="0"/>
    <xf numFmtId="0" fontId="1" fillId="0" borderId="0"/>
    <xf numFmtId="0" fontId="1" fillId="0" borderId="0"/>
    <xf numFmtId="0" fontId="1" fillId="0" borderId="0"/>
    <xf numFmtId="0" fontId="5" fillId="0" borderId="0"/>
    <xf numFmtId="0" fontId="5" fillId="0" borderId="0"/>
    <xf numFmtId="0" fontId="1" fillId="0" borderId="0"/>
    <xf numFmtId="182" fontId="1" fillId="0" borderId="0"/>
    <xf numFmtId="0" fontId="5" fillId="0" borderId="0"/>
    <xf numFmtId="0" fontId="1" fillId="0" borderId="0"/>
    <xf numFmtId="179" fontId="1" fillId="0" borderId="0"/>
    <xf numFmtId="0" fontId="10" fillId="0" borderId="0"/>
    <xf numFmtId="0" fontId="1" fillId="0" borderId="0"/>
    <xf numFmtId="0" fontId="5" fillId="0" borderId="0"/>
    <xf numFmtId="0" fontId="5" fillId="0" borderId="0"/>
    <xf numFmtId="179" fontId="5" fillId="0" borderId="0"/>
    <xf numFmtId="0" fontId="1" fillId="0" borderId="0"/>
    <xf numFmtId="0" fontId="1" fillId="0" borderId="0"/>
    <xf numFmtId="0" fontId="1" fillId="0" borderId="0"/>
    <xf numFmtId="179" fontId="7" fillId="0" borderId="0"/>
    <xf numFmtId="0" fontId="5"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183"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3"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9" fontId="5" fillId="0" borderId="0"/>
    <xf numFmtId="0" fontId="1" fillId="0" borderId="0"/>
    <xf numFmtId="0" fontId="1" fillId="0" borderId="0"/>
    <xf numFmtId="183" fontId="1" fillId="0" borderId="0"/>
    <xf numFmtId="183" fontId="1" fillId="0" borderId="0"/>
    <xf numFmtId="0" fontId="1" fillId="0" borderId="0"/>
    <xf numFmtId="183" fontId="1" fillId="0" borderId="0"/>
    <xf numFmtId="0" fontId="1" fillId="0" borderId="0"/>
    <xf numFmtId="183" fontId="1" fillId="0" borderId="0"/>
    <xf numFmtId="183" fontId="1" fillId="0" borderId="0"/>
    <xf numFmtId="183" fontId="1" fillId="0" borderId="0"/>
    <xf numFmtId="0" fontId="1" fillId="0" borderId="0"/>
    <xf numFmtId="183" fontId="1" fillId="0" borderId="0"/>
    <xf numFmtId="183" fontId="1" fillId="0" borderId="0"/>
    <xf numFmtId="183" fontId="1" fillId="0" borderId="0"/>
    <xf numFmtId="0" fontId="1" fillId="0" borderId="0"/>
    <xf numFmtId="183" fontId="1" fillId="0" borderId="0"/>
    <xf numFmtId="183" fontId="1" fillId="0" borderId="0"/>
    <xf numFmtId="0" fontId="1" fillId="0" borderId="0"/>
    <xf numFmtId="183" fontId="1" fillId="0" borderId="0"/>
    <xf numFmtId="183" fontId="1" fillId="0" borderId="0"/>
    <xf numFmtId="0" fontId="1" fillId="0" borderId="0"/>
    <xf numFmtId="183" fontId="1" fillId="0" borderId="0"/>
    <xf numFmtId="183" fontId="1" fillId="0" borderId="0"/>
    <xf numFmtId="0" fontId="1" fillId="0" borderId="0"/>
    <xf numFmtId="183" fontId="1" fillId="0" borderId="0"/>
    <xf numFmtId="183" fontId="1" fillId="0" borderId="0"/>
    <xf numFmtId="179" fontId="1" fillId="0" borderId="0"/>
    <xf numFmtId="183" fontId="1" fillId="0" borderId="0"/>
    <xf numFmtId="0" fontId="5" fillId="0" borderId="0"/>
    <xf numFmtId="0" fontId="5" fillId="0" borderId="0"/>
    <xf numFmtId="0" fontId="5" fillId="0" borderId="0"/>
    <xf numFmtId="0" fontId="1" fillId="0" borderId="0"/>
    <xf numFmtId="0" fontId="5" fillId="0" borderId="0"/>
    <xf numFmtId="0" fontId="12" fillId="0" borderId="0"/>
    <xf numFmtId="0" fontId="5" fillId="0" borderId="0"/>
    <xf numFmtId="0" fontId="1" fillId="0" borderId="0"/>
    <xf numFmtId="0" fontId="12" fillId="0" borderId="0"/>
    <xf numFmtId="0" fontId="5" fillId="0" borderId="0"/>
    <xf numFmtId="0" fontId="5" fillId="0" borderId="0"/>
    <xf numFmtId="179" fontId="5" fillId="0" borderId="0"/>
    <xf numFmtId="0" fontId="12" fillId="0" borderId="0"/>
    <xf numFmtId="0" fontId="5" fillId="0" borderId="0"/>
    <xf numFmtId="183" fontId="1" fillId="0" borderId="0"/>
    <xf numFmtId="183" fontId="1" fillId="0" borderId="0"/>
    <xf numFmtId="183" fontId="1" fillId="0" borderId="0"/>
    <xf numFmtId="183" fontId="1" fillId="0" borderId="0"/>
    <xf numFmtId="183" fontId="1" fillId="0" borderId="0"/>
    <xf numFmtId="0" fontId="1" fillId="0" borderId="0"/>
    <xf numFmtId="0" fontId="1" fillId="0" borderId="0"/>
    <xf numFmtId="0" fontId="1" fillId="0" borderId="0"/>
    <xf numFmtId="0" fontId="1" fillId="0" borderId="0"/>
    <xf numFmtId="179" fontId="1" fillId="0" borderId="0"/>
    <xf numFmtId="0" fontId="1" fillId="0" borderId="0"/>
    <xf numFmtId="179" fontId="1" fillId="0" borderId="0"/>
    <xf numFmtId="0" fontId="12" fillId="0" borderId="0"/>
    <xf numFmtId="0" fontId="5" fillId="0" borderId="0"/>
    <xf numFmtId="0" fontId="5" fillId="0" borderId="0"/>
    <xf numFmtId="0" fontId="5" fillId="0" borderId="0"/>
    <xf numFmtId="179" fontId="1" fillId="0" borderId="0"/>
    <xf numFmtId="0" fontId="1" fillId="0" borderId="0"/>
    <xf numFmtId="0" fontId="5" fillId="0" borderId="0"/>
    <xf numFmtId="0" fontId="5" fillId="0" borderId="0"/>
    <xf numFmtId="0" fontId="5" fillId="0" borderId="0"/>
    <xf numFmtId="179" fontId="1" fillId="0" borderId="0"/>
    <xf numFmtId="0" fontId="12" fillId="0" borderId="0"/>
    <xf numFmtId="0" fontId="5" fillId="0" borderId="0"/>
    <xf numFmtId="0" fontId="5" fillId="0" borderId="0"/>
    <xf numFmtId="0" fontId="5" fillId="0" borderId="0"/>
    <xf numFmtId="179" fontId="5" fillId="0" borderId="0"/>
    <xf numFmtId="0" fontId="5" fillId="0" borderId="0"/>
    <xf numFmtId="0" fontId="5" fillId="0" borderId="0"/>
    <xf numFmtId="179" fontId="1" fillId="0" borderId="0"/>
    <xf numFmtId="0" fontId="5" fillId="0" borderId="0"/>
    <xf numFmtId="179" fontId="1" fillId="0" borderId="0"/>
    <xf numFmtId="0" fontId="5" fillId="0" borderId="0"/>
    <xf numFmtId="0" fontId="5" fillId="0" borderId="0"/>
    <xf numFmtId="0" fontId="5" fillId="0" borderId="0"/>
    <xf numFmtId="179" fontId="5" fillId="0" borderId="0"/>
    <xf numFmtId="0" fontId="5" fillId="0" borderId="0"/>
    <xf numFmtId="0" fontId="5" fillId="0" borderId="0"/>
    <xf numFmtId="179" fontId="1" fillId="0" borderId="0"/>
    <xf numFmtId="0" fontId="1" fillId="0" borderId="0"/>
    <xf numFmtId="0" fontId="5" fillId="36" borderId="15"/>
    <xf numFmtId="0" fontId="5" fillId="36" borderId="15"/>
    <xf numFmtId="0" fontId="5" fillId="36" borderId="15"/>
    <xf numFmtId="0" fontId="5" fillId="36" borderId="15"/>
    <xf numFmtId="0" fontId="44" fillId="33" borderId="7"/>
    <xf numFmtId="0" fontId="16" fillId="33" borderId="7"/>
    <xf numFmtId="9" fontId="5" fillId="0" borderId="0"/>
    <xf numFmtId="9" fontId="5" fillId="0" borderId="0"/>
    <xf numFmtId="9" fontId="5" fillId="0" borderId="0"/>
    <xf numFmtId="9" fontId="7" fillId="0" borderId="0"/>
    <xf numFmtId="9" fontId="5" fillId="0" borderId="0"/>
    <xf numFmtId="9" fontId="12" fillId="0" borderId="0"/>
    <xf numFmtId="9" fontId="5" fillId="0" borderId="0"/>
    <xf numFmtId="9" fontId="5" fillId="0" borderId="0"/>
    <xf numFmtId="9" fontId="5" fillId="0" borderId="0"/>
    <xf numFmtId="9" fontId="5" fillId="0" borderId="0"/>
    <xf numFmtId="9" fontId="1" fillId="0" borderId="0"/>
    <xf numFmtId="0" fontId="18" fillId="16" borderId="0"/>
    <xf numFmtId="0" fontId="7" fillId="0" borderId="0"/>
    <xf numFmtId="0" fontId="45" fillId="0" borderId="0"/>
    <xf numFmtId="0" fontId="13" fillId="0" borderId="0"/>
    <xf numFmtId="0" fontId="46" fillId="0" borderId="0"/>
    <xf numFmtId="179" fontId="47" fillId="11" borderId="0" applyAlignment="1">
      <alignment horizontal="left" vertical="center"/>
    </xf>
    <xf numFmtId="0" fontId="48" fillId="0" borderId="10"/>
    <xf numFmtId="0" fontId="27" fillId="0" borderId="10"/>
    <xf numFmtId="0" fontId="46" fillId="0" borderId="0"/>
    <xf numFmtId="0" fontId="34" fillId="0" borderId="11"/>
    <xf numFmtId="0" fontId="36" fillId="0" borderId="12"/>
    <xf numFmtId="0" fontId="38" fillId="0" borderId="13"/>
    <xf numFmtId="0" fontId="38" fillId="0" borderId="0"/>
    <xf numFmtId="0" fontId="42" fillId="0" borderId="14"/>
    <xf numFmtId="0" fontId="49" fillId="0" borderId="0"/>
    <xf numFmtId="0" fontId="50" fillId="0" borderId="0"/>
    <xf numFmtId="0" fontId="49" fillId="0" borderId="0"/>
    <xf numFmtId="0" fontId="23" fillId="34" borderId="9"/>
    <xf numFmtId="43" fontId="7" fillId="0" borderId="0"/>
    <xf numFmtId="0" fontId="7" fillId="0" borderId="0"/>
    <xf numFmtId="183" fontId="1" fillId="0" borderId="0"/>
    <xf numFmtId="0" fontId="7" fillId="0" borderId="0"/>
    <xf numFmtId="0" fontId="5" fillId="0" borderId="0"/>
    <xf numFmtId="43" fontId="1" fillId="0" borderId="0"/>
    <xf numFmtId="43" fontId="5" fillId="0" borderId="0"/>
    <xf numFmtId="0" fontId="6" fillId="12" borderId="4"/>
    <xf numFmtId="43" fontId="1" fillId="0" borderId="0"/>
    <xf numFmtId="44" fontId="1" fillId="0" borderId="0"/>
    <xf numFmtId="43" fontId="1" fillId="0" borderId="0"/>
    <xf numFmtId="43" fontId="1" fillId="0" borderId="0"/>
    <xf numFmtId="43" fontId="5" fillId="0" borderId="0"/>
    <xf numFmtId="43" fontId="1" fillId="0" borderId="0"/>
    <xf numFmtId="43" fontId="1" fillId="0" borderId="0"/>
    <xf numFmtId="43" fontId="5" fillId="0" borderId="0"/>
    <xf numFmtId="43" fontId="12" fillId="0" borderId="0"/>
    <xf numFmtId="43" fontId="12" fillId="0" borderId="0"/>
    <xf numFmtId="43" fontId="1" fillId="0" borderId="0"/>
    <xf numFmtId="43" fontId="1" fillId="0" borderId="0"/>
    <xf numFmtId="43" fontId="1" fillId="0" borderId="0"/>
    <xf numFmtId="43" fontId="1" fillId="0" borderId="0"/>
    <xf numFmtId="43" fontId="5" fillId="0" borderId="0"/>
    <xf numFmtId="43" fontId="5" fillId="0" borderId="0"/>
    <xf numFmtId="43" fontId="7" fillId="0" borderId="0"/>
    <xf numFmtId="43" fontId="1" fillId="0" borderId="0"/>
    <xf numFmtId="43" fontId="5" fillId="0" borderId="0"/>
    <xf numFmtId="43" fontId="1" fillId="0" borderId="0"/>
    <xf numFmtId="44" fontId="1" fillId="0" borderId="0"/>
    <xf numFmtId="44" fontId="1" fillId="0" borderId="0"/>
    <xf numFmtId="43" fontId="1" fillId="0" borderId="0"/>
    <xf numFmtId="43" fontId="1" fillId="0" borderId="0"/>
    <xf numFmtId="43" fontId="5" fillId="0" borderId="0"/>
    <xf numFmtId="43" fontId="1" fillId="0" borderId="0"/>
    <xf numFmtId="43" fontId="1" fillId="0" borderId="0"/>
    <xf numFmtId="43" fontId="5" fillId="0" borderId="0"/>
    <xf numFmtId="43" fontId="12" fillId="0" borderId="0"/>
    <xf numFmtId="43" fontId="12" fillId="0" borderId="0"/>
    <xf numFmtId="43" fontId="1" fillId="0" borderId="0"/>
    <xf numFmtId="43" fontId="1" fillId="0" borderId="0"/>
    <xf numFmtId="43" fontId="1" fillId="0" borderId="0"/>
    <xf numFmtId="43" fontId="1" fillId="0" borderId="0"/>
    <xf numFmtId="43" fontId="5" fillId="0" borderId="0"/>
    <xf numFmtId="43" fontId="5" fillId="0" borderId="0"/>
    <xf numFmtId="43" fontId="7" fillId="0" borderId="0"/>
    <xf numFmtId="43" fontId="1" fillId="0" borderId="0"/>
    <xf numFmtId="43" fontId="5" fillId="0" borderId="0"/>
    <xf numFmtId="43" fontId="1" fillId="0" borderId="0"/>
    <xf numFmtId="44" fontId="1" fillId="0" borderId="0"/>
    <xf numFmtId="43" fontId="1" fillId="0" borderId="0"/>
    <xf numFmtId="43" fontId="1" fillId="0" borderId="0"/>
    <xf numFmtId="43" fontId="5" fillId="0" borderId="0"/>
    <xf numFmtId="43" fontId="1" fillId="0" borderId="0"/>
    <xf numFmtId="43" fontId="1" fillId="0" borderId="0"/>
    <xf numFmtId="43" fontId="5" fillId="0" borderId="0"/>
    <xf numFmtId="43" fontId="12" fillId="0" borderId="0"/>
    <xf numFmtId="43" fontId="12" fillId="0" borderId="0"/>
    <xf numFmtId="43" fontId="1" fillId="0" borderId="0"/>
    <xf numFmtId="43" fontId="1" fillId="0" borderId="0"/>
    <xf numFmtId="43" fontId="1" fillId="0" borderId="0"/>
    <xf numFmtId="43" fontId="1" fillId="0" borderId="0"/>
    <xf numFmtId="43" fontId="5" fillId="0" borderId="0"/>
    <xf numFmtId="43" fontId="5" fillId="0" borderId="0"/>
    <xf numFmtId="43" fontId="7" fillId="0" borderId="0"/>
    <xf numFmtId="43" fontId="1" fillId="0" borderId="0"/>
    <xf numFmtId="43" fontId="5" fillId="0" borderId="0"/>
    <xf numFmtId="43" fontId="1" fillId="0" borderId="0"/>
    <xf numFmtId="44" fontId="1" fillId="0" borderId="0"/>
    <xf numFmtId="44" fontId="1" fillId="0" borderId="0"/>
    <xf numFmtId="44" fontId="1" fillId="0" borderId="0"/>
    <xf numFmtId="44" fontId="1" fillId="0" borderId="0"/>
    <xf numFmtId="43" fontId="1" fillId="0" borderId="0"/>
    <xf numFmtId="43" fontId="1" fillId="0" borderId="0"/>
    <xf numFmtId="43" fontId="5" fillId="0" borderId="0"/>
    <xf numFmtId="43" fontId="1" fillId="0" borderId="0"/>
    <xf numFmtId="43" fontId="1" fillId="0" borderId="0"/>
    <xf numFmtId="43" fontId="5" fillId="0" borderId="0"/>
    <xf numFmtId="43" fontId="12" fillId="0" borderId="0"/>
    <xf numFmtId="43" fontId="12" fillId="0" borderId="0"/>
    <xf numFmtId="43" fontId="1" fillId="0" borderId="0"/>
    <xf numFmtId="43" fontId="1" fillId="0" borderId="0"/>
    <xf numFmtId="43" fontId="1" fillId="0" borderId="0"/>
    <xf numFmtId="43" fontId="1" fillId="0" borderId="0"/>
    <xf numFmtId="43" fontId="5" fillId="0" borderId="0"/>
    <xf numFmtId="43" fontId="5" fillId="0" borderId="0"/>
    <xf numFmtId="43" fontId="7" fillId="0" borderId="0"/>
    <xf numFmtId="43" fontId="1" fillId="0" borderId="0"/>
    <xf numFmtId="43" fontId="5" fillId="0" borderId="0"/>
    <xf numFmtId="43" fontId="1" fillId="0" borderId="0"/>
    <xf numFmtId="44" fontId="1" fillId="0" borderId="0"/>
    <xf numFmtId="43" fontId="1" fillId="0" borderId="0"/>
    <xf numFmtId="43" fontId="1" fillId="0" borderId="0"/>
    <xf numFmtId="43" fontId="5" fillId="0" borderId="0"/>
    <xf numFmtId="43" fontId="1" fillId="0" borderId="0"/>
    <xf numFmtId="43" fontId="1" fillId="0" borderId="0"/>
    <xf numFmtId="43" fontId="5" fillId="0" borderId="0"/>
    <xf numFmtId="43" fontId="12" fillId="0" borderId="0"/>
    <xf numFmtId="43" fontId="12" fillId="0" borderId="0"/>
    <xf numFmtId="43" fontId="1" fillId="0" borderId="0"/>
    <xf numFmtId="43" fontId="1" fillId="0" borderId="0"/>
    <xf numFmtId="43" fontId="1" fillId="0" borderId="0"/>
    <xf numFmtId="43" fontId="1" fillId="0" borderId="0"/>
    <xf numFmtId="43" fontId="5" fillId="0" borderId="0"/>
    <xf numFmtId="43" fontId="5" fillId="0" borderId="0"/>
    <xf numFmtId="43" fontId="7" fillId="0" borderId="0"/>
    <xf numFmtId="43" fontId="1" fillId="0" borderId="0"/>
    <xf numFmtId="43" fontId="5" fillId="0" borderId="0"/>
    <xf numFmtId="43" fontId="1" fillId="0" borderId="0"/>
    <xf numFmtId="44" fontId="1" fillId="0" borderId="0"/>
    <xf numFmtId="44" fontId="1" fillId="0" borderId="0"/>
    <xf numFmtId="43" fontId="1" fillId="0" borderId="0"/>
    <xf numFmtId="43" fontId="1" fillId="0" borderId="0"/>
    <xf numFmtId="43" fontId="5" fillId="0" borderId="0"/>
    <xf numFmtId="43" fontId="1" fillId="0" borderId="0"/>
    <xf numFmtId="43" fontId="1" fillId="0" borderId="0"/>
    <xf numFmtId="43" fontId="5" fillId="0" borderId="0"/>
    <xf numFmtId="43" fontId="12" fillId="0" borderId="0"/>
    <xf numFmtId="43" fontId="12" fillId="0" borderId="0"/>
    <xf numFmtId="43" fontId="1" fillId="0" borderId="0"/>
    <xf numFmtId="43" fontId="1" fillId="0" borderId="0"/>
    <xf numFmtId="43" fontId="1" fillId="0" borderId="0"/>
    <xf numFmtId="43" fontId="1" fillId="0" borderId="0"/>
    <xf numFmtId="43" fontId="5" fillId="0" borderId="0"/>
    <xf numFmtId="43" fontId="5" fillId="0" borderId="0"/>
    <xf numFmtId="43" fontId="7" fillId="0" borderId="0"/>
    <xf numFmtId="43" fontId="1" fillId="0" borderId="0"/>
    <xf numFmtId="43" fontId="5" fillId="0" borderId="0"/>
    <xf numFmtId="43" fontId="1" fillId="0" borderId="0"/>
    <xf numFmtId="44" fontId="1" fillId="0" borderId="0"/>
    <xf numFmtId="43" fontId="1" fillId="0" borderId="0"/>
    <xf numFmtId="43" fontId="1" fillId="0" borderId="0"/>
    <xf numFmtId="43" fontId="5" fillId="0" borderId="0"/>
    <xf numFmtId="43" fontId="1" fillId="0" borderId="0"/>
    <xf numFmtId="43" fontId="1" fillId="0" borderId="0"/>
    <xf numFmtId="43" fontId="5" fillId="0" borderId="0"/>
    <xf numFmtId="43" fontId="12" fillId="0" borderId="0"/>
    <xf numFmtId="43" fontId="12" fillId="0" borderId="0"/>
    <xf numFmtId="43" fontId="1" fillId="0" borderId="0"/>
    <xf numFmtId="43" fontId="1" fillId="0" borderId="0"/>
    <xf numFmtId="43" fontId="1" fillId="0" borderId="0"/>
    <xf numFmtId="43" fontId="1" fillId="0" borderId="0"/>
    <xf numFmtId="43" fontId="5" fillId="0" borderId="0"/>
    <xf numFmtId="43" fontId="5" fillId="0" borderId="0"/>
    <xf numFmtId="43" fontId="7" fillId="0" borderId="0"/>
    <xf numFmtId="43" fontId="1" fillId="0" borderId="0"/>
    <xf numFmtId="43" fontId="5" fillId="0" borderId="0"/>
    <xf numFmtId="43" fontId="1" fillId="0" borderId="0"/>
    <xf numFmtId="44" fontId="1" fillId="0" borderId="0"/>
    <xf numFmtId="44" fontId="1" fillId="0" borderId="0"/>
    <xf numFmtId="44" fontId="1" fillId="0" borderId="0"/>
    <xf numFmtId="44" fontId="1" fillId="0" borderId="0"/>
    <xf numFmtId="43" fontId="1" fillId="0" borderId="0"/>
    <xf numFmtId="44" fontId="1" fillId="0" borderId="0"/>
    <xf numFmtId="43" fontId="1" fillId="0" borderId="0"/>
    <xf numFmtId="44" fontId="1" fillId="0" borderId="0"/>
    <xf numFmtId="44" fontId="1" fillId="0" borderId="0"/>
    <xf numFmtId="43" fontId="1" fillId="0" borderId="0"/>
    <xf numFmtId="43" fontId="1" fillId="0" borderId="0"/>
    <xf numFmtId="44" fontId="1" fillId="0" borderId="0"/>
    <xf numFmtId="43" fontId="1" fillId="0" borderId="0"/>
    <xf numFmtId="43" fontId="1" fillId="0" borderId="0"/>
    <xf numFmtId="43" fontId="1" fillId="0" borderId="0"/>
    <xf numFmtId="43" fontId="5" fillId="0" borderId="0"/>
    <xf numFmtId="43" fontId="1" fillId="0" borderId="0"/>
    <xf numFmtId="43" fontId="1" fillId="0" borderId="0"/>
    <xf numFmtId="43" fontId="5" fillId="0" borderId="0"/>
    <xf numFmtId="43" fontId="12" fillId="0" borderId="0"/>
    <xf numFmtId="43" fontId="12" fillId="0" borderId="0"/>
    <xf numFmtId="43" fontId="1" fillId="0" borderId="0"/>
    <xf numFmtId="43" fontId="1" fillId="0" borderId="0"/>
    <xf numFmtId="43" fontId="1" fillId="0" borderId="0"/>
    <xf numFmtId="43" fontId="1" fillId="0" borderId="0"/>
    <xf numFmtId="43" fontId="5" fillId="0" borderId="0"/>
    <xf numFmtId="43" fontId="5" fillId="0" borderId="0"/>
    <xf numFmtId="181" fontId="12" fillId="0" borderId="0"/>
    <xf numFmtId="43" fontId="7" fillId="0" borderId="0"/>
    <xf numFmtId="43" fontId="1" fillId="0" borderId="0"/>
    <xf numFmtId="43" fontId="5" fillId="0" borderId="0"/>
    <xf numFmtId="43" fontId="1" fillId="0" borderId="0"/>
    <xf numFmtId="44" fontId="1" fillId="0" borderId="0"/>
    <xf numFmtId="43" fontId="1" fillId="0" borderId="0"/>
    <xf numFmtId="43" fontId="1" fillId="0" borderId="0"/>
    <xf numFmtId="43" fontId="5" fillId="0" borderId="0"/>
    <xf numFmtId="43" fontId="1" fillId="0" borderId="0"/>
    <xf numFmtId="43" fontId="1" fillId="0" borderId="0"/>
    <xf numFmtId="43" fontId="5" fillId="0" borderId="0"/>
    <xf numFmtId="43" fontId="12" fillId="0" borderId="0"/>
    <xf numFmtId="43" fontId="12" fillId="0" borderId="0"/>
    <xf numFmtId="43" fontId="1" fillId="0" borderId="0"/>
    <xf numFmtId="43" fontId="1" fillId="0" borderId="0"/>
    <xf numFmtId="43" fontId="1" fillId="0" borderId="0"/>
    <xf numFmtId="43" fontId="1" fillId="0" borderId="0"/>
    <xf numFmtId="43" fontId="5" fillId="0" borderId="0"/>
    <xf numFmtId="43" fontId="5" fillId="0" borderId="0"/>
    <xf numFmtId="43" fontId="7" fillId="0" borderId="0"/>
    <xf numFmtId="43" fontId="1" fillId="0" borderId="0"/>
    <xf numFmtId="43" fontId="5" fillId="0" borderId="0"/>
    <xf numFmtId="43" fontId="1" fillId="0" borderId="0"/>
    <xf numFmtId="44" fontId="1" fillId="0" borderId="0"/>
    <xf numFmtId="44" fontId="1" fillId="0" borderId="0"/>
    <xf numFmtId="44" fontId="1" fillId="0" borderId="0"/>
    <xf numFmtId="168" fontId="1" fillId="0" borderId="0"/>
    <xf numFmtId="43" fontId="1" fillId="0" borderId="0"/>
    <xf numFmtId="43" fontId="5" fillId="0" borderId="0"/>
    <xf numFmtId="43" fontId="5" fillId="0" borderId="0"/>
    <xf numFmtId="184" fontId="72" fillId="56" borderId="58" applyAlignment="1">
      <alignment horizontal="center" vertical="center"/>
    </xf>
    <xf numFmtId="185" fontId="73" fillId="0" borderId="0"/>
    <xf numFmtId="185" fontId="73" fillId="0" borderId="0"/>
    <xf numFmtId="185" fontId="73" fillId="0" borderId="0"/>
    <xf numFmtId="185" fontId="73" fillId="0" borderId="0"/>
    <xf numFmtId="185" fontId="73" fillId="0" borderId="0"/>
    <xf numFmtId="185" fontId="73" fillId="0" borderId="0"/>
    <xf numFmtId="185" fontId="73" fillId="0" borderId="0"/>
    <xf numFmtId="185" fontId="73" fillId="0" borderId="0"/>
    <xf numFmtId="186" fontId="74" fillId="0" borderId="0"/>
    <xf numFmtId="187" fontId="75" fillId="0" borderId="0" applyAlignment="1">
      <alignment vertical="top"/>
    </xf>
    <xf numFmtId="188" fontId="5" fillId="0" borderId="0"/>
    <xf numFmtId="40" fontId="76" fillId="0" borderId="30"/>
    <xf numFmtId="189" fontId="5" fillId="0" borderId="0" applyProtection="1">
      <protection locked="0" hidden="0"/>
    </xf>
    <xf numFmtId="38" fontId="75" fillId="55" borderId="0"/>
    <xf numFmtId="0" fontId="77" fillId="0" borderId="0"/>
    <xf numFmtId="190" fontId="5" fillId="0" borderId="0" applyProtection="1">
      <protection locked="0" hidden="0"/>
    </xf>
    <xf numFmtId="190" fontId="5" fillId="0" borderId="0" applyProtection="1">
      <protection locked="0" hidden="0"/>
    </xf>
    <xf numFmtId="0" fontId="78" fillId="0" borderId="59"/>
    <xf numFmtId="10" fontId="75" fillId="57" borderId="3"/>
    <xf numFmtId="191" fontId="5" fillId="0" borderId="0"/>
    <xf numFmtId="41" fontId="5" fillId="0" borderId="0"/>
    <xf numFmtId="43" fontId="5" fillId="0" borderId="0"/>
    <xf numFmtId="43" fontId="1" fillId="0" borderId="0"/>
    <xf numFmtId="43" fontId="12" fillId="0" borderId="0"/>
    <xf numFmtId="43" fontId="12" fillId="0" borderId="0"/>
    <xf numFmtId="37" fontId="79" fillId="0" borderId="0"/>
    <xf numFmtId="0" fontId="80" fillId="0" borderId="0"/>
    <xf numFmtId="192" fontId="81" fillId="0" borderId="0"/>
    <xf numFmtId="0" fontId="82" fillId="0" borderId="0"/>
    <xf numFmtId="0" fontId="82" fillId="0" borderId="0"/>
    <xf numFmtId="0" fontId="1" fillId="0" borderId="0"/>
    <xf numFmtId="0" fontId="5" fillId="0" borderId="0"/>
    <xf numFmtId="0" fontId="5" fillId="0" borderId="0"/>
    <xf numFmtId="10" fontId="5" fillId="0" borderId="0"/>
    <xf numFmtId="9" fontId="1" fillId="0" borderId="0"/>
    <xf numFmtId="9" fontId="12" fillId="0" borderId="0"/>
    <xf numFmtId="0" fontId="5" fillId="0" borderId="0"/>
    <xf numFmtId="187" fontId="83" fillId="58" borderId="3" applyAlignment="1">
      <alignment horizontal="center" textRotation="180"/>
    </xf>
    <xf numFmtId="193" fontId="84" fillId="0" borderId="0" applyAlignment="1">
      <alignment horizontal="centerContinuous" wrapText="1"/>
    </xf>
    <xf numFmtId="37" fontId="75" fillId="59" borderId="0"/>
    <xf numFmtId="37" fontId="75" fillId="0" borderId="0"/>
    <xf numFmtId="3" fontId="85" fillId="0" borderId="59"/>
    <xf numFmtId="194" fontId="5" fillId="0" borderId="0"/>
    <xf numFmtId="195" fontId="75" fillId="0" borderId="0" applyAlignment="1">
      <alignment horizontal="right" vertical="top"/>
    </xf>
    <xf numFmtId="196" fontId="75" fillId="0" borderId="0" applyAlignment="1">
      <alignment horizontal="right" vertical="top"/>
    </xf>
    <xf numFmtId="0" fontId="82" fillId="0" borderId="0"/>
    <xf numFmtId="43" fontId="82" fillId="0" borderId="0"/>
    <xf numFmtId="0" fontId="5" fillId="0" borderId="0"/>
    <xf numFmtId="0" fontId="5" fillId="0" borderId="0"/>
    <xf numFmtId="0" fontId="5" fillId="0" borderId="0"/>
    <xf numFmtId="0" fontId="5" fillId="0" borderId="0"/>
    <xf numFmtId="0" fontId="82" fillId="0" borderId="0"/>
    <xf numFmtId="0" fontId="82" fillId="0" borderId="0"/>
    <xf numFmtId="0" fontId="5" fillId="0" borderId="0"/>
    <xf numFmtId="9" fontId="5" fillId="0" borderId="0"/>
    <xf numFmtId="9" fontId="5" fillId="0" borderId="0"/>
    <xf numFmtId="9" fontId="5" fillId="0" borderId="0"/>
    <xf numFmtId="0" fontId="1" fillId="0" borderId="0"/>
    <xf numFmtId="0" fontId="5" fillId="0" borderId="0"/>
    <xf numFmtId="0" fontId="1" fillId="0" borderId="0"/>
    <xf numFmtId="0" fontId="1" fillId="0" borderId="0"/>
    <xf numFmtId="9" fontId="1" fillId="0" borderId="0"/>
  </cellStyleXfs>
  <cellXfs count="874">
    <xf numFmtId="0" fontId="0" fillId="0" borderId="0" pivotButton="0" quotePrefix="0" xfId="0"/>
    <xf numFmtId="0" fontId="3" fillId="3" borderId="1" applyAlignment="1" pivotButton="0" quotePrefix="0" xfId="0">
      <alignment horizontal="center" vertical="center"/>
    </xf>
    <xf numFmtId="0" fontId="3" fillId="3" borderId="3" applyAlignment="1" pivotButton="0" quotePrefix="0" xfId="0">
      <alignment horizontal="center" vertical="center"/>
    </xf>
    <xf numFmtId="0" fontId="0" fillId="0" borderId="3" applyAlignment="1" pivotButton="0" quotePrefix="0" xfId="0">
      <alignment horizontal="center" vertical="center"/>
    </xf>
    <xf numFmtId="17" fontId="3" fillId="5" borderId="1" applyAlignment="1" pivotButton="0" quotePrefix="0" xfId="3">
      <alignment horizontal="center" vertical="center"/>
    </xf>
    <xf numFmtId="0" fontId="0" fillId="0" borderId="3" applyAlignment="1" pivotButton="0" quotePrefix="0" xfId="0">
      <alignment vertical="center"/>
    </xf>
    <xf numFmtId="0" fontId="4" fillId="0" borderId="3" applyAlignment="1" pivotButton="0" quotePrefix="0" xfId="0">
      <alignment horizontal="center" vertical="center"/>
    </xf>
    <xf numFmtId="164" fontId="0" fillId="0" borderId="3" applyAlignment="1" pivotButton="0" quotePrefix="0" xfId="0">
      <alignment horizontal="center" vertical="center"/>
    </xf>
    <xf numFmtId="17" fontId="3" fillId="5" borderId="19" applyAlignment="1" pivotButton="0" quotePrefix="0" xfId="3">
      <alignment horizontal="center" vertical="center"/>
    </xf>
    <xf numFmtId="0" fontId="0" fillId="0" borderId="0" applyAlignment="1" pivotButton="0" quotePrefix="0" xfId="0">
      <alignment vertical="center"/>
    </xf>
    <xf numFmtId="0" fontId="4" fillId="39" borderId="3" applyAlignment="1" pivotButton="0" quotePrefix="0" xfId="0">
      <alignment horizontal="center" vertical="center"/>
    </xf>
    <xf numFmtId="164" fontId="52" fillId="0" borderId="3" applyAlignment="1" pivotButton="0" quotePrefix="0" xfId="0">
      <alignment horizontal="center" vertical="center"/>
    </xf>
    <xf numFmtId="165" fontId="0" fillId="0" borderId="3" pivotButton="0" quotePrefix="0" xfId="1"/>
    <xf numFmtId="166" fontId="0" fillId="0" borderId="3" applyAlignment="1" pivotButton="0" quotePrefix="0" xfId="449">
      <alignment horizontal="center" vertical="center"/>
    </xf>
    <xf numFmtId="0" fontId="4" fillId="0" borderId="1" applyAlignment="1" pivotButton="0" quotePrefix="0" xfId="0">
      <alignment horizontal="center" vertical="center"/>
    </xf>
    <xf numFmtId="0" fontId="53" fillId="0" borderId="3" applyAlignment="1" pivotButton="0" quotePrefix="0" xfId="0">
      <alignment horizontal="center" vertical="center"/>
    </xf>
    <xf numFmtId="167" fontId="53" fillId="0" borderId="3" applyAlignment="1" pivotButton="0" quotePrefix="0" xfId="0">
      <alignment horizontal="center" vertical="center"/>
    </xf>
    <xf numFmtId="164" fontId="0" fillId="0" borderId="0" applyAlignment="1" pivotButton="0" quotePrefix="0" xfId="0">
      <alignment vertical="center"/>
    </xf>
    <xf numFmtId="164" fontId="4" fillId="0" borderId="0" applyAlignment="1" pivotButton="0" quotePrefix="0" xfId="0">
      <alignment horizontal="center" vertical="center"/>
    </xf>
    <xf numFmtId="166" fontId="0" fillId="0" borderId="0" applyAlignment="1" pivotButton="0" quotePrefix="0" xfId="449">
      <alignment vertical="center"/>
    </xf>
    <xf numFmtId="49" fontId="0" fillId="0" borderId="3" applyAlignment="1" pivotButton="0" quotePrefix="0" xfId="0">
      <alignment vertical="center"/>
    </xf>
    <xf numFmtId="0" fontId="0" fillId="0" borderId="3" applyAlignment="1" pivotButton="0" quotePrefix="1" xfId="0">
      <alignment vertical="center" wrapText="1"/>
    </xf>
    <xf numFmtId="0" fontId="8" fillId="13" borderId="3" pivotButton="0" quotePrefix="0" xfId="0"/>
    <xf numFmtId="166" fontId="0" fillId="0" borderId="0" pivotButton="0" quotePrefix="0" xfId="0"/>
    <xf numFmtId="0" fontId="3" fillId="5" borderId="16" applyAlignment="1" pivotButton="0" quotePrefix="0" xfId="0">
      <alignment horizontal="center" vertical="center"/>
    </xf>
    <xf numFmtId="0" fontId="3" fillId="5" borderId="3" applyAlignment="1" pivotButton="0" quotePrefix="0" xfId="0">
      <alignment horizontal="center" vertical="center"/>
    </xf>
    <xf numFmtId="17" fontId="3" fillId="5" borderId="1" applyAlignment="1" pivotButton="0" quotePrefix="0" xfId="0">
      <alignment horizontal="center" vertical="center"/>
    </xf>
    <xf numFmtId="0" fontId="3" fillId="5" borderId="3" applyAlignment="1" pivotButton="0" quotePrefix="0" xfId="0">
      <alignment vertical="center"/>
    </xf>
    <xf numFmtId="167" fontId="54" fillId="5" borderId="3" applyAlignment="1" pivotButton="0" quotePrefix="0" xfId="0">
      <alignment horizontal="center" vertical="center"/>
    </xf>
    <xf numFmtId="0" fontId="0" fillId="40" borderId="3" applyAlignment="1" pivotButton="0" quotePrefix="0" xfId="0">
      <alignment vertical="center"/>
    </xf>
    <xf numFmtId="164" fontId="0" fillId="0" borderId="3" applyAlignment="1" pivotButton="0" quotePrefix="0" xfId="0">
      <alignment vertical="center"/>
    </xf>
    <xf numFmtId="0" fontId="3" fillId="5" borderId="0" applyAlignment="1" pivotButton="0" quotePrefix="0" xfId="0">
      <alignment horizontal="center" vertical="center"/>
    </xf>
    <xf numFmtId="0" fontId="0" fillId="0" borderId="3" applyAlignment="1" pivotButton="0" quotePrefix="0" xfId="0">
      <alignment vertical="center" wrapText="1"/>
    </xf>
    <xf numFmtId="166" fontId="0" fillId="0" borderId="3" applyAlignment="1" pivotButton="0" quotePrefix="0" xfId="449">
      <alignment horizontal="center" vertical="center"/>
    </xf>
    <xf numFmtId="0" fontId="0" fillId="0" borderId="3" applyAlignment="1" pivotButton="0" quotePrefix="0" xfId="0">
      <alignment horizontal="left" vertical="center" wrapText="1"/>
    </xf>
    <xf numFmtId="0" fontId="0" fillId="0" borderId="23" applyAlignment="1" pivotButton="0" quotePrefix="0" xfId="0">
      <alignment horizontal="center" vertical="center"/>
    </xf>
    <xf numFmtId="0" fontId="0" fillId="13" borderId="23" applyAlignment="1" pivotButton="0" quotePrefix="0" xfId="0">
      <alignment horizontal="center" vertical="center"/>
    </xf>
    <xf numFmtId="0" fontId="0" fillId="0" borderId="27" applyAlignment="1" pivotButton="0" quotePrefix="0" xfId="0">
      <alignment horizontal="center" vertical="center"/>
    </xf>
    <xf numFmtId="0" fontId="0" fillId="13" borderId="24" applyAlignment="1" pivotButton="0" quotePrefix="0" xfId="0">
      <alignment horizontal="center" vertical="center"/>
    </xf>
    <xf numFmtId="168" fontId="0" fillId="0" borderId="0" applyAlignment="1" pivotButton="0" quotePrefix="0" xfId="0">
      <alignment vertical="center"/>
    </xf>
    <xf numFmtId="0" fontId="4" fillId="0" borderId="0" applyAlignment="1" pivotButton="0" quotePrefix="0" xfId="0">
      <alignment vertical="center"/>
    </xf>
    <xf numFmtId="168" fontId="4" fillId="0" borderId="0" applyAlignment="1" pivotButton="0" quotePrefix="0" xfId="0">
      <alignment vertical="center"/>
    </xf>
    <xf numFmtId="168" fontId="4" fillId="0" borderId="3" applyAlignment="1" pivotButton="0" quotePrefix="0" xfId="0">
      <alignment vertical="center"/>
    </xf>
    <xf numFmtId="168" fontId="4" fillId="0" borderId="0" applyAlignment="1" pivotButton="0" quotePrefix="0" xfId="0">
      <alignment horizontal="right" vertical="center"/>
    </xf>
    <xf numFmtId="168" fontId="0" fillId="0" borderId="3" applyAlignment="1" pivotButton="0" quotePrefix="0" xfId="0">
      <alignment vertical="center"/>
    </xf>
    <xf numFmtId="0" fontId="4" fillId="6" borderId="3" applyAlignment="1" pivotButton="0" quotePrefix="0" xfId="0">
      <alignment vertical="center"/>
    </xf>
    <xf numFmtId="165" fontId="4" fillId="4" borderId="3" applyAlignment="1" pivotButton="0" quotePrefix="0" xfId="0">
      <alignment vertical="center"/>
    </xf>
    <xf numFmtId="165" fontId="4" fillId="37" borderId="3" applyAlignment="1" pivotButton="0" quotePrefix="0" xfId="0">
      <alignment vertical="center"/>
    </xf>
    <xf numFmtId="0" fontId="4" fillId="6" borderId="6" applyAlignment="1" pivotButton="0" quotePrefix="0" xfId="0">
      <alignment vertical="center"/>
    </xf>
    <xf numFmtId="165" fontId="4" fillId="0" borderId="3" applyAlignment="1" pivotButton="0" quotePrefix="0" xfId="0">
      <alignment vertical="center"/>
    </xf>
    <xf numFmtId="0" fontId="4" fillId="6" borderId="2" applyAlignment="1" pivotButton="0" quotePrefix="0" xfId="0">
      <alignment vertical="center"/>
    </xf>
    <xf numFmtId="165" fontId="4" fillId="4" borderId="2" applyAlignment="1" pivotButton="0" quotePrefix="0" xfId="1">
      <alignment vertical="center"/>
    </xf>
    <xf numFmtId="165" fontId="0" fillId="41" borderId="2" applyAlignment="1" pivotButton="0" quotePrefix="0" xfId="1">
      <alignment vertical="center"/>
    </xf>
    <xf numFmtId="165" fontId="0" fillId="41" borderId="3" applyAlignment="1" pivotButton="0" quotePrefix="0" xfId="1">
      <alignment vertical="center"/>
    </xf>
    <xf numFmtId="165" fontId="0" fillId="0" borderId="2" applyAlignment="1" pivotButton="0" quotePrefix="0" xfId="1">
      <alignment vertical="center"/>
    </xf>
    <xf numFmtId="165" fontId="4" fillId="4" borderId="3" applyAlignment="1" pivotButton="0" quotePrefix="0" xfId="1">
      <alignment vertical="center"/>
    </xf>
    <xf numFmtId="165" fontId="0" fillId="0" borderId="3" applyAlignment="1" pivotButton="0" quotePrefix="0" xfId="1">
      <alignment vertical="center"/>
    </xf>
    <xf numFmtId="165" fontId="0" fillId="0" borderId="18" applyAlignment="1" pivotButton="0" quotePrefix="0" xfId="1">
      <alignment vertical="center"/>
    </xf>
    <xf numFmtId="169" fontId="4" fillId="4" borderId="3" applyAlignment="1" pivotButton="0" quotePrefix="0" xfId="2">
      <alignment vertical="center"/>
    </xf>
    <xf numFmtId="169" fontId="0" fillId="41" borderId="3" applyAlignment="1" pivotButton="0" quotePrefix="0" xfId="2">
      <alignment vertical="center"/>
    </xf>
    <xf numFmtId="169" fontId="0" fillId="0" borderId="3" applyAlignment="1" pivotButton="0" quotePrefix="0" xfId="2">
      <alignment vertical="center"/>
    </xf>
    <xf numFmtId="169" fontId="0" fillId="0" borderId="18" applyAlignment="1" pivotButton="0" quotePrefix="0" xfId="2">
      <alignment vertical="center"/>
    </xf>
    <xf numFmtId="165" fontId="0" fillId="41" borderId="1" applyAlignment="1" pivotButton="0" quotePrefix="0" xfId="1">
      <alignment vertical="center"/>
    </xf>
    <xf numFmtId="165" fontId="0" fillId="38" borderId="2" applyAlignment="1" pivotButton="0" quotePrefix="0" xfId="1">
      <alignment vertical="center"/>
    </xf>
    <xf numFmtId="165" fontId="0" fillId="38" borderId="3" applyAlignment="1" pivotButton="0" quotePrefix="0" xfId="1">
      <alignment vertical="center"/>
    </xf>
    <xf numFmtId="169" fontId="0" fillId="38" borderId="3" applyAlignment="1" pivotButton="0" quotePrefix="0" xfId="2">
      <alignment vertical="center"/>
    </xf>
    <xf numFmtId="165" fontId="0" fillId="38" borderId="1" applyAlignment="1" pivotButton="0" quotePrefix="0" xfId="1">
      <alignment vertical="center"/>
    </xf>
    <xf numFmtId="0" fontId="0" fillId="0" borderId="0" applyAlignment="1" pivotButton="0" quotePrefix="0" xfId="0">
      <alignment horizontal="right" vertical="center" wrapText="1"/>
    </xf>
    <xf numFmtId="0" fontId="4" fillId="6" borderId="23" applyAlignment="1" pivotButton="0" quotePrefix="0" xfId="0">
      <alignment vertical="center"/>
    </xf>
    <xf numFmtId="165" fontId="4" fillId="4" borderId="23" applyAlignment="1" pivotButton="0" quotePrefix="0" xfId="1">
      <alignment vertical="center"/>
    </xf>
    <xf numFmtId="165" fontId="0" fillId="38" borderId="23" applyAlignment="1" pivotButton="0" quotePrefix="0" xfId="1">
      <alignment vertical="center"/>
    </xf>
    <xf numFmtId="165" fontId="0" fillId="41" borderId="23" applyAlignment="1" pivotButton="0" quotePrefix="0" xfId="1">
      <alignment vertical="center"/>
    </xf>
    <xf numFmtId="165" fontId="0" fillId="41" borderId="25" applyAlignment="1" pivotButton="0" quotePrefix="0" xfId="1">
      <alignment vertical="center"/>
    </xf>
    <xf numFmtId="165" fontId="0" fillId="41" borderId="2" applyAlignment="1" pivotButton="0" quotePrefix="0" xfId="1">
      <alignment horizontal="right" vertical="center"/>
    </xf>
    <xf numFmtId="9" fontId="0" fillId="0" borderId="0" applyAlignment="1" pivotButton="0" quotePrefix="0" xfId="2">
      <alignment vertical="center"/>
    </xf>
    <xf numFmtId="167" fontId="53" fillId="0" borderId="1" applyAlignment="1" pivotButton="0" quotePrefix="0" xfId="0">
      <alignment horizontal="center" vertical="center"/>
    </xf>
    <xf numFmtId="166" fontId="58" fillId="0" borderId="0" applyAlignment="1" pivotButton="0" quotePrefix="0" xfId="0">
      <alignment vertical="center"/>
    </xf>
    <xf numFmtId="167" fontId="53" fillId="0" borderId="30" applyAlignment="1" pivotButton="0" quotePrefix="0" xfId="0">
      <alignment horizontal="center" vertical="center"/>
    </xf>
    <xf numFmtId="165" fontId="0" fillId="41" borderId="3" applyAlignment="1" pivotButton="0" quotePrefix="0" xfId="1">
      <alignment horizontal="right" vertical="center"/>
    </xf>
    <xf numFmtId="0" fontId="0" fillId="0" borderId="33" pivotButton="0" quotePrefix="0" xfId="0"/>
    <xf numFmtId="0" fontId="0" fillId="0" borderId="34" pivotButton="0" quotePrefix="0" xfId="0"/>
    <xf numFmtId="170" fontId="3" fillId="43" borderId="33" applyAlignment="1" pivotButton="0" quotePrefix="0" xfId="0">
      <alignment horizontal="center"/>
    </xf>
    <xf numFmtId="170" fontId="3" fillId="43" borderId="34" applyAlignment="1" pivotButton="0" quotePrefix="0" xfId="0">
      <alignment horizontal="center"/>
    </xf>
    <xf numFmtId="170" fontId="3" fillId="43" borderId="19" applyAlignment="1" pivotButton="0" quotePrefix="0" xfId="0">
      <alignment horizontal="center"/>
    </xf>
    <xf numFmtId="170" fontId="3" fillId="43" borderId="32" applyAlignment="1" pivotButton="0" quotePrefix="0" xfId="0">
      <alignment horizontal="center"/>
    </xf>
    <xf numFmtId="9" fontId="0" fillId="0" borderId="0" pivotButton="0" quotePrefix="0" xfId="2"/>
    <xf numFmtId="170" fontId="0" fillId="0" borderId="33" pivotButton="0" quotePrefix="0" xfId="0"/>
    <xf numFmtId="170" fontId="0" fillId="0" borderId="34" pivotButton="0" quotePrefix="0" xfId="0"/>
    <xf numFmtId="170" fontId="0" fillId="0" borderId="19" pivotButton="0" quotePrefix="0" xfId="0"/>
    <xf numFmtId="170" fontId="0" fillId="0" borderId="32" pivotButton="0" quotePrefix="0" xfId="0"/>
    <xf numFmtId="2" fontId="0" fillId="0" borderId="32" pivotButton="0" quotePrefix="0" xfId="0"/>
    <xf numFmtId="2" fontId="0" fillId="0" borderId="34" pivotButton="0" quotePrefix="0" xfId="0"/>
    <xf numFmtId="169" fontId="0" fillId="0" borderId="0" pivotButton="0" quotePrefix="0" xfId="2"/>
    <xf numFmtId="170" fontId="57" fillId="0" borderId="33" pivotButton="0" quotePrefix="0" xfId="0"/>
    <xf numFmtId="170" fontId="57" fillId="0" borderId="34" pivotButton="0" quotePrefix="0" xfId="0"/>
    <xf numFmtId="170" fontId="0" fillId="0" borderId="0" pivotButton="0" quotePrefix="0" xfId="0"/>
    <xf numFmtId="0" fontId="59" fillId="38" borderId="0" pivotButton="0" quotePrefix="0" xfId="0"/>
    <xf numFmtId="166" fontId="4" fillId="38" borderId="36" pivotButton="0" quotePrefix="0" xfId="449"/>
    <xf numFmtId="0" fontId="4" fillId="44" borderId="0" pivotButton="0" quotePrefix="0" xfId="0"/>
    <xf numFmtId="0" fontId="0" fillId="0" borderId="16" pivotButton="0" quotePrefix="0" xfId="0"/>
    <xf numFmtId="166" fontId="0" fillId="0" borderId="3" pivotButton="0" quotePrefix="0" xfId="449"/>
    <xf numFmtId="166" fontId="0" fillId="0" borderId="3" pivotButton="0" quotePrefix="0" xfId="449"/>
    <xf numFmtId="0" fontId="0" fillId="0" borderId="3" pivotButton="0" quotePrefix="0" xfId="0"/>
    <xf numFmtId="171" fontId="0" fillId="0" borderId="3" applyAlignment="1" pivotButton="0" quotePrefix="0" xfId="1">
      <alignment horizontal="right"/>
    </xf>
    <xf numFmtId="171" fontId="0" fillId="0" borderId="3" pivotButton="0" quotePrefix="0" xfId="0"/>
    <xf numFmtId="171" fontId="0" fillId="0" borderId="37" pivotButton="0" quotePrefix="0" xfId="0"/>
    <xf numFmtId="172" fontId="0" fillId="0" borderId="3" pivotButton="0" quotePrefix="0" xfId="0"/>
    <xf numFmtId="172" fontId="0" fillId="0" borderId="37" pivotButton="0" quotePrefix="0" xfId="0"/>
    <xf numFmtId="171" fontId="0" fillId="0" borderId="3" pivotButton="0" quotePrefix="0" xfId="1"/>
    <xf numFmtId="171" fontId="0" fillId="37" borderId="3" applyAlignment="1" pivotButton="0" quotePrefix="0" xfId="0">
      <alignment horizontal="center" vertical="center"/>
    </xf>
    <xf numFmtId="171" fontId="56" fillId="45" borderId="3" applyAlignment="1" pivotButton="0" quotePrefix="0" xfId="0">
      <alignment horizontal="right" vertical="center"/>
    </xf>
    <xf numFmtId="172" fontId="4" fillId="0" borderId="3" pivotButton="0" quotePrefix="0" xfId="0"/>
    <xf numFmtId="4" fontId="0" fillId="0" borderId="3" pivotButton="0" quotePrefix="0" xfId="0"/>
    <xf numFmtId="0" fontId="4" fillId="46" borderId="0" applyAlignment="1" pivotButton="0" quotePrefix="0" xfId="0">
      <alignment horizontal="left" vertical="center"/>
    </xf>
    <xf numFmtId="0" fontId="0" fillId="0" borderId="0" applyAlignment="1" pivotButton="0" quotePrefix="0" xfId="0">
      <alignment horizontal="center"/>
    </xf>
    <xf numFmtId="0" fontId="0" fillId="0" borderId="3" applyAlignment="1" pivotButton="0" quotePrefix="0" xfId="0">
      <alignment horizontal="left" vertical="center"/>
    </xf>
    <xf numFmtId="0" fontId="4" fillId="41" borderId="0" applyAlignment="1" pivotButton="0" quotePrefix="0" xfId="0">
      <alignment horizontal="left" vertical="center"/>
    </xf>
    <xf numFmtId="172" fontId="0" fillId="0" borderId="0" pivotButton="0" quotePrefix="0" xfId="0"/>
    <xf numFmtId="0" fontId="4" fillId="47" borderId="0" applyAlignment="1" pivotButton="0" quotePrefix="0" xfId="0">
      <alignment horizontal="left" vertical="center"/>
    </xf>
    <xf numFmtId="0" fontId="0" fillId="47" borderId="0" applyAlignment="1" pivotButton="0" quotePrefix="0" xfId="0">
      <alignment horizontal="center"/>
    </xf>
    <xf numFmtId="166" fontId="4" fillId="41" borderId="0" pivotButton="0" quotePrefix="0" xfId="449"/>
    <xf numFmtId="4" fontId="0" fillId="0" borderId="0" pivotButton="0" quotePrefix="0" xfId="0"/>
    <xf numFmtId="0" fontId="3" fillId="48" borderId="16" applyAlignment="1" pivotButton="0" quotePrefix="0" xfId="0">
      <alignment horizontal="center" vertical="center"/>
    </xf>
    <xf numFmtId="170" fontId="0" fillId="11" borderId="33" pivotButton="0" quotePrefix="0" xfId="0"/>
    <xf numFmtId="0" fontId="0" fillId="0" borderId="0" applyAlignment="1" pivotButton="1" quotePrefix="0" xfId="0">
      <alignment vertical="center"/>
    </xf>
    <xf numFmtId="49" fontId="0" fillId="0" borderId="0" applyAlignment="1" pivotButton="0" quotePrefix="0" xfId="0">
      <alignment vertical="center"/>
    </xf>
    <xf numFmtId="166" fontId="0" fillId="0" borderId="0" applyAlignment="1" pivotButton="0" quotePrefix="0" xfId="449">
      <alignment vertical="center"/>
    </xf>
    <xf numFmtId="0" fontId="0" fillId="0" borderId="0" applyAlignment="1" pivotButton="0" quotePrefix="0" xfId="0">
      <alignment horizontal="left" vertical="center"/>
    </xf>
    <xf numFmtId="166" fontId="0" fillId="0" borderId="0" applyAlignment="1" pivotButton="0" quotePrefix="0" xfId="0">
      <alignment vertical="center"/>
    </xf>
    <xf numFmtId="49" fontId="0" fillId="0" borderId="0" applyAlignment="1" pivotButton="0" quotePrefix="0" xfId="0">
      <alignment vertical="center" wrapText="1"/>
    </xf>
    <xf numFmtId="3" fontId="0" fillId="0" borderId="0" applyAlignment="1" pivotButton="0" quotePrefix="0" xfId="0">
      <alignment vertical="center"/>
    </xf>
    <xf numFmtId="0" fontId="0" fillId="0" borderId="0" applyAlignment="1" pivotButton="0" quotePrefix="0" xfId="0">
      <alignment vertical="center" wrapText="1"/>
    </xf>
    <xf numFmtId="3" fontId="0" fillId="0" borderId="0" applyAlignment="1" pivotButton="0" quotePrefix="0" xfId="0">
      <alignment vertical="center" wrapText="1"/>
    </xf>
    <xf numFmtId="171" fontId="0" fillId="0" borderId="0" pivotButton="0" quotePrefix="0" xfId="0"/>
    <xf numFmtId="0" fontId="4" fillId="0" borderId="0" pivotButton="0" quotePrefix="0" xfId="0"/>
    <xf numFmtId="2" fontId="0" fillId="0" borderId="0" pivotButton="0" quotePrefix="0" xfId="0"/>
    <xf numFmtId="166" fontId="0" fillId="41" borderId="28" applyAlignment="1" pivotButton="0" quotePrefix="0" xfId="449">
      <alignment horizontal="right" vertical="center"/>
    </xf>
    <xf numFmtId="2" fontId="0" fillId="0" borderId="33" pivotButton="0" quotePrefix="0" xfId="0"/>
    <xf numFmtId="170" fontId="0" fillId="11" borderId="34" pivotButton="0" quotePrefix="0" xfId="0"/>
    <xf numFmtId="0" fontId="0" fillId="0" borderId="0" applyAlignment="1" pivotButton="0" quotePrefix="0" xfId="0">
      <alignment horizontal="center" vertical="center"/>
    </xf>
    <xf numFmtId="0" fontId="61" fillId="0" borderId="0" pivotButton="0" quotePrefix="0" xfId="0"/>
    <xf numFmtId="166" fontId="0" fillId="41" borderId="29" applyAlignment="1" pivotButton="0" quotePrefix="0" xfId="449">
      <alignment vertical="center"/>
    </xf>
    <xf numFmtId="166" fontId="0" fillId="0" borderId="3" pivotButton="0" quotePrefix="0" xfId="0"/>
    <xf numFmtId="173" fontId="55" fillId="0" borderId="0" pivotButton="0" quotePrefix="0" xfId="0"/>
    <xf numFmtId="173" fontId="60" fillId="0" borderId="0" pivotButton="0" quotePrefix="0" xfId="0"/>
    <xf numFmtId="4" fontId="60" fillId="0" borderId="0" pivotButton="0" quotePrefix="0" xfId="0"/>
    <xf numFmtId="166" fontId="0" fillId="0" borderId="31" pivotButton="0" quotePrefix="0" xfId="0"/>
    <xf numFmtId="166" fontId="0" fillId="0" borderId="0" pivotButton="0" quotePrefix="0" xfId="449"/>
    <xf numFmtId="171" fontId="56" fillId="45" borderId="0" applyAlignment="1" pivotButton="0" quotePrefix="0" xfId="0">
      <alignment horizontal="right" vertical="center"/>
    </xf>
    <xf numFmtId="171" fontId="0" fillId="37" borderId="0" applyAlignment="1" pivotButton="0" quotePrefix="0" xfId="0">
      <alignment horizontal="center" vertical="center"/>
    </xf>
    <xf numFmtId="166" fontId="0" fillId="38" borderId="25" applyAlignment="1" pivotButton="0" quotePrefix="0" xfId="449">
      <alignment vertical="center"/>
    </xf>
    <xf numFmtId="166" fontId="0" fillId="0" borderId="0" pivotButton="0" quotePrefix="0" xfId="449"/>
    <xf numFmtId="173" fontId="0" fillId="0" borderId="0" applyAlignment="1" pivotButton="0" quotePrefix="0" xfId="0">
      <alignment vertical="center"/>
    </xf>
    <xf numFmtId="166" fontId="0" fillId="0" borderId="0" applyAlignment="1" pivotButton="0" quotePrefix="0" xfId="449">
      <alignment vertical="center"/>
    </xf>
    <xf numFmtId="173" fontId="0" fillId="0" borderId="0" applyAlignment="1" pivotButton="0" quotePrefix="0" xfId="449">
      <alignment vertical="center"/>
    </xf>
    <xf numFmtId="17" fontId="63" fillId="0" borderId="0" applyAlignment="1" pivotButton="0" quotePrefix="0" xfId="0">
      <alignment horizontal="center" vertical="center"/>
    </xf>
    <xf numFmtId="171" fontId="0" fillId="0" borderId="0" applyAlignment="1" pivotButton="0" quotePrefix="0" xfId="0">
      <alignment horizontal="center"/>
    </xf>
    <xf numFmtId="0" fontId="0" fillId="42" borderId="0" applyAlignment="1" pivotButton="0" quotePrefix="0" xfId="0">
      <alignment vertical="center"/>
    </xf>
    <xf numFmtId="0" fontId="62" fillId="0" borderId="0" applyAlignment="1" pivotButton="0" quotePrefix="0" xfId="0">
      <alignment horizontal="center" vertical="center" wrapText="1"/>
    </xf>
    <xf numFmtId="0" fontId="62" fillId="0" borderId="0" applyAlignment="1" pivotButton="0" quotePrefix="0" xfId="0">
      <alignment vertical="center" wrapText="1"/>
    </xf>
    <xf numFmtId="4" fontId="64" fillId="0" borderId="0" pivotButton="0" quotePrefix="0" xfId="0"/>
    <xf numFmtId="173" fontId="0" fillId="0" borderId="0" applyAlignment="1" pivotButton="0" quotePrefix="0" xfId="449">
      <alignment vertical="center"/>
    </xf>
    <xf numFmtId="166" fontId="4" fillId="38" borderId="6" pivotButton="0" quotePrefix="0" xfId="449"/>
    <xf numFmtId="0" fontId="0" fillId="40" borderId="3" applyAlignment="1" pivotButton="0" quotePrefix="0" xfId="0">
      <alignment vertical="center" wrapText="1"/>
    </xf>
    <xf numFmtId="0" fontId="67" fillId="0" borderId="0" pivotButton="0" quotePrefix="0" xfId="0"/>
    <xf numFmtId="4" fontId="0" fillId="38" borderId="0" pivotButton="0" quotePrefix="0" xfId="0"/>
    <xf numFmtId="166" fontId="0" fillId="38" borderId="24" applyAlignment="1" pivotButton="0" quotePrefix="0" xfId="449">
      <alignment vertical="center"/>
    </xf>
    <xf numFmtId="3" fontId="0" fillId="0" borderId="0" pivotButton="0" quotePrefix="0" xfId="0"/>
    <xf numFmtId="173" fontId="0" fillId="0" borderId="0" pivotButton="0" quotePrefix="0" xfId="0"/>
    <xf numFmtId="166" fontId="0" fillId="0" borderId="0" pivotButton="0" quotePrefix="0" xfId="449"/>
    <xf numFmtId="164" fontId="0" fillId="0" borderId="3" applyAlignment="1" pivotButton="0" quotePrefix="0" xfId="0">
      <alignment vertical="center" wrapText="1"/>
    </xf>
    <xf numFmtId="0" fontId="58" fillId="0" borderId="0" applyAlignment="1" pivotButton="0" quotePrefix="0" xfId="0">
      <alignment vertical="center"/>
    </xf>
    <xf numFmtId="170" fontId="58" fillId="0" borderId="0" applyAlignment="1" pivotButton="0" quotePrefix="0" xfId="0">
      <alignment horizontal="center" vertical="center"/>
    </xf>
    <xf numFmtId="166" fontId="4" fillId="0" borderId="0" pivotButton="0" quotePrefix="0" xfId="449"/>
    <xf numFmtId="172" fontId="4" fillId="0" borderId="0" pivotButton="0" quotePrefix="0" xfId="0"/>
    <xf numFmtId="0" fontId="4" fillId="44" borderId="0" applyAlignment="1" pivotButton="0" quotePrefix="0" xfId="0">
      <alignment horizontal="center"/>
    </xf>
    <xf numFmtId="0" fontId="4" fillId="46" borderId="0" applyAlignment="1" pivotButton="0" quotePrefix="0" xfId="0">
      <alignment horizontal="center"/>
    </xf>
    <xf numFmtId="0" fontId="4" fillId="47" borderId="0" applyAlignment="1" pivotButton="0" quotePrefix="0" xfId="0">
      <alignment horizontal="center"/>
    </xf>
    <xf numFmtId="165" fontId="0" fillId="38" borderId="42" applyAlignment="1" pivotButton="0" quotePrefix="0" xfId="1">
      <alignment vertical="center"/>
    </xf>
    <xf numFmtId="165" fontId="0" fillId="38" borderId="16" applyAlignment="1" pivotButton="0" quotePrefix="0" xfId="1">
      <alignment vertical="center"/>
    </xf>
    <xf numFmtId="165" fontId="0" fillId="38" borderId="35" applyAlignment="1" pivotButton="0" quotePrefix="0" xfId="1">
      <alignment vertical="center"/>
    </xf>
    <xf numFmtId="169" fontId="0" fillId="38" borderId="16" applyAlignment="1" pivotButton="0" quotePrefix="0" xfId="2">
      <alignment vertical="center"/>
    </xf>
    <xf numFmtId="165" fontId="0" fillId="38" borderId="19" applyAlignment="1" pivotButton="0" quotePrefix="0" xfId="1">
      <alignment vertical="center"/>
    </xf>
    <xf numFmtId="165" fontId="0" fillId="38" borderId="20" applyAlignment="1" pivotButton="0" quotePrefix="0" xfId="1">
      <alignment vertical="center"/>
    </xf>
    <xf numFmtId="165" fontId="0" fillId="38" borderId="21" applyAlignment="1" pivotButton="0" quotePrefix="0" xfId="1">
      <alignment vertical="center"/>
    </xf>
    <xf numFmtId="169" fontId="0" fillId="38" borderId="21" applyAlignment="1" pivotButton="0" quotePrefix="0" xfId="2">
      <alignment vertical="center"/>
    </xf>
    <xf numFmtId="165" fontId="0" fillId="38" borderId="41" applyAlignment="1" pivotButton="0" quotePrefix="0" xfId="1">
      <alignment vertical="center"/>
    </xf>
    <xf numFmtId="165" fontId="0" fillId="0" borderId="38" applyAlignment="1" pivotButton="0" quotePrefix="0" xfId="1">
      <alignment vertical="center"/>
    </xf>
    <xf numFmtId="165" fontId="0" fillId="0" borderId="39" applyAlignment="1" pivotButton="0" quotePrefix="0" xfId="1">
      <alignment vertical="center"/>
    </xf>
    <xf numFmtId="165" fontId="0" fillId="38" borderId="22" applyAlignment="1" pivotButton="0" quotePrefix="0" xfId="1">
      <alignment vertical="center"/>
    </xf>
    <xf numFmtId="165" fontId="0" fillId="38" borderId="24" applyAlignment="1" pivotButton="0" quotePrefix="0" xfId="1">
      <alignment vertical="center"/>
    </xf>
    <xf numFmtId="0" fontId="0" fillId="0" borderId="23" applyAlignment="1" pivotButton="0" quotePrefix="0" xfId="0">
      <alignment horizontal="left" vertical="center" wrapText="1"/>
    </xf>
    <xf numFmtId="165" fontId="0" fillId="0" borderId="0" applyAlignment="1" pivotButton="0" quotePrefix="0" xfId="0">
      <alignment vertical="center"/>
    </xf>
    <xf numFmtId="173" fontId="0" fillId="0" borderId="0" pivotButton="0" quotePrefix="0" xfId="449"/>
    <xf numFmtId="170" fontId="3" fillId="43" borderId="0" applyAlignment="1" pivotButton="0" quotePrefix="0" xfId="0">
      <alignment horizontal="center"/>
    </xf>
    <xf numFmtId="170" fontId="0" fillId="0" borderId="44" pivotButton="0" quotePrefix="0" xfId="0"/>
    <xf numFmtId="166" fontId="0" fillId="0" borderId="0" applyAlignment="1" pivotButton="0" quotePrefix="0" xfId="449">
      <alignment vertical="center"/>
    </xf>
    <xf numFmtId="2" fontId="0" fillId="0" borderId="34" applyAlignment="1" pivotButton="0" quotePrefix="0" xfId="449">
      <alignment horizontal="right"/>
    </xf>
    <xf numFmtId="9" fontId="0" fillId="0" borderId="0" applyAlignment="1" pivotButton="0" quotePrefix="0" xfId="0">
      <alignment vertical="center"/>
    </xf>
    <xf numFmtId="0" fontId="68" fillId="0" borderId="0" pivotButton="0" quotePrefix="0" xfId="0"/>
    <xf numFmtId="165" fontId="0" fillId="38" borderId="6" applyAlignment="1" pivotButton="0" quotePrefix="0" xfId="1">
      <alignment vertical="center"/>
    </xf>
    <xf numFmtId="165" fontId="0" fillId="38" borderId="38" applyAlignment="1" pivotButton="0" quotePrefix="0" xfId="1">
      <alignment vertical="center"/>
    </xf>
    <xf numFmtId="171" fontId="0" fillId="0" borderId="0" pivotButton="0" quotePrefix="0" xfId="1"/>
    <xf numFmtId="0" fontId="3" fillId="43" borderId="19" applyAlignment="1" pivotButton="0" quotePrefix="0" xfId="0">
      <alignment horizontal="center"/>
    </xf>
    <xf numFmtId="0" fontId="3" fillId="43" borderId="32" applyAlignment="1" pivotButton="0" quotePrefix="0" xfId="0">
      <alignment horizontal="center"/>
    </xf>
    <xf numFmtId="171" fontId="58" fillId="0" borderId="0" applyAlignment="1" pivotButton="0" quotePrefix="0" xfId="0">
      <alignment vertical="center"/>
    </xf>
    <xf numFmtId="0" fontId="0" fillId="0" borderId="0" applyAlignment="1" pivotButton="0" quotePrefix="0" xfId="0">
      <alignment wrapText="1"/>
    </xf>
    <xf numFmtId="165" fontId="0" fillId="0" borderId="18" applyAlignment="1" pivotButton="0" quotePrefix="0" xfId="1">
      <alignment vertical="center"/>
    </xf>
    <xf numFmtId="173" fontId="0" fillId="0" borderId="0" pivotButton="0" quotePrefix="0" xfId="449"/>
    <xf numFmtId="165" fontId="0" fillId="0" borderId="16" applyAlignment="1" pivotButton="0" quotePrefix="0" xfId="1">
      <alignment vertical="center"/>
    </xf>
    <xf numFmtId="165" fontId="0" fillId="0" borderId="21" applyAlignment="1" pivotButton="0" quotePrefix="0" xfId="1">
      <alignment vertical="center"/>
    </xf>
    <xf numFmtId="169" fontId="0" fillId="0" borderId="21" applyAlignment="1" pivotButton="0" quotePrefix="0" xfId="2">
      <alignment vertical="center"/>
    </xf>
    <xf numFmtId="165" fontId="0" fillId="0" borderId="41" applyAlignment="1" pivotButton="0" quotePrefix="0" xfId="1">
      <alignment vertical="center"/>
    </xf>
    <xf numFmtId="165" fontId="0" fillId="38" borderId="45" applyAlignment="1" pivotButton="0" quotePrefix="0" xfId="1">
      <alignment vertical="center"/>
    </xf>
    <xf numFmtId="165" fontId="0" fillId="0" borderId="25" applyAlignment="1" pivotButton="0" quotePrefix="0" xfId="1">
      <alignment vertical="center"/>
    </xf>
    <xf numFmtId="165" fontId="0" fillId="38" borderId="25" applyAlignment="1" pivotButton="0" quotePrefix="0" xfId="1">
      <alignment vertical="center"/>
    </xf>
    <xf numFmtId="166" fontId="0" fillId="0" borderId="0" applyAlignment="1" pivotButton="0" quotePrefix="0" xfId="0">
      <alignment vertical="center" wrapText="1"/>
    </xf>
    <xf numFmtId="173" fontId="0" fillId="0" borderId="3" applyAlignment="1" pivotButton="0" quotePrefix="0" xfId="0">
      <alignment vertical="center" wrapText="1"/>
    </xf>
    <xf numFmtId="166" fontId="0" fillId="42" borderId="0" applyAlignment="1" pivotButton="0" quotePrefix="0" xfId="0">
      <alignment vertical="center"/>
    </xf>
    <xf numFmtId="173" fontId="0" fillId="38" borderId="20" applyAlignment="1" pivotButton="0" quotePrefix="0" xfId="1">
      <alignment vertical="center"/>
    </xf>
    <xf numFmtId="0" fontId="0" fillId="0" borderId="0" applyAlignment="1" pivotButton="0" quotePrefix="0" xfId="449">
      <alignment horizontal="left" vertical="center"/>
    </xf>
    <xf numFmtId="173" fontId="0" fillId="0" borderId="3" applyAlignment="1" pivotButton="0" quotePrefix="0" xfId="0">
      <alignment wrapText="1"/>
    </xf>
    <xf numFmtId="166" fontId="0" fillId="0" borderId="3" applyAlignment="1" pivotButton="0" quotePrefix="0" xfId="449">
      <alignment vertical="center"/>
    </xf>
    <xf numFmtId="49" fontId="0" fillId="0" borderId="0" applyAlignment="1" pivotButton="0" quotePrefix="0" xfId="0">
      <alignment horizontal="left" vertical="center"/>
    </xf>
    <xf numFmtId="49" fontId="0" fillId="0" borderId="0" applyAlignment="1" pivotButton="0" quotePrefix="0" xfId="449">
      <alignment vertical="center"/>
    </xf>
    <xf numFmtId="49" fontId="0" fillId="0" borderId="0" applyAlignment="1" pivotButton="0" quotePrefix="0" xfId="449">
      <alignment vertical="center"/>
    </xf>
    <xf numFmtId="49" fontId="67" fillId="0" borderId="0" applyAlignment="1" pivotButton="0" quotePrefix="0" xfId="0">
      <alignment vertical="center"/>
    </xf>
    <xf numFmtId="166" fontId="4" fillId="0" borderId="0" pivotButton="0" quotePrefix="0" xfId="449"/>
    <xf numFmtId="2" fontId="0" fillId="0" borderId="34" applyAlignment="1" pivotButton="0" quotePrefix="0" xfId="449">
      <alignment horizontal="right"/>
    </xf>
    <xf numFmtId="0" fontId="4" fillId="6" borderId="38" applyAlignment="1" pivotButton="0" quotePrefix="0" xfId="0">
      <alignment vertical="center"/>
    </xf>
    <xf numFmtId="165" fontId="4" fillId="4" borderId="38" applyAlignment="1" pivotButton="0" quotePrefix="0" xfId="1">
      <alignment vertical="center"/>
    </xf>
    <xf numFmtId="165" fontId="0" fillId="38" borderId="46" applyAlignment="1" pivotButton="0" quotePrefix="0" xfId="1">
      <alignment vertical="center"/>
    </xf>
    <xf numFmtId="165" fontId="0" fillId="0" borderId="47" applyAlignment="1" pivotButton="0" quotePrefix="0" xfId="1">
      <alignment vertical="center"/>
    </xf>
    <xf numFmtId="2" fontId="0" fillId="0" borderId="3" pivotButton="0" quotePrefix="0" xfId="449"/>
    <xf numFmtId="170" fontId="0" fillId="42" borderId="33" pivotButton="0" quotePrefix="0" xfId="0"/>
    <xf numFmtId="167" fontId="69" fillId="5" borderId="3" applyAlignment="1" pivotButton="0" quotePrefix="0" xfId="0">
      <alignment horizontal="center" vertical="center"/>
    </xf>
    <xf numFmtId="0" fontId="8" fillId="0" borderId="0" pivotButton="0" quotePrefix="0" xfId="0"/>
    <xf numFmtId="166" fontId="0" fillId="0" borderId="0" applyAlignment="1" pivotButton="0" quotePrefix="0" xfId="449">
      <alignment horizontal="center" vertical="center"/>
    </xf>
    <xf numFmtId="0" fontId="4" fillId="0" borderId="19" applyAlignment="1" pivotButton="0" quotePrefix="0" xfId="0">
      <alignment horizontal="center" vertical="center"/>
    </xf>
    <xf numFmtId="167" fontId="53" fillId="0" borderId="16" applyAlignment="1" pivotButton="0" quotePrefix="0" xfId="0">
      <alignment horizontal="center" vertical="center"/>
    </xf>
    <xf numFmtId="167" fontId="53" fillId="0" borderId="19" applyAlignment="1" pivotButton="0" quotePrefix="0" xfId="0">
      <alignment horizontal="center" vertical="center"/>
    </xf>
    <xf numFmtId="167" fontId="69" fillId="5" borderId="6" applyAlignment="1" pivotButton="0" quotePrefix="0" xfId="0">
      <alignment horizontal="center" vertical="center"/>
    </xf>
    <xf numFmtId="170" fontId="0" fillId="0" borderId="3" pivotButton="0" quotePrefix="0" xfId="0"/>
    <xf numFmtId="170" fontId="0" fillId="47" borderId="0" applyAlignment="1" pivotButton="0" quotePrefix="0" xfId="0">
      <alignment horizontal="center"/>
    </xf>
    <xf numFmtId="165" fontId="0" fillId="38" borderId="51" applyAlignment="1" pivotButton="0" quotePrefix="0" xfId="1">
      <alignment vertical="center"/>
    </xf>
    <xf numFmtId="0" fontId="3" fillId="48" borderId="19" applyAlignment="1" pivotButton="0" quotePrefix="0" xfId="0">
      <alignment horizontal="center"/>
    </xf>
    <xf numFmtId="0" fontId="0" fillId="0" borderId="0" applyAlignment="1" pivotButton="0" quotePrefix="0" xfId="0">
      <alignment horizontal="left" vertical="center" wrapText="1"/>
    </xf>
    <xf numFmtId="165" fontId="0" fillId="38" borderId="52" applyAlignment="1" pivotButton="0" quotePrefix="0" xfId="1">
      <alignment vertical="center"/>
    </xf>
    <xf numFmtId="166" fontId="4" fillId="38" borderId="30" pivotButton="0" quotePrefix="0" xfId="449"/>
    <xf numFmtId="2" fontId="0" fillId="0" borderId="0" applyAlignment="1" pivotButton="0" quotePrefix="0" xfId="0">
      <alignment vertical="center"/>
    </xf>
    <xf numFmtId="2" fontId="0" fillId="0" borderId="3" applyAlignment="1" pivotButton="0" quotePrefix="0" xfId="0">
      <alignment horizontal="center" vertical="center"/>
    </xf>
    <xf numFmtId="49" fontId="0" fillId="0" borderId="1" applyAlignment="1" pivotButton="0" quotePrefix="0" xfId="0">
      <alignment vertical="center"/>
    </xf>
    <xf numFmtId="164" fontId="0" fillId="0" borderId="1" applyAlignment="1" pivotButton="0" quotePrefix="0" xfId="0">
      <alignment horizontal="center" vertical="center"/>
    </xf>
    <xf numFmtId="164" fontId="52" fillId="0" borderId="1" applyAlignment="1" pivotButton="0" quotePrefix="0" xfId="0">
      <alignment horizontal="center" vertical="center"/>
    </xf>
    <xf numFmtId="2" fontId="0" fillId="0" borderId="1" applyAlignment="1" pivotButton="0" quotePrefix="0" xfId="0">
      <alignment horizontal="center" vertical="center"/>
    </xf>
    <xf numFmtId="9" fontId="4" fillId="0" borderId="3" applyAlignment="1" pivotButton="0" quotePrefix="0" xfId="2">
      <alignment horizontal="center" vertical="center"/>
    </xf>
    <xf numFmtId="0" fontId="3" fillId="5" borderId="43" applyAlignment="1" pivotButton="0" quotePrefix="0" xfId="0">
      <alignment horizontal="center" vertical="center"/>
    </xf>
    <xf numFmtId="0" fontId="4" fillId="0" borderId="28" applyAlignment="1" pivotButton="0" quotePrefix="0" xfId="0">
      <alignment vertical="center"/>
    </xf>
    <xf numFmtId="0" fontId="0" fillId="0" borderId="28" applyAlignment="1" pivotButton="0" quotePrefix="0" xfId="0">
      <alignment vertical="center"/>
    </xf>
    <xf numFmtId="173" fontId="58" fillId="0" borderId="0" applyAlignment="1" pivotButton="0" quotePrefix="0" xfId="0">
      <alignment vertical="center"/>
    </xf>
    <xf numFmtId="0" fontId="0" fillId="0" borderId="1" applyAlignment="1" pivotButton="0" quotePrefix="0" xfId="0">
      <alignment vertical="center" wrapText="1"/>
    </xf>
    <xf numFmtId="1" fontId="0" fillId="0" borderId="3" applyAlignment="1" pivotButton="0" quotePrefix="0" xfId="0">
      <alignment horizontal="center" vertical="center"/>
    </xf>
    <xf numFmtId="2" fontId="0" fillId="0" borderId="3" pivotButton="0" quotePrefix="0" xfId="449"/>
    <xf numFmtId="2" fontId="1" fillId="0" borderId="3" pivotButton="0" quotePrefix="0" xfId="449"/>
    <xf numFmtId="0" fontId="8" fillId="52" borderId="3" pivotButton="0" quotePrefix="0" xfId="0"/>
    <xf numFmtId="0" fontId="0" fillId="53" borderId="0" pivotButton="0" quotePrefix="0" xfId="0"/>
    <xf numFmtId="172" fontId="4" fillId="53" borderId="0" pivotButton="0" quotePrefix="0" xfId="0"/>
    <xf numFmtId="172" fontId="0" fillId="53" borderId="0" pivotButton="0" quotePrefix="0" xfId="0"/>
    <xf numFmtId="172" fontId="4" fillId="53" borderId="1" pivotButton="0" quotePrefix="0" xfId="0"/>
    <xf numFmtId="166" fontId="4" fillId="0" borderId="3" pivotButton="0" quotePrefix="0" xfId="449"/>
    <xf numFmtId="170" fontId="4" fillId="0" borderId="0" pivotButton="0" quotePrefix="0" xfId="0"/>
    <xf numFmtId="165" fontId="0" fillId="38" borderId="17" applyAlignment="1" pivotButton="0" quotePrefix="0" xfId="1">
      <alignment vertical="center"/>
    </xf>
    <xf numFmtId="165" fontId="0" fillId="38" borderId="18" applyAlignment="1" pivotButton="0" quotePrefix="0" xfId="1">
      <alignment vertical="center"/>
    </xf>
    <xf numFmtId="169" fontId="0" fillId="38" borderId="18" applyAlignment="1" pivotButton="0" quotePrefix="0" xfId="2">
      <alignment vertical="center"/>
    </xf>
    <xf numFmtId="165" fontId="0" fillId="38" borderId="50" applyAlignment="1" pivotButton="0" quotePrefix="0" xfId="1">
      <alignment vertical="center"/>
    </xf>
    <xf numFmtId="165" fontId="0" fillId="38" borderId="39" applyAlignment="1" pivotButton="0" quotePrefix="0" xfId="1">
      <alignment vertical="center"/>
    </xf>
    <xf numFmtId="165" fontId="0" fillId="38" borderId="53" applyAlignment="1" pivotButton="0" quotePrefix="0" xfId="1">
      <alignment vertical="center"/>
    </xf>
    <xf numFmtId="0" fontId="0" fillId="40" borderId="1" applyAlignment="1" pivotButton="0" quotePrefix="0" xfId="0">
      <alignment vertical="center"/>
    </xf>
    <xf numFmtId="0" fontId="0" fillId="52" borderId="3" applyAlignment="1" pivotButton="0" quotePrefix="1" xfId="0">
      <alignment wrapText="1"/>
    </xf>
    <xf numFmtId="166" fontId="0" fillId="52" borderId="3" pivotButton="0" quotePrefix="0" xfId="449"/>
    <xf numFmtId="0" fontId="0" fillId="52" borderId="3" pivotButton="0" quotePrefix="0" xfId="0"/>
    <xf numFmtId="166" fontId="0" fillId="42" borderId="3" pivotButton="0" quotePrefix="0" xfId="449"/>
    <xf numFmtId="0" fontId="0" fillId="0" borderId="3" applyAlignment="1" pivotButton="0" quotePrefix="0" xfId="0">
      <alignment horizontal="center"/>
    </xf>
    <xf numFmtId="0" fontId="4" fillId="42" borderId="3" applyAlignment="1" pivotButton="0" quotePrefix="0" xfId="0">
      <alignment vertical="center"/>
    </xf>
    <xf numFmtId="0" fontId="0" fillId="42" borderId="3" applyAlignment="1" pivotButton="0" quotePrefix="0" xfId="0">
      <alignment vertical="center"/>
    </xf>
    <xf numFmtId="166" fontId="0" fillId="42" borderId="3" applyAlignment="1" pivotButton="0" quotePrefix="0" xfId="449">
      <alignment vertical="center"/>
    </xf>
    <xf numFmtId="0" fontId="0" fillId="42" borderId="3" applyAlignment="1" pivotButton="0" quotePrefix="1" xfId="0">
      <alignment vertical="center" wrapText="1"/>
    </xf>
    <xf numFmtId="0" fontId="4" fillId="52" borderId="3" applyAlignment="1" pivotButton="0" quotePrefix="0" xfId="0">
      <alignment vertical="center" wrapText="1"/>
    </xf>
    <xf numFmtId="173" fontId="70" fillId="0" borderId="0" pivotButton="0" quotePrefix="0" xfId="0"/>
    <xf numFmtId="0" fontId="0" fillId="40" borderId="3" applyAlignment="1" pivotButton="0" quotePrefix="0" xfId="0">
      <alignment horizontal="left" vertical="center"/>
    </xf>
    <xf numFmtId="0" fontId="0" fillId="0" borderId="1" applyAlignment="1" pivotButton="0" quotePrefix="0" xfId="0">
      <alignment vertical="center"/>
    </xf>
    <xf numFmtId="0" fontId="0" fillId="53" borderId="1" pivotButton="0" quotePrefix="0" xfId="0"/>
    <xf numFmtId="0" fontId="71" fillId="0" borderId="0" pivotButton="0" quotePrefix="0" xfId="0"/>
    <xf numFmtId="4" fontId="0" fillId="0" borderId="0" applyAlignment="1" pivotButton="0" quotePrefix="0" xfId="0">
      <alignment vertical="center"/>
    </xf>
    <xf numFmtId="165" fontId="0" fillId="54" borderId="48" applyAlignment="1" pivotButton="0" quotePrefix="0" xfId="1">
      <alignment vertical="center"/>
    </xf>
    <xf numFmtId="165" fontId="0" fillId="54" borderId="18" applyAlignment="1" pivotButton="0" quotePrefix="0" xfId="1">
      <alignment vertical="center"/>
    </xf>
    <xf numFmtId="165" fontId="0" fillId="54" borderId="37" applyAlignment="1" pivotButton="0" quotePrefix="0" xfId="1">
      <alignment vertical="center"/>
    </xf>
    <xf numFmtId="169" fontId="0" fillId="54" borderId="37" applyAlignment="1" pivotButton="0" quotePrefix="0" xfId="2">
      <alignment vertical="center"/>
    </xf>
    <xf numFmtId="165" fontId="0" fillId="54" borderId="49" applyAlignment="1" pivotButton="0" quotePrefix="0" xfId="1">
      <alignment vertical="center"/>
    </xf>
    <xf numFmtId="165" fontId="0" fillId="54" borderId="43" applyAlignment="1" pivotButton="0" quotePrefix="0" xfId="1">
      <alignment vertical="center"/>
    </xf>
    <xf numFmtId="165" fontId="0" fillId="54" borderId="40" applyAlignment="1" pivotButton="0" quotePrefix="0" xfId="1">
      <alignment vertical="center"/>
    </xf>
    <xf numFmtId="0" fontId="4" fillId="0" borderId="16" applyAlignment="1" pivotButton="0" quotePrefix="0" xfId="0">
      <alignment horizontal="center" vertical="center"/>
    </xf>
    <xf numFmtId="0" fontId="60" fillId="0" borderId="0" pivotButton="0" quotePrefix="0" xfId="0"/>
    <xf numFmtId="174" fontId="0" fillId="0" borderId="0" applyAlignment="1" pivotButton="0" quotePrefix="0" xfId="0">
      <alignment vertical="center"/>
    </xf>
    <xf numFmtId="165" fontId="0" fillId="54" borderId="16" applyAlignment="1" pivotButton="0" quotePrefix="0" xfId="1">
      <alignment vertical="center"/>
    </xf>
    <xf numFmtId="165" fontId="0" fillId="54" borderId="25" applyAlignment="1" pivotButton="0" quotePrefix="0" xfId="1">
      <alignment vertical="center"/>
    </xf>
    <xf numFmtId="167" fontId="53" fillId="0" borderId="6" applyAlignment="1" pivotButton="0" quotePrefix="0" xfId="0">
      <alignment horizontal="center" vertical="center"/>
    </xf>
    <xf numFmtId="0" fontId="0" fillId="0" borderId="6" applyAlignment="1" pivotButton="0" quotePrefix="0" xfId="0">
      <alignment vertical="center"/>
    </xf>
    <xf numFmtId="1" fontId="0" fillId="0" borderId="0" pivotButton="0" quotePrefix="0" xfId="449"/>
    <xf numFmtId="172" fontId="4" fillId="0" borderId="1" pivotButton="0" quotePrefix="0" xfId="0"/>
    <xf numFmtId="172" fontId="4" fillId="0" borderId="43" pivotButton="0" quotePrefix="0" xfId="0"/>
    <xf numFmtId="0" fontId="0" fillId="0" borderId="1" applyAlignment="1" pivotButton="0" quotePrefix="0" xfId="0">
      <alignment horizontal="left" vertical="center"/>
    </xf>
    <xf numFmtId="165" fontId="0" fillId="54" borderId="42" applyAlignment="1" pivotButton="0" quotePrefix="0" xfId="1">
      <alignment vertical="center"/>
    </xf>
    <xf numFmtId="169" fontId="0" fillId="54" borderId="16" applyAlignment="1" pivotButton="0" quotePrefix="0" xfId="2">
      <alignment vertical="center"/>
    </xf>
    <xf numFmtId="165" fontId="0" fillId="54" borderId="45" applyAlignment="1" pivotButton="0" quotePrefix="0" xfId="1">
      <alignment vertical="center"/>
    </xf>
    <xf numFmtId="165" fontId="0" fillId="0" borderId="60" applyAlignment="1" pivotButton="0" quotePrefix="0" xfId="1">
      <alignment vertical="center"/>
    </xf>
    <xf numFmtId="165" fontId="0" fillId="0" borderId="43" applyAlignment="1" pivotButton="0" quotePrefix="0" xfId="1">
      <alignment vertical="center"/>
    </xf>
    <xf numFmtId="165" fontId="0" fillId="54" borderId="61" applyAlignment="1" pivotButton="0" quotePrefix="0" xfId="1">
      <alignment vertical="center"/>
    </xf>
    <xf numFmtId="165" fontId="0" fillId="54" borderId="62" applyAlignment="1" pivotButton="0" quotePrefix="0" xfId="1">
      <alignment vertical="center"/>
    </xf>
    <xf numFmtId="169" fontId="0" fillId="54" borderId="62" applyAlignment="1" pivotButton="0" quotePrefix="0" xfId="2">
      <alignment vertical="center"/>
    </xf>
    <xf numFmtId="165" fontId="0" fillId="54" borderId="63" applyAlignment="1" pivotButton="0" quotePrefix="0" xfId="1">
      <alignment vertical="center"/>
    </xf>
    <xf numFmtId="165" fontId="0" fillId="54" borderId="65" applyAlignment="1" pivotButton="0" quotePrefix="0" xfId="1">
      <alignment vertical="center"/>
    </xf>
    <xf numFmtId="165" fontId="0" fillId="54" borderId="28" applyAlignment="1" pivotButton="0" quotePrefix="0" xfId="1">
      <alignment vertical="center"/>
    </xf>
    <xf numFmtId="165" fontId="0" fillId="0" borderId="6" applyAlignment="1" pivotButton="0" quotePrefix="0" xfId="1">
      <alignment vertical="center"/>
    </xf>
    <xf numFmtId="165" fontId="0" fillId="0" borderId="57" applyAlignment="1" pivotButton="0" quotePrefix="0" xfId="1">
      <alignment vertical="center"/>
    </xf>
    <xf numFmtId="1" fontId="0" fillId="0" borderId="0" pivotButton="0" quotePrefix="0" xfId="0"/>
    <xf numFmtId="2" fontId="0" fillId="0" borderId="3" pivotButton="0" quotePrefix="0" xfId="0"/>
    <xf numFmtId="2" fontId="0" fillId="0" borderId="0" pivotButton="0" quotePrefix="0" xfId="449"/>
    <xf numFmtId="2" fontId="1" fillId="0" borderId="0" pivotButton="0" quotePrefix="0" xfId="449"/>
    <xf numFmtId="1" fontId="0" fillId="0" borderId="3" pivotButton="0" quotePrefix="0" xfId="449"/>
    <xf numFmtId="0" fontId="0" fillId="42" borderId="33" pivotButton="0" quotePrefix="0" xfId="0"/>
    <xf numFmtId="0" fontId="0" fillId="60" borderId="3" applyAlignment="1" pivotButton="0" quotePrefix="0" xfId="0">
      <alignment horizontal="left" vertical="center"/>
    </xf>
    <xf numFmtId="0" fontId="0" fillId="60" borderId="1" applyAlignment="1" pivotButton="0" quotePrefix="0" xfId="0">
      <alignment horizontal="left" vertical="center"/>
    </xf>
    <xf numFmtId="0" fontId="0" fillId="0" borderId="43" pivotButton="0" quotePrefix="0" xfId="0"/>
    <xf numFmtId="172" fontId="0" fillId="0" borderId="43" pivotButton="0" quotePrefix="0" xfId="0"/>
    <xf numFmtId="172" fontId="4" fillId="0" borderId="16" pivotButton="0" quotePrefix="0" xfId="0"/>
    <xf numFmtId="172" fontId="4" fillId="0" borderId="19" pivotButton="0" quotePrefix="0" xfId="0"/>
    <xf numFmtId="165" fontId="0" fillId="54" borderId="36" applyAlignment="1" pivotButton="0" quotePrefix="0" xfId="1">
      <alignment vertical="center"/>
    </xf>
    <xf numFmtId="165" fontId="0" fillId="54" borderId="64" applyAlignment="1" pivotButton="0" quotePrefix="0" xfId="1">
      <alignment vertical="center"/>
    </xf>
    <xf numFmtId="166" fontId="56" fillId="0" borderId="0" applyAlignment="1" pivotButton="0" quotePrefix="0" xfId="449">
      <alignment horizontal="right" vertical="center" wrapText="1"/>
    </xf>
    <xf numFmtId="165" fontId="0" fillId="0" borderId="42" applyAlignment="1" pivotButton="0" quotePrefix="0" xfId="1">
      <alignment vertical="center"/>
    </xf>
    <xf numFmtId="165" fontId="0" fillId="0" borderId="16" applyAlignment="1" pivotButton="0" quotePrefix="0" xfId="1">
      <alignment vertical="center"/>
    </xf>
    <xf numFmtId="169" fontId="0" fillId="0" borderId="16" applyAlignment="1" pivotButton="0" quotePrefix="0" xfId="2">
      <alignment vertical="center"/>
    </xf>
    <xf numFmtId="165" fontId="0" fillId="0" borderId="45" applyAlignment="1" pivotButton="0" quotePrefix="0" xfId="1">
      <alignment vertical="center"/>
    </xf>
    <xf numFmtId="165" fontId="0" fillId="0" borderId="35" applyAlignment="1" pivotButton="0" quotePrefix="0" xfId="1">
      <alignment vertical="center"/>
    </xf>
    <xf numFmtId="0" fontId="0" fillId="0" borderId="20" applyAlignment="1" pivotButton="0" quotePrefix="0" xfId="0">
      <alignment vertical="center"/>
    </xf>
    <xf numFmtId="0" fontId="0" fillId="0" borderId="2" applyAlignment="1" pivotButton="0" quotePrefix="0" xfId="0">
      <alignment vertical="center"/>
    </xf>
    <xf numFmtId="0" fontId="0" fillId="0" borderId="17" applyAlignment="1" pivotButton="0" quotePrefix="0" xfId="0">
      <alignment vertical="center"/>
    </xf>
    <xf numFmtId="165" fontId="0" fillId="0" borderId="47" applyAlignment="1" pivotButton="0" quotePrefix="0" xfId="1">
      <alignment vertical="center"/>
    </xf>
    <xf numFmtId="169" fontId="0" fillId="0" borderId="47" applyAlignment="1" pivotButton="0" quotePrefix="0" xfId="2">
      <alignment vertical="center"/>
    </xf>
    <xf numFmtId="165" fontId="0" fillId="0" borderId="66" applyAlignment="1" pivotButton="0" quotePrefix="0" xfId="1">
      <alignment vertical="center"/>
    </xf>
    <xf numFmtId="165" fontId="0" fillId="0" borderId="67" applyAlignment="1" pivotButton="0" quotePrefix="0" xfId="1">
      <alignment vertical="center"/>
    </xf>
    <xf numFmtId="0" fontId="0" fillId="0" borderId="41" applyAlignment="1" pivotButton="0" quotePrefix="0" xfId="0">
      <alignment vertical="center"/>
    </xf>
    <xf numFmtId="0" fontId="0" fillId="0" borderId="38" applyAlignment="1" pivotButton="0" quotePrefix="0" xfId="0">
      <alignment vertical="center"/>
    </xf>
    <xf numFmtId="0" fontId="0" fillId="0" borderId="39" applyAlignment="1" pivotButton="0" quotePrefix="0" xfId="0">
      <alignment vertical="center"/>
    </xf>
    <xf numFmtId="0" fontId="0" fillId="0" borderId="48" applyAlignment="1" pivotButton="0" quotePrefix="0" xfId="0">
      <alignment vertical="center"/>
    </xf>
    <xf numFmtId="165" fontId="0" fillId="0" borderId="43" applyAlignment="1" pivotButton="0" quotePrefix="0" xfId="1">
      <alignment vertical="center"/>
    </xf>
    <xf numFmtId="169" fontId="0" fillId="0" borderId="43" applyAlignment="1" pivotButton="0" quotePrefix="0" xfId="2">
      <alignment vertical="center"/>
    </xf>
    <xf numFmtId="165" fontId="0" fillId="0" borderId="68" applyAlignment="1" pivotButton="0" quotePrefix="0" xfId="1">
      <alignment vertical="center"/>
    </xf>
    <xf numFmtId="165" fontId="0" fillId="0" borderId="31" applyAlignment="1" pivotButton="0" quotePrefix="0" xfId="1">
      <alignment vertical="center"/>
    </xf>
    <xf numFmtId="0" fontId="0" fillId="0" borderId="49" applyAlignment="1" pivotButton="0" quotePrefix="0" xfId="0">
      <alignment vertical="center"/>
    </xf>
    <xf numFmtId="173" fontId="0" fillId="0" borderId="3" pivotButton="0" quotePrefix="0" xfId="0"/>
    <xf numFmtId="2" fontId="0" fillId="0" borderId="1" pivotButton="0" quotePrefix="0" xfId="449"/>
    <xf numFmtId="1" fontId="0" fillId="0" borderId="1" pivotButton="0" quotePrefix="0" xfId="449"/>
    <xf numFmtId="173" fontId="0" fillId="0" borderId="0" applyAlignment="1" pivotButton="0" quotePrefix="0" xfId="449">
      <alignment vertical="center"/>
    </xf>
    <xf numFmtId="0" fontId="60" fillId="0" borderId="0" applyAlignment="1" pivotButton="0" quotePrefix="0" xfId="0">
      <alignment vertical="center"/>
    </xf>
    <xf numFmtId="165" fontId="0" fillId="54" borderId="56" applyAlignment="1" pivotButton="0" quotePrefix="0" xfId="1">
      <alignment vertical="center"/>
    </xf>
    <xf numFmtId="165" fontId="0" fillId="54" borderId="70" applyAlignment="1" pivotButton="0" quotePrefix="0" xfId="1">
      <alignment vertical="center"/>
    </xf>
    <xf numFmtId="165" fontId="0" fillId="54" borderId="6" applyAlignment="1" pivotButton="0" quotePrefix="0" xfId="1">
      <alignment vertical="center"/>
    </xf>
    <xf numFmtId="169" fontId="0" fillId="54" borderId="3" applyAlignment="1" pivotButton="0" quotePrefix="0" xfId="2">
      <alignment vertical="center"/>
    </xf>
    <xf numFmtId="165" fontId="0" fillId="54" borderId="38" applyAlignment="1" pivotButton="0" quotePrefix="0" xfId="1">
      <alignment vertical="center"/>
    </xf>
    <xf numFmtId="166" fontId="0" fillId="54" borderId="6" applyAlignment="1" pivotButton="0" quotePrefix="0" xfId="1">
      <alignment vertical="center"/>
    </xf>
    <xf numFmtId="165" fontId="0" fillId="54" borderId="3" applyAlignment="1" pivotButton="0" quotePrefix="0" xfId="1">
      <alignment vertical="center"/>
    </xf>
    <xf numFmtId="173" fontId="0" fillId="0" borderId="0" applyAlignment="1" pivotButton="0" quotePrefix="0" xfId="0">
      <alignment vertical="center" wrapText="1"/>
    </xf>
    <xf numFmtId="173" fontId="4" fillId="0" borderId="0" applyAlignment="1" pivotButton="0" quotePrefix="0" xfId="0">
      <alignment vertical="center" wrapText="1"/>
    </xf>
    <xf numFmtId="166" fontId="0" fillId="0" borderId="3" applyAlignment="1" pivotButton="0" quotePrefix="0" xfId="449">
      <alignment vertical="center" wrapText="1"/>
    </xf>
    <xf numFmtId="170" fontId="0" fillId="42" borderId="0" pivotButton="0" quotePrefix="0" xfId="0"/>
    <xf numFmtId="166" fontId="0" fillId="0" borderId="0" applyAlignment="1" pivotButton="0" quotePrefix="0" xfId="449">
      <alignment horizontal="center"/>
    </xf>
    <xf numFmtId="165" fontId="0" fillId="54" borderId="17" applyAlignment="1" pivotButton="0" quotePrefix="0" xfId="1">
      <alignment vertical="center"/>
    </xf>
    <xf numFmtId="165" fontId="0" fillId="54" borderId="69" applyAlignment="1" pivotButton="0" quotePrefix="0" xfId="1">
      <alignment vertical="center"/>
    </xf>
    <xf numFmtId="169" fontId="0" fillId="54" borderId="18" applyAlignment="1" pivotButton="0" quotePrefix="0" xfId="2">
      <alignment vertical="center"/>
    </xf>
    <xf numFmtId="165" fontId="0" fillId="54" borderId="39" applyAlignment="1" pivotButton="0" quotePrefix="0" xfId="1">
      <alignment vertical="center"/>
    </xf>
    <xf numFmtId="173" fontId="0" fillId="54" borderId="57" applyAlignment="1" pivotButton="0" quotePrefix="0" xfId="1">
      <alignment vertical="center"/>
    </xf>
    <xf numFmtId="165" fontId="0" fillId="54" borderId="26" applyAlignment="1" pivotButton="0" quotePrefix="0" xfId="1">
      <alignment vertical="center"/>
    </xf>
    <xf numFmtId="4" fontId="86" fillId="0" borderId="0" pivotButton="0" quotePrefix="0" xfId="0"/>
    <xf numFmtId="0" fontId="0" fillId="61" borderId="0" applyAlignment="1" pivotButton="0" quotePrefix="0" xfId="0">
      <alignment vertical="center"/>
    </xf>
    <xf numFmtId="166" fontId="0" fillId="0" borderId="3" applyAlignment="1" pivotButton="0" quotePrefix="0" xfId="449">
      <alignment vertical="center"/>
    </xf>
    <xf numFmtId="0" fontId="0" fillId="0" borderId="37" pivotButton="0" quotePrefix="0" xfId="0"/>
    <xf numFmtId="0" fontId="0" fillId="0" borderId="19" pivotButton="0" quotePrefix="0" xfId="0"/>
    <xf numFmtId="0" fontId="0" fillId="0" borderId="32" pivotButton="0" quotePrefix="0" xfId="0"/>
    <xf numFmtId="166" fontId="4" fillId="38" borderId="31" pivotButton="0" quotePrefix="0" xfId="449"/>
    <xf numFmtId="166" fontId="4" fillId="38" borderId="0" pivotButton="0" quotePrefix="0" xfId="449"/>
    <xf numFmtId="49" fontId="0" fillId="0" borderId="3" applyAlignment="1" pivotButton="0" quotePrefix="0" xfId="0">
      <alignment horizontal="center" vertical="center"/>
    </xf>
    <xf numFmtId="166" fontId="4" fillId="0" borderId="3" pivotButton="0" quotePrefix="0" xfId="449"/>
    <xf numFmtId="166" fontId="0" fillId="47" borderId="0" applyAlignment="1" pivotButton="0" quotePrefix="0" xfId="449">
      <alignment horizontal="center"/>
    </xf>
    <xf numFmtId="171" fontId="0" fillId="0" borderId="0" pivotButton="0" quotePrefix="0" xfId="1"/>
    <xf numFmtId="171" fontId="0" fillId="0" borderId="3" pivotButton="0" quotePrefix="0" xfId="1"/>
    <xf numFmtId="170" fontId="0" fillId="11" borderId="0" pivotButton="0" quotePrefix="0" xfId="0"/>
    <xf numFmtId="173" fontId="0" fillId="0" borderId="0" pivotButton="0" quotePrefix="0" xfId="449"/>
    <xf numFmtId="165" fontId="0" fillId="0" borderId="40" applyAlignment="1" pivotButton="0" quotePrefix="0" xfId="1">
      <alignment vertical="center"/>
    </xf>
    <xf numFmtId="165" fontId="0" fillId="0" borderId="25" applyAlignment="1" pivotButton="0" quotePrefix="0" xfId="1">
      <alignment vertical="center"/>
    </xf>
    <xf numFmtId="166" fontId="56" fillId="0" borderId="0" applyAlignment="1" pivotButton="0" quotePrefix="0" xfId="449">
      <alignment horizontal="right" vertical="center" wrapText="1"/>
    </xf>
    <xf numFmtId="4" fontId="87" fillId="0" borderId="0" pivotButton="0" quotePrefix="0" xfId="0"/>
    <xf numFmtId="166" fontId="88" fillId="0" borderId="0" applyAlignment="1" pivotButton="0" quotePrefix="0" xfId="449">
      <alignment horizontal="right" vertical="center" wrapText="1"/>
    </xf>
    <xf numFmtId="173" fontId="89" fillId="0" borderId="0" pivotButton="0" quotePrefix="0" xfId="0"/>
    <xf numFmtId="166" fontId="90" fillId="0" borderId="0" applyAlignment="1" pivotButton="0" quotePrefix="0" xfId="0">
      <alignment vertical="center"/>
    </xf>
    <xf numFmtId="4" fontId="89" fillId="0" borderId="0" pivotButton="0" quotePrefix="0" xfId="0"/>
    <xf numFmtId="0" fontId="4" fillId="0" borderId="3" pivotButton="0" quotePrefix="0" xfId="0"/>
    <xf numFmtId="0" fontId="4" fillId="0" borderId="2" pivotButton="0" quotePrefix="0" xfId="0"/>
    <xf numFmtId="165" fontId="0" fillId="0" borderId="17" pivotButton="0" quotePrefix="0" xfId="0"/>
    <xf numFmtId="165" fontId="0" fillId="0" borderId="18" pivotButton="0" quotePrefix="0" xfId="0"/>
    <xf numFmtId="0" fontId="4" fillId="0" borderId="38" pivotButton="0" quotePrefix="0" xfId="0"/>
    <xf numFmtId="169" fontId="4" fillId="60" borderId="18" pivotButton="0" quotePrefix="0" xfId="0"/>
    <xf numFmtId="169" fontId="4" fillId="60" borderId="39" pivotButton="0" quotePrefix="0" xfId="0"/>
    <xf numFmtId="168" fontId="0" fillId="0" borderId="0" pivotButton="0" quotePrefix="0" xfId="0"/>
    <xf numFmtId="175" fontId="0" fillId="0" borderId="0" applyAlignment="1" pivotButton="0" quotePrefix="0" xfId="0">
      <alignment vertical="center" wrapText="1"/>
    </xf>
    <xf numFmtId="170" fontId="0" fillId="42" borderId="34" pivotButton="0" quotePrefix="0" xfId="0"/>
    <xf numFmtId="0" fontId="0" fillId="42" borderId="0" pivotButton="0" quotePrefix="0" xfId="0"/>
    <xf numFmtId="173" fontId="0" fillId="0" borderId="37" applyAlignment="1" pivotButton="0" quotePrefix="0" xfId="449">
      <alignment vertical="center"/>
    </xf>
    <xf numFmtId="166" fontId="0" fillId="0" borderId="37" applyAlignment="1" pivotButton="0" quotePrefix="0" xfId="449">
      <alignment vertical="center"/>
    </xf>
    <xf numFmtId="166" fontId="4" fillId="11" borderId="3" pivotButton="0" quotePrefix="0" xfId="449"/>
    <xf numFmtId="173" fontId="0" fillId="0" borderId="0" applyAlignment="1" pivotButton="0" quotePrefix="0" xfId="449">
      <alignment vertical="center"/>
    </xf>
    <xf numFmtId="166" fontId="4" fillId="0" borderId="1" pivotButton="0" quotePrefix="0" xfId="449"/>
    <xf numFmtId="0" fontId="0" fillId="11" borderId="0" pivotButton="0" quotePrefix="0" xfId="0"/>
    <xf numFmtId="0" fontId="0" fillId="11" borderId="33" pivotButton="0" quotePrefix="0" xfId="0"/>
    <xf numFmtId="166" fontId="0" fillId="11" borderId="3" pivotButton="0" quotePrefix="0" xfId="449"/>
    <xf numFmtId="165" fontId="0" fillId="38" borderId="60" applyAlignment="1" pivotButton="0" quotePrefix="0" xfId="1">
      <alignment vertical="center"/>
    </xf>
    <xf numFmtId="165" fontId="0" fillId="38" borderId="47" applyAlignment="1" pivotButton="0" quotePrefix="0" xfId="1">
      <alignment vertical="center"/>
    </xf>
    <xf numFmtId="165" fontId="0" fillId="38" borderId="40" applyAlignment="1" pivotButton="0" quotePrefix="0" xfId="1">
      <alignment vertical="center"/>
    </xf>
    <xf numFmtId="166" fontId="0" fillId="11" borderId="3" applyAlignment="1" pivotButton="0" quotePrefix="0" xfId="449">
      <alignment vertical="center"/>
    </xf>
    <xf numFmtId="0" fontId="91" fillId="64" borderId="0" pivotButton="0" quotePrefix="0" xfId="645"/>
    <xf numFmtId="0" fontId="92" fillId="0" borderId="72" applyAlignment="1" pivotButton="0" quotePrefix="0" xfId="645">
      <alignment horizontal="center" vertical="center"/>
    </xf>
    <xf numFmtId="0" fontId="92" fillId="65" borderId="72" applyAlignment="1" pivotButton="0" quotePrefix="0" xfId="645">
      <alignment horizontal="center" vertical="center"/>
    </xf>
    <xf numFmtId="0" fontId="92" fillId="0" borderId="0" applyAlignment="1" pivotButton="0" quotePrefix="0" xfId="645">
      <alignment horizontal="center" vertical="center"/>
    </xf>
    <xf numFmtId="0" fontId="92" fillId="66" borderId="72" applyAlignment="1" pivotButton="0" quotePrefix="0" xfId="645">
      <alignment horizontal="center" vertical="center"/>
    </xf>
    <xf numFmtId="17" fontId="93" fillId="0" borderId="0" applyAlignment="1" pivotButton="0" quotePrefix="0" xfId="645">
      <alignment horizontal="center" vertical="center"/>
    </xf>
    <xf numFmtId="0" fontId="92" fillId="66" borderId="0" applyAlignment="1" pivotButton="0" quotePrefix="0" xfId="645">
      <alignment horizontal="center" vertical="center"/>
    </xf>
    <xf numFmtId="0" fontId="93" fillId="0" borderId="0" pivotButton="0" quotePrefix="0" xfId="645"/>
    <xf numFmtId="0" fontId="93" fillId="0" borderId="72" pivotButton="0" quotePrefix="0" xfId="645"/>
    <xf numFmtId="0" fontId="93" fillId="65" borderId="72" pivotButton="0" quotePrefix="0" xfId="645"/>
    <xf numFmtId="1" fontId="93" fillId="0" borderId="0" applyAlignment="1" pivotButton="0" quotePrefix="0" xfId="645">
      <alignment horizontal="center" vertical="center"/>
    </xf>
    <xf numFmtId="0" fontId="92" fillId="0" borderId="0" pivotButton="0" quotePrefix="0" xfId="645"/>
    <xf numFmtId="176" fontId="93" fillId="13" borderId="72" pivotButton="0" quotePrefix="0" xfId="388"/>
    <xf numFmtId="176" fontId="92" fillId="65" borderId="72" pivotButton="0" quotePrefix="0" xfId="388"/>
    <xf numFmtId="176" fontId="94" fillId="0" borderId="0" pivotButton="0" quotePrefix="0" xfId="388"/>
    <xf numFmtId="176" fontId="92" fillId="13" borderId="72" pivotButton="0" quotePrefix="0" xfId="388"/>
    <xf numFmtId="176" fontId="92" fillId="66" borderId="72" pivotButton="0" quotePrefix="0" xfId="388"/>
    <xf numFmtId="175" fontId="94" fillId="0" borderId="0" pivotButton="0" quotePrefix="0" xfId="388"/>
    <xf numFmtId="176" fontId="93" fillId="13" borderId="72" pivotButton="0" quotePrefix="0" xfId="645"/>
    <xf numFmtId="176" fontId="94" fillId="0" borderId="0" pivotButton="0" quotePrefix="0" xfId="388"/>
    <xf numFmtId="176" fontId="92" fillId="13" borderId="72" pivotButton="0" quotePrefix="0" xfId="645"/>
    <xf numFmtId="176" fontId="92" fillId="65" borderId="72" pivotButton="0" quotePrefix="0" xfId="645"/>
    <xf numFmtId="169" fontId="93" fillId="13" borderId="72" pivotButton="0" quotePrefix="0" xfId="2"/>
    <xf numFmtId="169" fontId="92" fillId="65" borderId="72" applyAlignment="1" pivotButton="0" quotePrefix="0" xfId="646">
      <alignment vertical="center"/>
    </xf>
    <xf numFmtId="169" fontId="94" fillId="0" borderId="0" pivotButton="0" quotePrefix="0" xfId="2"/>
    <xf numFmtId="169" fontId="92" fillId="13" borderId="72" applyAlignment="1" pivotButton="0" quotePrefix="0" xfId="646">
      <alignment vertical="center"/>
    </xf>
    <xf numFmtId="10" fontId="92" fillId="66" borderId="72" applyAlignment="1" pivotButton="0" quotePrefix="0" xfId="646">
      <alignment vertical="center"/>
    </xf>
    <xf numFmtId="169" fontId="94" fillId="0" borderId="0" pivotButton="0" quotePrefix="0" xfId="2"/>
    <xf numFmtId="0" fontId="93" fillId="39" borderId="0" pivotButton="0" quotePrefix="0" xfId="645"/>
    <xf numFmtId="0" fontId="93" fillId="39" borderId="72" pivotButton="0" quotePrefix="0" xfId="645"/>
    <xf numFmtId="0" fontId="94" fillId="39" borderId="0" pivotButton="0" quotePrefix="0" xfId="645"/>
    <xf numFmtId="0" fontId="0" fillId="39" borderId="0" pivotButton="0" quotePrefix="0" xfId="0"/>
    <xf numFmtId="0" fontId="0" fillId="0" borderId="72" pivotButton="0" quotePrefix="0" xfId="0"/>
    <xf numFmtId="0" fontId="0" fillId="65" borderId="72" pivotButton="0" quotePrefix="0" xfId="0"/>
    <xf numFmtId="0" fontId="0" fillId="66" borderId="72" pivotButton="0" quotePrefix="0" xfId="0"/>
    <xf numFmtId="176" fontId="93" fillId="0" borderId="72" pivotButton="0" quotePrefix="0" xfId="388"/>
    <xf numFmtId="0" fontId="92" fillId="38" borderId="0" applyAlignment="1" pivotButton="0" quotePrefix="0" xfId="645">
      <alignment vertical="center"/>
    </xf>
    <xf numFmtId="0" fontId="92" fillId="38" borderId="72" applyAlignment="1" pivotButton="0" quotePrefix="0" xfId="645">
      <alignment vertical="center"/>
    </xf>
    <xf numFmtId="0" fontId="0" fillId="38" borderId="72" pivotButton="0" quotePrefix="0" xfId="0"/>
    <xf numFmtId="0" fontId="0" fillId="38" borderId="0" pivotButton="0" quotePrefix="0" xfId="0"/>
    <xf numFmtId="176" fontId="93" fillId="0" borderId="72" pivotButton="0" quotePrefix="0" xfId="388"/>
    <xf numFmtId="176" fontId="93" fillId="65" borderId="72" pivotButton="0" quotePrefix="0" xfId="388"/>
    <xf numFmtId="166" fontId="93" fillId="13" borderId="72" pivotButton="0" quotePrefix="0" xfId="388"/>
    <xf numFmtId="177" fontId="93" fillId="65" borderId="72" pivotButton="0" quotePrefix="0" xfId="388"/>
    <xf numFmtId="169" fontId="92" fillId="66" borderId="72" pivotButton="0" quotePrefix="0" xfId="2"/>
    <xf numFmtId="0" fontId="92" fillId="0" borderId="72" pivotButton="0" quotePrefix="0" xfId="645"/>
    <xf numFmtId="0" fontId="95" fillId="42" borderId="0" pivotButton="0" quotePrefix="0" xfId="0"/>
    <xf numFmtId="4" fontId="0" fillId="0" borderId="72" pivotButton="0" quotePrefix="0" xfId="0"/>
    <xf numFmtId="166" fontId="93" fillId="65" borderId="72" pivotButton="0" quotePrefix="0" xfId="388"/>
    <xf numFmtId="169" fontId="93" fillId="13" borderId="0" pivotButton="0" quotePrefix="0" xfId="2"/>
    <xf numFmtId="0" fontId="4" fillId="42" borderId="0" applyAlignment="1" pivotButton="0" quotePrefix="0" xfId="0">
      <alignment horizontal="left"/>
    </xf>
    <xf numFmtId="0" fontId="92" fillId="38" borderId="0" applyAlignment="1" pivotButton="0" quotePrefix="0" xfId="645">
      <alignment horizontal="left" vertical="center"/>
    </xf>
    <xf numFmtId="10" fontId="0" fillId="0" borderId="0" applyAlignment="1" pivotButton="0" quotePrefix="0" xfId="0">
      <alignment vertical="center"/>
    </xf>
    <xf numFmtId="10" fontId="0" fillId="0" borderId="0" pivotButton="0" quotePrefix="0" xfId="0"/>
    <xf numFmtId="4" fontId="0" fillId="0" borderId="0" applyAlignment="1" pivotButton="0" quotePrefix="0" xfId="0">
      <alignment vertical="center" wrapText="1"/>
    </xf>
    <xf numFmtId="0" fontId="92" fillId="65" borderId="0" applyAlignment="1" pivotButton="0" quotePrefix="0" xfId="645">
      <alignment horizontal="center" vertical="center"/>
    </xf>
    <xf numFmtId="169" fontId="92" fillId="65" borderId="0" pivotButton="0" quotePrefix="0" xfId="2"/>
    <xf numFmtId="10" fontId="92" fillId="65" borderId="0" applyAlignment="1" pivotButton="0" quotePrefix="0" xfId="646">
      <alignment vertical="center"/>
    </xf>
    <xf numFmtId="0" fontId="0" fillId="65" borderId="0" pivotButton="0" quotePrefix="0" xfId="0"/>
    <xf numFmtId="166" fontId="92" fillId="65" borderId="0" applyAlignment="1" pivotButton="0" quotePrefix="0" xfId="449">
      <alignment vertical="center"/>
    </xf>
    <xf numFmtId="176" fontId="92" fillId="65" borderId="0" applyAlignment="1" pivotButton="0" quotePrefix="0" xfId="449">
      <alignment vertical="center"/>
    </xf>
    <xf numFmtId="169" fontId="92" fillId="65" borderId="0" applyAlignment="1" pivotButton="0" quotePrefix="0" xfId="646">
      <alignment vertical="center"/>
    </xf>
    <xf numFmtId="0" fontId="4" fillId="0" borderId="61" pivotButton="0" quotePrefix="0" xfId="0"/>
    <xf numFmtId="0" fontId="4" fillId="0" borderId="62" pivotButton="0" quotePrefix="0" xfId="0"/>
    <xf numFmtId="0" fontId="4" fillId="0" borderId="63" pivotButton="0" quotePrefix="0" xfId="0"/>
    <xf numFmtId="178" fontId="0" fillId="0" borderId="0" pivotButton="0" quotePrefix="0" xfId="0"/>
    <xf numFmtId="178" fontId="0" fillId="0" borderId="0" pivotButton="0" quotePrefix="0" xfId="180"/>
    <xf numFmtId="9" fontId="0" fillId="0" borderId="0" pivotButton="0" quotePrefix="0" xfId="350"/>
    <xf numFmtId="178" fontId="0" fillId="0" borderId="67" pivotButton="0" quotePrefix="0" xfId="180"/>
    <xf numFmtId="178" fontId="0" fillId="0" borderId="65" pivotButton="0" quotePrefix="0" xfId="180"/>
    <xf numFmtId="0" fontId="4" fillId="0" borderId="3" applyAlignment="1" pivotButton="0" quotePrefix="0" xfId="0">
      <alignment horizontal="center"/>
    </xf>
    <xf numFmtId="0" fontId="4" fillId="0" borderId="73" pivotButton="0" quotePrefix="0" xfId="0"/>
    <xf numFmtId="0" fontId="4" fillId="0" borderId="74" applyAlignment="1" pivotButton="0" quotePrefix="0" xfId="0">
      <alignment horizontal="center"/>
    </xf>
    <xf numFmtId="9" fontId="3" fillId="6" borderId="66" applyAlignment="1" pivotButton="0" quotePrefix="0" xfId="350">
      <alignment horizontal="center"/>
    </xf>
    <xf numFmtId="9" fontId="3" fillId="6" borderId="63" applyAlignment="1" pivotButton="0" quotePrefix="0" xfId="350">
      <alignment horizontal="center"/>
    </xf>
    <xf numFmtId="178" fontId="96" fillId="0" borderId="67" pivotButton="0" quotePrefix="0" xfId="180"/>
    <xf numFmtId="178" fontId="96" fillId="0" borderId="65" pivotButton="0" quotePrefix="0" xfId="180"/>
    <xf numFmtId="173" fontId="0" fillId="0" borderId="0" applyAlignment="1" pivotButton="0" quotePrefix="0" xfId="1">
      <alignment vertical="center"/>
    </xf>
    <xf numFmtId="0" fontId="3" fillId="10" borderId="3" applyAlignment="1" pivotButton="0" quotePrefix="0" xfId="0">
      <alignment horizontal="center" vertical="center"/>
    </xf>
    <xf numFmtId="0" fontId="3" fillId="51" borderId="3" applyAlignment="1" pivotButton="0" quotePrefix="0" xfId="0">
      <alignment horizontal="center" vertical="center"/>
    </xf>
    <xf numFmtId="0" fontId="3" fillId="50" borderId="3" applyAlignment="1" pivotButton="0" quotePrefix="0" xfId="0">
      <alignment horizontal="center" vertical="center"/>
    </xf>
    <xf numFmtId="0" fontId="3" fillId="49" borderId="3" applyAlignment="1" pivotButton="0" quotePrefix="0" xfId="0">
      <alignment horizontal="center" vertical="center"/>
    </xf>
    <xf numFmtId="168" fontId="3" fillId="7" borderId="3" applyAlignment="1" pivotButton="0" quotePrefix="0" xfId="0">
      <alignment horizontal="center" vertical="center"/>
    </xf>
    <xf numFmtId="0" fontId="3" fillId="10" borderId="16" applyAlignment="1" pivotButton="0" quotePrefix="0" xfId="0">
      <alignment horizontal="center" vertical="center"/>
    </xf>
    <xf numFmtId="0" fontId="3" fillId="10" borderId="43" applyAlignment="1" pivotButton="0" quotePrefix="0" xfId="0">
      <alignment horizontal="center" vertical="center"/>
    </xf>
    <xf numFmtId="0" fontId="3" fillId="10" borderId="37" applyAlignment="1" pivotButton="0" quotePrefix="0" xfId="0">
      <alignment horizontal="center" vertical="center"/>
    </xf>
    <xf numFmtId="165" fontId="3" fillId="9" borderId="16" applyAlignment="1" pivotButton="0" quotePrefix="0" xfId="0">
      <alignment horizontal="center" vertical="center"/>
    </xf>
    <xf numFmtId="165" fontId="3" fillId="9" borderId="43" applyAlignment="1" pivotButton="0" quotePrefix="0" xfId="0">
      <alignment horizontal="center" vertical="center"/>
    </xf>
    <xf numFmtId="165" fontId="3" fillId="9" borderId="37" applyAlignment="1" pivotButton="0" quotePrefix="0" xfId="0">
      <alignment horizontal="center" vertical="center"/>
    </xf>
    <xf numFmtId="0" fontId="3" fillId="7" borderId="16" applyAlignment="1" pivotButton="0" quotePrefix="0" xfId="0">
      <alignment horizontal="center" vertical="center"/>
    </xf>
    <xf numFmtId="0" fontId="3" fillId="7" borderId="43" applyAlignment="1" pivotButton="0" quotePrefix="0" xfId="0">
      <alignment horizontal="center" vertical="center"/>
    </xf>
    <xf numFmtId="0" fontId="3" fillId="7" borderId="37" applyAlignment="1" pivotButton="0" quotePrefix="0" xfId="0">
      <alignment horizontal="center" vertical="center"/>
    </xf>
    <xf numFmtId="0" fontId="3" fillId="8" borderId="16" applyAlignment="1" pivotButton="0" quotePrefix="0" xfId="0">
      <alignment horizontal="center" vertical="center"/>
    </xf>
    <xf numFmtId="0" fontId="3" fillId="8" borderId="43" applyAlignment="1" pivotButton="0" quotePrefix="0" xfId="0">
      <alignment horizontal="center" vertical="center"/>
    </xf>
    <xf numFmtId="0" fontId="3" fillId="8" borderId="37" applyAlignment="1" pivotButton="0" quotePrefix="0" xfId="0">
      <alignment horizontal="center" vertical="center"/>
    </xf>
    <xf numFmtId="0" fontId="0" fillId="13" borderId="54" applyAlignment="1" pivotButton="0" quotePrefix="0" xfId="0">
      <alignment horizontal="center" vertical="center"/>
    </xf>
    <xf numFmtId="0" fontId="0" fillId="13" borderId="55" applyAlignment="1" pivotButton="0" quotePrefix="0" xfId="0">
      <alignment horizontal="center" vertical="center"/>
    </xf>
    <xf numFmtId="0" fontId="0" fillId="13" borderId="51" applyAlignment="1" pivotButton="0" quotePrefix="0" xfId="0">
      <alignment horizontal="center" vertical="center"/>
    </xf>
    <xf numFmtId="0" fontId="0" fillId="13" borderId="56" applyAlignment="1" pivotButton="0" quotePrefix="0" xfId="0">
      <alignment horizontal="center" vertical="center"/>
    </xf>
    <xf numFmtId="0" fontId="0" fillId="13" borderId="30" applyAlignment="1" pivotButton="0" quotePrefix="0" xfId="0">
      <alignment horizontal="center" vertical="center"/>
    </xf>
    <xf numFmtId="0" fontId="0" fillId="13" borderId="27" applyAlignment="1" pivotButton="0" quotePrefix="0" xfId="0">
      <alignment horizontal="center" vertical="center"/>
    </xf>
    <xf numFmtId="0" fontId="0" fillId="0" borderId="56" applyAlignment="1" pivotButton="0" quotePrefix="0" xfId="0">
      <alignment horizontal="center" vertical="center"/>
    </xf>
    <xf numFmtId="0" fontId="0" fillId="0" borderId="30" applyAlignment="1" pivotButton="0" quotePrefix="0" xfId="0">
      <alignment horizontal="center" vertical="center"/>
    </xf>
    <xf numFmtId="0" fontId="0" fillId="0" borderId="27" applyAlignment="1" pivotButton="0" quotePrefix="0" xfId="0">
      <alignment horizontal="center" vertical="center"/>
    </xf>
    <xf numFmtId="0" fontId="3" fillId="43" borderId="19" applyAlignment="1" pivotButton="0" quotePrefix="0" xfId="0">
      <alignment horizontal="center"/>
    </xf>
    <xf numFmtId="17" fontId="63" fillId="0" borderId="0" applyAlignment="1" pivotButton="0" quotePrefix="0" xfId="0">
      <alignment horizontal="center" vertical="center" wrapText="1"/>
    </xf>
    <xf numFmtId="0" fontId="62" fillId="0" borderId="0" applyAlignment="1" pivotButton="0" quotePrefix="0" xfId="0">
      <alignment vertical="center" wrapText="1"/>
    </xf>
    <xf numFmtId="0" fontId="0" fillId="42" borderId="3" applyAlignment="1" pivotButton="0" quotePrefix="0" xfId="0">
      <alignment horizontal="center"/>
    </xf>
    <xf numFmtId="166" fontId="4" fillId="38" borderId="0" applyAlignment="1" pivotButton="0" quotePrefix="0" xfId="449">
      <alignment horizontal="center"/>
    </xf>
    <xf numFmtId="0" fontId="4" fillId="49" borderId="35" applyAlignment="1" pivotButton="0" quotePrefix="0" xfId="0">
      <alignment horizontal="center"/>
    </xf>
    <xf numFmtId="0" fontId="4" fillId="49" borderId="31" applyAlignment="1" pivotButton="0" quotePrefix="0" xfId="0">
      <alignment horizontal="center"/>
    </xf>
    <xf numFmtId="0" fontId="4" fillId="42" borderId="35" applyAlignment="1" pivotButton="0" quotePrefix="0" xfId="0">
      <alignment horizontal="center"/>
    </xf>
    <xf numFmtId="0" fontId="4" fillId="42" borderId="31" applyAlignment="1" pivotButton="0" quotePrefix="0" xfId="0">
      <alignment horizontal="center"/>
    </xf>
    <xf numFmtId="0" fontId="4" fillId="4" borderId="16" applyAlignment="1" pivotButton="0" quotePrefix="0" xfId="0">
      <alignment horizontal="center"/>
    </xf>
    <xf numFmtId="0" fontId="4" fillId="4" borderId="43" applyAlignment="1" pivotButton="0" quotePrefix="0" xfId="0">
      <alignment horizontal="center"/>
    </xf>
    <xf numFmtId="0" fontId="4" fillId="4" borderId="37" applyAlignment="1" pivotButton="0" quotePrefix="0" xfId="0">
      <alignment horizontal="center"/>
    </xf>
    <xf numFmtId="0" fontId="4" fillId="37" borderId="24" applyAlignment="1" pivotButton="0" quotePrefix="0" xfId="0">
      <alignment horizontal="center"/>
    </xf>
    <xf numFmtId="0" fontId="4" fillId="37" borderId="26" applyAlignment="1" pivotButton="0" quotePrefix="0" xfId="0">
      <alignment horizontal="center"/>
    </xf>
    <xf numFmtId="0" fontId="0" fillId="63" borderId="2" applyAlignment="1" pivotButton="0" quotePrefix="0" xfId="0">
      <alignment horizontal="center" vertical="center"/>
    </xf>
    <xf numFmtId="0" fontId="0" fillId="63" borderId="3" applyAlignment="1" pivotButton="0" quotePrefix="0" xfId="0">
      <alignment horizontal="center" vertical="center"/>
    </xf>
    <xf numFmtId="0" fontId="0" fillId="42" borderId="3" applyAlignment="1" pivotButton="0" quotePrefix="0" xfId="0">
      <alignment horizontal="center" vertical="center"/>
    </xf>
    <xf numFmtId="0" fontId="0" fillId="42" borderId="38" applyAlignment="1" pivotButton="0" quotePrefix="0" xfId="0">
      <alignment horizontal="center" vertical="center"/>
    </xf>
    <xf numFmtId="0" fontId="0" fillId="0" borderId="20" applyAlignment="1" pivotButton="0" quotePrefix="0" xfId="0">
      <alignment horizontal="center" vertical="center"/>
    </xf>
    <xf numFmtId="0" fontId="0" fillId="0" borderId="21" applyAlignment="1" pivotButton="0" quotePrefix="0" xfId="0">
      <alignment horizontal="center" vertical="center"/>
    </xf>
    <xf numFmtId="0" fontId="0" fillId="0" borderId="41" applyAlignment="1" pivotButton="0" quotePrefix="0" xfId="0">
      <alignment horizontal="center" vertical="center"/>
    </xf>
    <xf numFmtId="0" fontId="4" fillId="37" borderId="54" applyAlignment="1" pivotButton="0" quotePrefix="0" xfId="0">
      <alignment horizontal="center"/>
    </xf>
    <xf numFmtId="0" fontId="4" fillId="37" borderId="71" applyAlignment="1" pivotButton="0" quotePrefix="0" xfId="0">
      <alignment horizontal="center"/>
    </xf>
    <xf numFmtId="0" fontId="0" fillId="62" borderId="3" applyAlignment="1" pivotButton="0" quotePrefix="0" xfId="0">
      <alignment horizontal="center" vertical="center"/>
    </xf>
    <xf numFmtId="0" fontId="0" fillId="62" borderId="38" applyAlignment="1" pivotButton="0" quotePrefix="0" xfId="0">
      <alignment horizontal="center" vertical="center"/>
    </xf>
    <xf numFmtId="0" fontId="4" fillId="0" borderId="1" applyAlignment="1" pivotButton="0" quotePrefix="0" xfId="0">
      <alignment horizontal="center" vertical="center"/>
    </xf>
    <xf numFmtId="0" fontId="0" fillId="0" borderId="0" applyAlignment="1" pivotButton="0" quotePrefix="0" xfId="0">
      <alignment horizontal="left" vertical="center"/>
    </xf>
    <xf numFmtId="0" fontId="0" fillId="53" borderId="0" pivotButton="0" quotePrefix="0" xfId="0"/>
    <xf numFmtId="172" fontId="4" fillId="53" borderId="0" pivotButton="0" quotePrefix="0" xfId="0"/>
    <xf numFmtId="172" fontId="4" fillId="0" borderId="0" pivotButton="0" quotePrefix="0" xfId="0"/>
    <xf numFmtId="0" fontId="0" fillId="0" borderId="0" pivotButton="0" quotePrefix="0" xfId="0"/>
    <xf numFmtId="172" fontId="4" fillId="0" borderId="3" pivotButton="0" quotePrefix="0" xfId="0"/>
    <xf numFmtId="0" fontId="0" fillId="0" borderId="3" pivotButton="0" quotePrefix="0" xfId="0"/>
    <xf numFmtId="0" fontId="0" fillId="0" borderId="3" applyAlignment="1" pivotButton="0" quotePrefix="0" xfId="0">
      <alignment horizontal="left" vertical="center"/>
    </xf>
    <xf numFmtId="173" fontId="0" fillId="0" borderId="3" applyAlignment="1" pivotButton="0" quotePrefix="0" xfId="449">
      <alignment vertical="center"/>
    </xf>
    <xf numFmtId="0" fontId="0" fillId="0" borderId="31" pivotButton="0" quotePrefix="0" xfId="0"/>
    <xf numFmtId="172" fontId="4" fillId="0" borderId="31" pivotButton="0" quotePrefix="0" xfId="0"/>
    <xf numFmtId="172" fontId="0" fillId="0" borderId="31" pivotButton="0" quotePrefix="0" xfId="0"/>
    <xf numFmtId="172" fontId="4" fillId="0" borderId="16" pivotButton="0" quotePrefix="0" xfId="0"/>
    <xf numFmtId="49" fontId="0" fillId="0" borderId="0" applyAlignment="1" pivotButton="0" quotePrefix="0" xfId="0">
      <alignment vertical="center"/>
    </xf>
    <xf numFmtId="49" fontId="0" fillId="0" borderId="0" applyAlignment="1" pivotButton="0" quotePrefix="0" xfId="0">
      <alignment vertical="center"/>
    </xf>
    <xf numFmtId="173" fontId="0" fillId="0" borderId="0" applyAlignment="1" pivotButton="0" quotePrefix="0" xfId="0">
      <alignment vertical="center"/>
    </xf>
    <xf numFmtId="173" fontId="0" fillId="0" borderId="0" applyAlignment="1" pivotButton="0" quotePrefix="0" xfId="0">
      <alignment vertical="center" wrapText="1"/>
    </xf>
    <xf numFmtId="0" fontId="0" fillId="0" borderId="0" applyAlignment="1" pivotButton="0" quotePrefix="0" xfId="0">
      <alignment vertical="center"/>
    </xf>
    <xf numFmtId="173" fontId="0" fillId="0" borderId="0"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vertical="center" wrapText="1"/>
    </xf>
    <xf numFmtId="0" fontId="0" fillId="0" borderId="44" pivotButton="0" quotePrefix="0" xfId="0"/>
    <xf numFmtId="170" fontId="0" fillId="0" borderId="0" pivotButton="0" quotePrefix="0" xfId="0"/>
    <xf numFmtId="170" fontId="3" fillId="43" borderId="19" applyAlignment="1" pivotButton="0" quotePrefix="0" xfId="0">
      <alignment horizontal="center"/>
    </xf>
    <xf numFmtId="170" fontId="3" fillId="43" borderId="32" applyAlignment="1" pivotButton="0" quotePrefix="0" xfId="0">
      <alignment horizontal="center"/>
    </xf>
    <xf numFmtId="170" fontId="0" fillId="0" borderId="33" pivotButton="0" quotePrefix="0" xfId="0"/>
    <xf numFmtId="170" fontId="0" fillId="0" borderId="34" pivotButton="0" quotePrefix="0" xfId="0"/>
    <xf numFmtId="170" fontId="0" fillId="42" borderId="33" pivotButton="0" quotePrefix="0" xfId="0"/>
    <xf numFmtId="166" fontId="0" fillId="0" borderId="0" pivotButton="0" quotePrefix="0" xfId="449"/>
    <xf numFmtId="166" fontId="0" fillId="0" borderId="0" pivotButton="0" quotePrefix="0" xfId="0"/>
    <xf numFmtId="173" fontId="0" fillId="0" borderId="0" pivotButton="0" quotePrefix="0" xfId="0"/>
    <xf numFmtId="166" fontId="0" fillId="42" borderId="3" applyAlignment="1" pivotButton="0" quotePrefix="0" xfId="449">
      <alignment vertical="center"/>
    </xf>
    <xf numFmtId="166" fontId="0" fillId="0" borderId="3" pivotButton="0" quotePrefix="0" xfId="0"/>
    <xf numFmtId="166" fontId="0" fillId="0" borderId="3" pivotButton="0" quotePrefix="0" xfId="449"/>
    <xf numFmtId="166" fontId="0" fillId="52" borderId="3" pivotButton="0" quotePrefix="0" xfId="449"/>
    <xf numFmtId="166" fontId="0" fillId="42" borderId="3" pivotButton="0" quotePrefix="0" xfId="449"/>
    <xf numFmtId="166" fontId="0" fillId="0" borderId="0" applyAlignment="1" pivotButton="0" quotePrefix="0" xfId="449">
      <alignment vertical="center"/>
    </xf>
    <xf numFmtId="166" fontId="0" fillId="0" borderId="0" applyAlignment="1" pivotButton="0" quotePrefix="0" xfId="0">
      <alignment vertical="center"/>
    </xf>
    <xf numFmtId="166" fontId="0" fillId="0" borderId="0" applyAlignment="1" pivotButton="0" quotePrefix="0" xfId="0">
      <alignment vertical="center" wrapText="1"/>
    </xf>
    <xf numFmtId="173" fontId="0" fillId="0" borderId="0" pivotButton="0" quotePrefix="0" xfId="449"/>
    <xf numFmtId="166" fontId="0" fillId="42" borderId="0" applyAlignment="1" pivotButton="0" quotePrefix="0" xfId="0">
      <alignment vertical="center"/>
    </xf>
    <xf numFmtId="173" fontId="0" fillId="0" borderId="0" applyAlignment="1" pivotButton="0" quotePrefix="0" xfId="0">
      <alignment vertical="center"/>
    </xf>
    <xf numFmtId="173" fontId="0" fillId="0" borderId="0" applyAlignment="1" pivotButton="0" quotePrefix="0" xfId="449">
      <alignment vertical="center"/>
    </xf>
    <xf numFmtId="169" fontId="0" fillId="0" borderId="0" pivotButton="0" quotePrefix="0" xfId="2"/>
    <xf numFmtId="174" fontId="0" fillId="0" borderId="0" applyAlignment="1" pivotButton="0" quotePrefix="0" xfId="0">
      <alignment vertical="center"/>
    </xf>
    <xf numFmtId="166" fontId="56" fillId="0" borderId="0" applyAlignment="1" pivotButton="0" quotePrefix="0" xfId="449">
      <alignment horizontal="right" vertical="center" wrapText="1"/>
    </xf>
    <xf numFmtId="173" fontId="0" fillId="0" borderId="0" applyAlignment="1" pivotButton="0" quotePrefix="0" xfId="0">
      <alignment vertical="center" wrapText="1"/>
    </xf>
    <xf numFmtId="175" fontId="0" fillId="0" borderId="0" applyAlignment="1" pivotButton="0" quotePrefix="0" xfId="0">
      <alignment vertical="center" wrapText="1"/>
    </xf>
    <xf numFmtId="173" fontId="4" fillId="0" borderId="0" applyAlignment="1" pivotButton="0" quotePrefix="0" xfId="0">
      <alignment vertical="center" wrapText="1"/>
    </xf>
    <xf numFmtId="178" fontId="0" fillId="0" borderId="0" pivotButton="0" quotePrefix="0" xfId="0"/>
    <xf numFmtId="178" fontId="0" fillId="0" borderId="0" pivotButton="0" quotePrefix="0" xfId="180"/>
    <xf numFmtId="164" fontId="0" fillId="0" borderId="3" applyAlignment="1" pivotButton="0" quotePrefix="0" xfId="0">
      <alignment horizontal="center" vertical="center"/>
    </xf>
    <xf numFmtId="164" fontId="52" fillId="0" borderId="3" applyAlignment="1" pivotButton="0" quotePrefix="0" xfId="0">
      <alignment horizontal="center" vertical="center"/>
    </xf>
    <xf numFmtId="164" fontId="0" fillId="0" borderId="3" applyAlignment="1" pivotButton="0" quotePrefix="0" xfId="0">
      <alignment vertical="center" wrapText="1"/>
    </xf>
    <xf numFmtId="164" fontId="0" fillId="0" borderId="0" applyAlignment="1" pivotButton="0" quotePrefix="0" xfId="0">
      <alignment vertical="center"/>
    </xf>
    <xf numFmtId="173" fontId="0" fillId="0" borderId="3" applyAlignment="1" pivotButton="0" quotePrefix="0" xfId="0">
      <alignment wrapText="1"/>
    </xf>
    <xf numFmtId="173" fontId="0" fillId="0" borderId="3" applyAlignment="1" pivotButton="0" quotePrefix="0" xfId="0">
      <alignment vertical="center" wrapText="1"/>
    </xf>
    <xf numFmtId="164" fontId="0" fillId="0" borderId="1" applyAlignment="1" pivotButton="0" quotePrefix="0" xfId="0">
      <alignment horizontal="center" vertical="center"/>
    </xf>
    <xf numFmtId="164" fontId="52" fillId="0" borderId="1" applyAlignment="1" pivotButton="0" quotePrefix="0" xfId="0">
      <alignment horizontal="center" vertical="center"/>
    </xf>
    <xf numFmtId="170" fontId="4" fillId="0" borderId="0" pivotButton="0" quotePrefix="0" xfId="0"/>
    <xf numFmtId="170" fontId="3" fillId="43" borderId="33" applyAlignment="1" pivotButton="0" quotePrefix="0" xfId="0">
      <alignment horizontal="center"/>
    </xf>
    <xf numFmtId="170" fontId="3" fillId="43" borderId="34" applyAlignment="1" pivotButton="0" quotePrefix="0" xfId="0">
      <alignment horizontal="center"/>
    </xf>
    <xf numFmtId="170" fontId="3" fillId="43" borderId="0" applyAlignment="1" pivotButton="0" quotePrefix="0" xfId="0">
      <alignment horizontal="center"/>
    </xf>
    <xf numFmtId="170" fontId="0" fillId="0" borderId="44" pivotButton="0" quotePrefix="0" xfId="0"/>
    <xf numFmtId="170" fontId="0" fillId="0" borderId="32" pivotButton="0" quotePrefix="0" xfId="0"/>
    <xf numFmtId="170" fontId="0" fillId="0" borderId="19" pivotButton="0" quotePrefix="0" xfId="0"/>
    <xf numFmtId="170" fontId="0" fillId="11" borderId="34" pivotButton="0" quotePrefix="0" xfId="0"/>
    <xf numFmtId="170" fontId="0" fillId="11" borderId="0" pivotButton="0" quotePrefix="0" xfId="0"/>
    <xf numFmtId="170" fontId="57" fillId="0" borderId="33" pivotButton="0" quotePrefix="0" xfId="0"/>
    <xf numFmtId="170" fontId="57" fillId="0" borderId="34" pivotButton="0" quotePrefix="0" xfId="0"/>
    <xf numFmtId="170" fontId="0" fillId="42" borderId="0" pivotButton="0" quotePrefix="0" xfId="0"/>
    <xf numFmtId="170" fontId="0" fillId="11" borderId="33" pivotButton="0" quotePrefix="0" xfId="0"/>
    <xf numFmtId="170" fontId="0" fillId="42" borderId="34" pivotButton="0" quotePrefix="0" xfId="0"/>
    <xf numFmtId="166" fontId="4" fillId="38" borderId="0" applyAlignment="1" pivotButton="0" quotePrefix="0" xfId="449">
      <alignment horizontal="center"/>
    </xf>
    <xf numFmtId="166" fontId="4" fillId="38" borderId="36" pivotButton="0" quotePrefix="0" xfId="449"/>
    <xf numFmtId="166" fontId="4" fillId="38" borderId="6" pivotButton="0" quotePrefix="0" xfId="449"/>
    <xf numFmtId="166" fontId="4" fillId="38" borderId="30" pivotButton="0" quotePrefix="0" xfId="449"/>
    <xf numFmtId="166" fontId="4" fillId="38" borderId="31" pivotButton="0" quotePrefix="0" xfId="449"/>
    <xf numFmtId="166" fontId="4" fillId="38" borderId="0" pivotButton="0" quotePrefix="0" xfId="449"/>
    <xf numFmtId="166" fontId="4" fillId="0" borderId="0" pivotButton="0" quotePrefix="0" xfId="449"/>
    <xf numFmtId="173" fontId="70" fillId="0" borderId="0" pivotButton="0" quotePrefix="0" xfId="0"/>
    <xf numFmtId="171" fontId="0" fillId="0" borderId="0" pivotButton="0" quotePrefix="0" xfId="0"/>
    <xf numFmtId="170" fontId="58" fillId="0" borderId="0" applyAlignment="1" pivotButton="0" quotePrefix="0" xfId="0">
      <alignment horizontal="center" vertical="center"/>
    </xf>
    <xf numFmtId="166" fontId="58" fillId="0" borderId="0" applyAlignment="1" pivotButton="0" quotePrefix="0" xfId="0">
      <alignment vertical="center"/>
    </xf>
    <xf numFmtId="171" fontId="58" fillId="0" borderId="0" applyAlignment="1" pivotButton="0" quotePrefix="0" xfId="0">
      <alignment vertical="center"/>
    </xf>
    <xf numFmtId="172" fontId="0" fillId="0" borderId="0" pivotButton="0" quotePrefix="0" xfId="0"/>
    <xf numFmtId="166" fontId="0" fillId="0" borderId="31" pivotButton="0" quotePrefix="0" xfId="0"/>
    <xf numFmtId="171" fontId="0" fillId="0" borderId="3" pivotButton="0" quotePrefix="0" xfId="0"/>
    <xf numFmtId="171" fontId="0" fillId="0" borderId="3" applyAlignment="1" pivotButton="0" quotePrefix="0" xfId="1">
      <alignment horizontal="right"/>
    </xf>
    <xf numFmtId="171" fontId="0" fillId="0" borderId="37" pivotButton="0" quotePrefix="0" xfId="0"/>
    <xf numFmtId="171" fontId="0" fillId="0" borderId="3" pivotButton="0" quotePrefix="0" xfId="1"/>
    <xf numFmtId="172" fontId="0" fillId="0" borderId="3" pivotButton="0" quotePrefix="0" xfId="0"/>
    <xf numFmtId="170" fontId="0" fillId="0" borderId="3" pivotButton="0" quotePrefix="0" xfId="0"/>
    <xf numFmtId="166" fontId="0" fillId="0" borderId="3" applyAlignment="1" pivotButton="0" quotePrefix="0" xfId="449">
      <alignment vertical="center" wrapText="1"/>
    </xf>
    <xf numFmtId="172" fontId="0" fillId="0" borderId="37" pivotButton="0" quotePrefix="0" xfId="0"/>
    <xf numFmtId="171" fontId="56" fillId="45" borderId="0" applyAlignment="1" pivotButton="0" quotePrefix="0" xfId="0">
      <alignment horizontal="right" vertical="center"/>
    </xf>
    <xf numFmtId="171" fontId="0" fillId="37" borderId="0" applyAlignment="1" pivotButton="0" quotePrefix="0" xfId="0">
      <alignment horizontal="center" vertical="center"/>
    </xf>
    <xf numFmtId="171" fontId="0" fillId="0" borderId="0" pivotButton="0" quotePrefix="0" xfId="1"/>
    <xf numFmtId="171" fontId="56" fillId="45" borderId="3" applyAlignment="1" pivotButton="0" quotePrefix="0" xfId="0">
      <alignment horizontal="right" vertical="center"/>
    </xf>
    <xf numFmtId="171" fontId="0" fillId="37" borderId="3" applyAlignment="1" pivotButton="0" quotePrefix="0" xfId="0">
      <alignment horizontal="center" vertical="center"/>
    </xf>
    <xf numFmtId="166" fontId="4" fillId="41" borderId="0" pivotButton="0" quotePrefix="0" xfId="449"/>
    <xf numFmtId="171" fontId="0" fillId="0" borderId="0" applyAlignment="1" pivotButton="0" quotePrefix="0" xfId="0">
      <alignment horizontal="center"/>
    </xf>
    <xf numFmtId="173" fontId="0" fillId="0" borderId="3" applyAlignment="1" pivotButton="0" quotePrefix="0" xfId="449">
      <alignment vertical="center"/>
    </xf>
    <xf numFmtId="166" fontId="4" fillId="0" borderId="3" pivotButton="0" quotePrefix="0" xfId="449"/>
    <xf numFmtId="172" fontId="4" fillId="0" borderId="31" pivotButton="0" quotePrefix="0" xfId="0"/>
    <xf numFmtId="172" fontId="0" fillId="0" borderId="31" pivotButton="0" quotePrefix="0" xfId="0"/>
    <xf numFmtId="172" fontId="4" fillId="0" borderId="3" pivotButton="0" quotePrefix="0" xfId="0"/>
    <xf numFmtId="172" fontId="4" fillId="0" borderId="16" pivotButton="0" quotePrefix="0" xfId="0"/>
    <xf numFmtId="172" fontId="4" fillId="53" borderId="0" pivotButton="0" quotePrefix="0" xfId="0"/>
    <xf numFmtId="172" fontId="0" fillId="53" borderId="0" pivotButton="0" quotePrefix="0" xfId="0"/>
    <xf numFmtId="172" fontId="4" fillId="0" borderId="0" pivotButton="0" quotePrefix="0" xfId="0"/>
    <xf numFmtId="170" fontId="0" fillId="47" borderId="0" applyAlignment="1" pivotButton="0" quotePrefix="0" xfId="0">
      <alignment horizontal="center"/>
    </xf>
    <xf numFmtId="166" fontId="0" fillId="47" borderId="0" applyAlignment="1" pivotButton="0" quotePrefix="0" xfId="449">
      <alignment horizontal="center"/>
    </xf>
    <xf numFmtId="166" fontId="0" fillId="0" borderId="3" applyAlignment="1" pivotButton="0" quotePrefix="0" xfId="449">
      <alignment vertical="center"/>
    </xf>
    <xf numFmtId="172" fontId="4" fillId="53" borderId="1" pivotButton="0" quotePrefix="0" xfId="0"/>
    <xf numFmtId="172" fontId="4" fillId="0" borderId="1" pivotButton="0" quotePrefix="0" xfId="0"/>
    <xf numFmtId="172" fontId="4" fillId="0" borderId="19" pivotButton="0" quotePrefix="0" xfId="0"/>
    <xf numFmtId="166" fontId="0" fillId="11" borderId="3" applyAlignment="1" pivotButton="0" quotePrefix="0" xfId="449">
      <alignment vertical="center"/>
    </xf>
    <xf numFmtId="172" fontId="4" fillId="0" borderId="43" pivotButton="0" quotePrefix="0" xfId="0"/>
    <xf numFmtId="172" fontId="0" fillId="0" borderId="43" pivotButton="0" quotePrefix="0" xfId="0"/>
    <xf numFmtId="166" fontId="4" fillId="11" borderId="3" pivotButton="0" quotePrefix="0" xfId="449"/>
    <xf numFmtId="166" fontId="0" fillId="11" borderId="3" pivotButton="0" quotePrefix="0" xfId="449"/>
    <xf numFmtId="166" fontId="0" fillId="0" borderId="37" applyAlignment="1" pivotButton="0" quotePrefix="0" xfId="449">
      <alignment vertical="center"/>
    </xf>
    <xf numFmtId="173" fontId="0" fillId="0" borderId="37" applyAlignment="1" pivotButton="0" quotePrefix="0" xfId="449">
      <alignment vertical="center"/>
    </xf>
    <xf numFmtId="166" fontId="4" fillId="0" borderId="1" pivotButton="0" quotePrefix="0" xfId="449"/>
    <xf numFmtId="173" fontId="0" fillId="0" borderId="0" applyAlignment="1" pivotButton="0" quotePrefix="0" xfId="1">
      <alignment vertical="center"/>
    </xf>
    <xf numFmtId="166" fontId="0" fillId="0" borderId="0" applyAlignment="1" pivotButton="0" quotePrefix="0" xfId="449">
      <alignment horizontal="center"/>
    </xf>
    <xf numFmtId="173" fontId="0" fillId="0" borderId="3" pivotButton="0" quotePrefix="0" xfId="0"/>
    <xf numFmtId="168" fontId="0" fillId="0" borderId="0" applyAlignment="1" pivotButton="0" quotePrefix="0" xfId="0">
      <alignment vertical="center"/>
    </xf>
    <xf numFmtId="168" fontId="4" fillId="0" borderId="0" applyAlignment="1" pivotButton="0" quotePrefix="0" xfId="0">
      <alignment vertical="center"/>
    </xf>
    <xf numFmtId="168" fontId="3" fillId="7" borderId="3" applyAlignment="1" pivotButton="0" quotePrefix="0" xfId="0">
      <alignment horizontal="center" vertical="center"/>
    </xf>
    <xf numFmtId="165" fontId="3" fillId="9" borderId="3" applyAlignment="1" pivotButton="0" quotePrefix="0" xfId="0">
      <alignment horizontal="center" vertical="center"/>
    </xf>
    <xf numFmtId="0" fontId="3" fillId="7" borderId="3" applyAlignment="1" pivotButton="0" quotePrefix="0" xfId="0">
      <alignment horizontal="center" vertical="center"/>
    </xf>
    <xf numFmtId="0" fontId="3" fillId="8" borderId="3" applyAlignment="1" pivotButton="0" quotePrefix="0" xfId="0">
      <alignment horizontal="center" vertical="center"/>
    </xf>
    <xf numFmtId="168" fontId="4" fillId="0" borderId="3" applyAlignment="1" pivotButton="0" quotePrefix="0" xfId="0">
      <alignment vertical="center"/>
    </xf>
    <xf numFmtId="168" fontId="4" fillId="0" borderId="0" applyAlignment="1" pivotButton="0" quotePrefix="0" xfId="0">
      <alignment horizontal="right" vertical="center"/>
    </xf>
    <xf numFmtId="168" fontId="0" fillId="0" borderId="3" applyAlignment="1" pivotButton="0" quotePrefix="0" xfId="0">
      <alignment vertical="center"/>
    </xf>
    <xf numFmtId="165" fontId="4" fillId="4" borderId="3" applyAlignment="1" pivotButton="0" quotePrefix="0" xfId="0">
      <alignment vertical="center"/>
    </xf>
    <xf numFmtId="165" fontId="4" fillId="37" borderId="3" applyAlignment="1" pivotButton="0" quotePrefix="0" xfId="0">
      <alignment vertical="center"/>
    </xf>
    <xf numFmtId="165" fontId="4" fillId="0" borderId="3" applyAlignment="1" pivotButton="0" quotePrefix="0" xfId="0">
      <alignment vertical="center"/>
    </xf>
    <xf numFmtId="165" fontId="4" fillId="4" borderId="2" applyAlignment="1" pivotButton="0" quotePrefix="0" xfId="1">
      <alignment vertical="center"/>
    </xf>
    <xf numFmtId="165" fontId="0" fillId="38" borderId="2" applyAlignment="1" pivotButton="0" quotePrefix="0" xfId="1">
      <alignment vertical="center"/>
    </xf>
    <xf numFmtId="165" fontId="0" fillId="41" borderId="2" applyAlignment="1" pivotButton="0" quotePrefix="0" xfId="1">
      <alignment vertical="center"/>
    </xf>
    <xf numFmtId="165" fontId="0" fillId="41" borderId="2" applyAlignment="1" pivotButton="0" quotePrefix="0" xfId="1">
      <alignment horizontal="right" vertical="center"/>
    </xf>
    <xf numFmtId="165" fontId="0" fillId="38" borderId="42" applyAlignment="1" pivotButton="0" quotePrefix="0" xfId="1">
      <alignment vertical="center"/>
    </xf>
    <xf numFmtId="165" fontId="0" fillId="38" borderId="20" applyAlignment="1" pivotButton="0" quotePrefix="0" xfId="1">
      <alignment vertical="center"/>
    </xf>
    <xf numFmtId="165" fontId="0" fillId="38" borderId="3" applyAlignment="1" pivotButton="0" quotePrefix="0" xfId="1">
      <alignment vertical="center"/>
    </xf>
    <xf numFmtId="165" fontId="0" fillId="38" borderId="17" applyAlignment="1" pivotButton="0" quotePrefix="0" xfId="1">
      <alignment vertical="center"/>
    </xf>
    <xf numFmtId="165" fontId="0" fillId="54" borderId="48" applyAlignment="1" pivotButton="0" quotePrefix="0" xfId="1">
      <alignment vertical="center"/>
    </xf>
    <xf numFmtId="165" fontId="0" fillId="54" borderId="42" applyAlignment="1" pivotButton="0" quotePrefix="0" xfId="1">
      <alignment vertical="center"/>
    </xf>
    <xf numFmtId="165" fontId="0" fillId="54" borderId="61" applyAlignment="1" pivotButton="0" quotePrefix="0" xfId="1">
      <alignment vertical="center"/>
    </xf>
    <xf numFmtId="165" fontId="0" fillId="54" borderId="56" applyAlignment="1" pivotButton="0" quotePrefix="0" xfId="1">
      <alignment vertical="center"/>
    </xf>
    <xf numFmtId="165" fontId="0" fillId="54" borderId="17" applyAlignment="1" pivotButton="0" quotePrefix="0" xfId="1">
      <alignment vertical="center"/>
    </xf>
    <xf numFmtId="165" fontId="0" fillId="38" borderId="21" applyAlignment="1" pivotButton="0" quotePrefix="0" xfId="1">
      <alignment vertical="center"/>
    </xf>
    <xf numFmtId="165" fontId="0" fillId="0" borderId="42" applyAlignment="1" pivotButton="0" quotePrefix="0" xfId="1">
      <alignment vertical="center"/>
    </xf>
    <xf numFmtId="0" fontId="0" fillId="0" borderId="55" pivotButton="0" quotePrefix="0" xfId="0"/>
    <xf numFmtId="0" fontId="0" fillId="0" borderId="30" pivotButton="0" quotePrefix="0" xfId="0"/>
    <xf numFmtId="165" fontId="4" fillId="4" borderId="3" applyAlignment="1" pivotButton="0" quotePrefix="0" xfId="1">
      <alignment vertical="center"/>
    </xf>
    <xf numFmtId="165" fontId="0" fillId="41" borderId="3" applyAlignment="1" pivotButton="0" quotePrefix="0" xfId="1">
      <alignment vertical="center"/>
    </xf>
    <xf numFmtId="165" fontId="0" fillId="38" borderId="16" applyAlignment="1" pivotButton="0" quotePrefix="0" xfId="1">
      <alignment vertical="center"/>
    </xf>
    <xf numFmtId="165" fontId="0" fillId="38" borderId="18" applyAlignment="1" pivotButton="0" quotePrefix="0" xfId="1">
      <alignment vertical="center"/>
    </xf>
    <xf numFmtId="165" fontId="0" fillId="54" borderId="18" applyAlignment="1" pivotButton="0" quotePrefix="0" xfId="1">
      <alignment vertical="center"/>
    </xf>
    <xf numFmtId="165" fontId="0" fillId="54" borderId="16" applyAlignment="1" pivotButton="0" quotePrefix="0" xfId="1">
      <alignment vertical="center"/>
    </xf>
    <xf numFmtId="165" fontId="0" fillId="54" borderId="62" applyAlignment="1" pivotButton="0" quotePrefix="0" xfId="1">
      <alignment vertical="center"/>
    </xf>
    <xf numFmtId="165" fontId="0" fillId="54" borderId="43" applyAlignment="1" pivotButton="0" quotePrefix="0" xfId="1">
      <alignment vertical="center"/>
    </xf>
    <xf numFmtId="165" fontId="0" fillId="54" borderId="70" applyAlignment="1" pivotButton="0" quotePrefix="0" xfId="1">
      <alignment vertical="center"/>
    </xf>
    <xf numFmtId="165" fontId="0" fillId="54" borderId="69" applyAlignment="1" pivotButton="0" quotePrefix="0" xfId="1">
      <alignment vertical="center"/>
    </xf>
    <xf numFmtId="165" fontId="0" fillId="0" borderId="16" applyAlignment="1" pivotButton="0" quotePrefix="0" xfId="1">
      <alignment vertical="center"/>
    </xf>
    <xf numFmtId="165" fontId="0" fillId="0" borderId="47" applyAlignment="1" pivotButton="0" quotePrefix="0" xfId="1">
      <alignment vertical="center"/>
    </xf>
    <xf numFmtId="165" fontId="0" fillId="0" borderId="18" applyAlignment="1" pivotButton="0" quotePrefix="0" xfId="1">
      <alignment vertical="center"/>
    </xf>
    <xf numFmtId="165" fontId="0" fillId="0" borderId="43" applyAlignment="1" pivotButton="0" quotePrefix="0" xfId="1">
      <alignment vertical="center"/>
    </xf>
    <xf numFmtId="165" fontId="0" fillId="41" borderId="3" applyAlignment="1" pivotButton="0" quotePrefix="0" xfId="1">
      <alignment horizontal="right" vertical="center"/>
    </xf>
    <xf numFmtId="165" fontId="0" fillId="38" borderId="35" applyAlignment="1" pivotButton="0" quotePrefix="0" xfId="1">
      <alignment vertical="center"/>
    </xf>
    <xf numFmtId="165" fontId="0" fillId="54" borderId="37" applyAlignment="1" pivotButton="0" quotePrefix="0" xfId="1">
      <alignment vertical="center"/>
    </xf>
    <xf numFmtId="165" fontId="0" fillId="54" borderId="6" applyAlignment="1" pivotButton="0" quotePrefix="0" xfId="1">
      <alignment vertical="center"/>
    </xf>
    <xf numFmtId="169" fontId="4" fillId="4" borderId="3" applyAlignment="1" pivotButton="0" quotePrefix="0" xfId="2">
      <alignment vertical="center"/>
    </xf>
    <xf numFmtId="169" fontId="0" fillId="38" borderId="3" applyAlignment="1" pivotButton="0" quotePrefix="0" xfId="2">
      <alignment vertical="center"/>
    </xf>
    <xf numFmtId="169" fontId="0" fillId="41" borderId="3" applyAlignment="1" pivotButton="0" quotePrefix="0" xfId="2">
      <alignment vertical="center"/>
    </xf>
    <xf numFmtId="169" fontId="0" fillId="38" borderId="16" applyAlignment="1" pivotButton="0" quotePrefix="0" xfId="2">
      <alignment vertical="center"/>
    </xf>
    <xf numFmtId="169" fontId="0" fillId="38" borderId="21" applyAlignment="1" pivotButton="0" quotePrefix="0" xfId="2">
      <alignment vertical="center"/>
    </xf>
    <xf numFmtId="169" fontId="0" fillId="38" borderId="18" applyAlignment="1" pivotButton="0" quotePrefix="0" xfId="2">
      <alignment vertical="center"/>
    </xf>
    <xf numFmtId="169" fontId="0" fillId="54" borderId="37" applyAlignment="1" pivotButton="0" quotePrefix="0" xfId="2">
      <alignment vertical="center"/>
    </xf>
    <xf numFmtId="169" fontId="0" fillId="54" borderId="16" applyAlignment="1" pivotButton="0" quotePrefix="0" xfId="2">
      <alignment vertical="center"/>
    </xf>
    <xf numFmtId="169" fontId="0" fillId="54" borderId="62" applyAlignment="1" pivotButton="0" quotePrefix="0" xfId="2">
      <alignment vertical="center"/>
    </xf>
    <xf numFmtId="169" fontId="0" fillId="54" borderId="3" applyAlignment="1" pivotButton="0" quotePrefix="0" xfId="2">
      <alignment vertical="center"/>
    </xf>
    <xf numFmtId="169" fontId="0" fillId="54" borderId="18" applyAlignment="1" pivotButton="0" quotePrefix="0" xfId="2">
      <alignment vertical="center"/>
    </xf>
    <xf numFmtId="169" fontId="0" fillId="0" borderId="16" applyAlignment="1" pivotButton="0" quotePrefix="0" xfId="2">
      <alignment vertical="center"/>
    </xf>
    <xf numFmtId="169" fontId="0" fillId="0" borderId="47" applyAlignment="1" pivotButton="0" quotePrefix="0" xfId="2">
      <alignment vertical="center"/>
    </xf>
    <xf numFmtId="169" fontId="0" fillId="0" borderId="18" applyAlignment="1" pivotButton="0" quotePrefix="0" xfId="2">
      <alignment vertical="center"/>
    </xf>
    <xf numFmtId="169" fontId="0" fillId="0" borderId="43" applyAlignment="1" pivotButton="0" quotePrefix="0" xfId="2">
      <alignment vertical="center"/>
    </xf>
    <xf numFmtId="0" fontId="0" fillId="0" borderId="51" pivotButton="0" quotePrefix="0" xfId="0"/>
    <xf numFmtId="0" fontId="0" fillId="0" borderId="27" pivotButton="0" quotePrefix="0" xfId="0"/>
    <xf numFmtId="165" fontId="4" fillId="4" borderId="38" applyAlignment="1" pivotButton="0" quotePrefix="0" xfId="1">
      <alignment vertical="center"/>
    </xf>
    <xf numFmtId="165" fontId="0" fillId="38" borderId="38" applyAlignment="1" pivotButton="0" quotePrefix="0" xfId="1">
      <alignment vertical="center"/>
    </xf>
    <xf numFmtId="165" fontId="0" fillId="41" borderId="1" applyAlignment="1" pivotButton="0" quotePrefix="0" xfId="1">
      <alignment vertical="center"/>
    </xf>
    <xf numFmtId="165" fontId="0" fillId="38" borderId="1" applyAlignment="1" pivotButton="0" quotePrefix="0" xfId="1">
      <alignment vertical="center"/>
    </xf>
    <xf numFmtId="165" fontId="0" fillId="38" borderId="19" applyAlignment="1" pivotButton="0" quotePrefix="0" xfId="1">
      <alignment vertical="center"/>
    </xf>
    <xf numFmtId="165" fontId="0" fillId="38" borderId="22" applyAlignment="1" pivotButton="0" quotePrefix="0" xfId="1">
      <alignment vertical="center"/>
    </xf>
    <xf numFmtId="165" fontId="0" fillId="38" borderId="50" applyAlignment="1" pivotButton="0" quotePrefix="0" xfId="1">
      <alignment vertical="center"/>
    </xf>
    <xf numFmtId="165" fontId="0" fillId="54" borderId="49" applyAlignment="1" pivotButton="0" quotePrefix="0" xfId="1">
      <alignment vertical="center"/>
    </xf>
    <xf numFmtId="165" fontId="0" fillId="54" borderId="45" applyAlignment="1" pivotButton="0" quotePrefix="0" xfId="1">
      <alignment vertical="center"/>
    </xf>
    <xf numFmtId="165" fontId="0" fillId="54" borderId="63" applyAlignment="1" pivotButton="0" quotePrefix="0" xfId="1">
      <alignment vertical="center"/>
    </xf>
    <xf numFmtId="165" fontId="0" fillId="54" borderId="38" applyAlignment="1" pivotButton="0" quotePrefix="0" xfId="1">
      <alignment vertical="center"/>
    </xf>
    <xf numFmtId="165" fontId="0" fillId="54" borderId="39" applyAlignment="1" pivotButton="0" quotePrefix="0" xfId="1">
      <alignment vertical="center"/>
    </xf>
    <xf numFmtId="165" fontId="0" fillId="38" borderId="41" applyAlignment="1" pivotButton="0" quotePrefix="0" xfId="1">
      <alignment vertical="center"/>
    </xf>
    <xf numFmtId="165" fontId="0" fillId="0" borderId="45" applyAlignment="1" pivotButton="0" quotePrefix="0" xfId="1">
      <alignment vertical="center"/>
    </xf>
    <xf numFmtId="165" fontId="0" fillId="0" borderId="66" applyAlignment="1" pivotButton="0" quotePrefix="0" xfId="1">
      <alignment vertical="center"/>
    </xf>
    <xf numFmtId="165" fontId="0" fillId="0" borderId="39" applyAlignment="1" pivotButton="0" quotePrefix="0" xfId="1">
      <alignment vertical="center"/>
    </xf>
    <xf numFmtId="165" fontId="0" fillId="0" borderId="68" applyAlignment="1" pivotButton="0" quotePrefix="0" xfId="1">
      <alignment vertical="center"/>
    </xf>
    <xf numFmtId="165" fontId="0" fillId="38" borderId="46" applyAlignment="1" pivotButton="0" quotePrefix="0" xfId="1">
      <alignment vertical="center"/>
    </xf>
    <xf numFmtId="173" fontId="0" fillId="38" borderId="20" applyAlignment="1" pivotButton="0" quotePrefix="0" xfId="1">
      <alignment vertical="center"/>
    </xf>
    <xf numFmtId="165" fontId="0" fillId="54" borderId="65" applyAlignment="1" pivotButton="0" quotePrefix="0" xfId="1">
      <alignment vertical="center"/>
    </xf>
    <xf numFmtId="165" fontId="0" fillId="54" borderId="36" applyAlignment="1" pivotButton="0" quotePrefix="0" xfId="1">
      <alignment vertical="center"/>
    </xf>
    <xf numFmtId="166" fontId="0" fillId="54" borderId="6" applyAlignment="1" pivotButton="0" quotePrefix="0" xfId="1">
      <alignment vertical="center"/>
    </xf>
    <xf numFmtId="173" fontId="0" fillId="54" borderId="57" applyAlignment="1" pivotButton="0" quotePrefix="0" xfId="1">
      <alignment vertical="center"/>
    </xf>
    <xf numFmtId="165" fontId="0" fillId="38" borderId="60" applyAlignment="1" pivotButton="0" quotePrefix="0" xfId="1">
      <alignment vertical="center"/>
    </xf>
    <xf numFmtId="165" fontId="0" fillId="38" borderId="6" applyAlignment="1" pivotButton="0" quotePrefix="0" xfId="1">
      <alignment vertical="center"/>
    </xf>
    <xf numFmtId="165" fontId="0" fillId="0" borderId="35" applyAlignment="1" pivotButton="0" quotePrefix="0" xfId="1">
      <alignment vertical="center"/>
    </xf>
    <xf numFmtId="165" fontId="0" fillId="0" borderId="67" applyAlignment="1" pivotButton="0" quotePrefix="0" xfId="1">
      <alignment vertical="center"/>
    </xf>
    <xf numFmtId="165" fontId="0" fillId="0" borderId="57" applyAlignment="1" pivotButton="0" quotePrefix="0" xfId="1">
      <alignment vertical="center"/>
    </xf>
    <xf numFmtId="165" fontId="0" fillId="38" borderId="47" applyAlignment="1" pivotButton="0" quotePrefix="0" xfId="1">
      <alignment vertical="center"/>
    </xf>
    <xf numFmtId="165" fontId="0" fillId="54" borderId="3" applyAlignment="1" pivotButton="0" quotePrefix="0" xfId="1">
      <alignment vertical="center"/>
    </xf>
    <xf numFmtId="165" fontId="0" fillId="38" borderId="45" applyAlignment="1" pivotButton="0" quotePrefix="0" xfId="1">
      <alignment vertical="center"/>
    </xf>
    <xf numFmtId="165" fontId="0" fillId="38" borderId="39" applyAlignment="1" pivotButton="0" quotePrefix="0" xfId="1">
      <alignment vertical="center"/>
    </xf>
    <xf numFmtId="165" fontId="4" fillId="4" borderId="23" applyAlignment="1" pivotButton="0" quotePrefix="0" xfId="1">
      <alignment vertical="center"/>
    </xf>
    <xf numFmtId="165" fontId="0" fillId="38" borderId="23" applyAlignment="1" pivotButton="0" quotePrefix="0" xfId="1">
      <alignment vertical="center"/>
    </xf>
    <xf numFmtId="165" fontId="0" fillId="41" borderId="23" applyAlignment="1" pivotButton="0" quotePrefix="0" xfId="1">
      <alignment vertical="center"/>
    </xf>
    <xf numFmtId="165" fontId="0" fillId="41" borderId="25" applyAlignment="1" pivotButton="0" quotePrefix="0" xfId="1">
      <alignment vertical="center"/>
    </xf>
    <xf numFmtId="166" fontId="0" fillId="41" borderId="28" applyAlignment="1" pivotButton="0" quotePrefix="0" xfId="449">
      <alignment horizontal="right" vertical="center"/>
    </xf>
    <xf numFmtId="166" fontId="0" fillId="41" borderId="29" applyAlignment="1" pivotButton="0" quotePrefix="0" xfId="449">
      <alignment vertical="center"/>
    </xf>
    <xf numFmtId="166" fontId="0" fillId="38" borderId="25" applyAlignment="1" pivotButton="0" quotePrefix="0" xfId="449">
      <alignment vertical="center"/>
    </xf>
    <xf numFmtId="166" fontId="0" fillId="38" borderId="24" applyAlignment="1" pivotButton="0" quotePrefix="0" xfId="449">
      <alignment vertical="center"/>
    </xf>
    <xf numFmtId="165" fontId="0" fillId="38" borderId="24" applyAlignment="1" pivotButton="0" quotePrefix="0" xfId="1">
      <alignment vertical="center"/>
    </xf>
    <xf numFmtId="165" fontId="0" fillId="38" borderId="25" applyAlignment="1" pivotButton="0" quotePrefix="0" xfId="1">
      <alignment vertical="center"/>
    </xf>
    <xf numFmtId="165" fontId="0" fillId="38" borderId="51" applyAlignment="1" pivotButton="0" quotePrefix="0" xfId="1">
      <alignment vertical="center"/>
    </xf>
    <xf numFmtId="165" fontId="0" fillId="38" borderId="52" applyAlignment="1" pivotButton="0" quotePrefix="0" xfId="1">
      <alignment vertical="center"/>
    </xf>
    <xf numFmtId="165" fontId="0" fillId="38" borderId="53" applyAlignment="1" pivotButton="0" quotePrefix="0" xfId="1">
      <alignment vertical="center"/>
    </xf>
    <xf numFmtId="165" fontId="0" fillId="54" borderId="40" applyAlignment="1" pivotButton="0" quotePrefix="0" xfId="1">
      <alignment vertical="center"/>
    </xf>
    <xf numFmtId="165" fontId="0" fillId="54" borderId="25" applyAlignment="1" pivotButton="0" quotePrefix="0" xfId="1">
      <alignment vertical="center"/>
    </xf>
    <xf numFmtId="165" fontId="0" fillId="54" borderId="28" applyAlignment="1" pivotButton="0" quotePrefix="0" xfId="1">
      <alignment vertical="center"/>
    </xf>
    <xf numFmtId="165" fontId="0" fillId="54" borderId="64" applyAlignment="1" pivotButton="0" quotePrefix="0" xfId="1">
      <alignment vertical="center"/>
    </xf>
    <xf numFmtId="165" fontId="0" fillId="54" borderId="26" applyAlignment="1" pivotButton="0" quotePrefix="0" xfId="1">
      <alignment vertical="center"/>
    </xf>
    <xf numFmtId="165" fontId="0" fillId="38" borderId="40" applyAlignment="1" pivotButton="0" quotePrefix="0" xfId="1">
      <alignment vertical="center"/>
    </xf>
    <xf numFmtId="165" fontId="0" fillId="0" borderId="25" applyAlignment="1" pivotButton="0" quotePrefix="0" xfId="1">
      <alignment vertical="center"/>
    </xf>
    <xf numFmtId="173" fontId="60" fillId="0" borderId="0" pivotButton="0" quotePrefix="0" xfId="0"/>
    <xf numFmtId="173" fontId="55" fillId="0" borderId="0" pivotButton="0" quotePrefix="0" xfId="0"/>
    <xf numFmtId="165" fontId="0" fillId="0" borderId="0" applyAlignment="1" pivotButton="0" quotePrefix="0" xfId="0">
      <alignment vertical="center"/>
    </xf>
    <xf numFmtId="0" fontId="4" fillId="4" borderId="3" applyAlignment="1" pivotButton="0" quotePrefix="0" xfId="0">
      <alignment horizontal="center"/>
    </xf>
    <xf numFmtId="178" fontId="0" fillId="0" borderId="67" pivotButton="0" quotePrefix="0" xfId="180"/>
    <xf numFmtId="178" fontId="0" fillId="0" borderId="65" pivotButton="0" quotePrefix="0" xfId="180"/>
    <xf numFmtId="178" fontId="96" fillId="0" borderId="67" pivotButton="0" quotePrefix="0" xfId="180"/>
    <xf numFmtId="178" fontId="96" fillId="0" borderId="65" pivotButton="0" quotePrefix="0" xfId="180"/>
    <xf numFmtId="176" fontId="93" fillId="13" borderId="72" pivotButton="0" quotePrefix="0" xfId="388"/>
    <xf numFmtId="176" fontId="92" fillId="65" borderId="72" pivotButton="0" quotePrefix="0" xfId="388"/>
    <xf numFmtId="176" fontId="94" fillId="0" borderId="0" pivotButton="0" quotePrefix="0" xfId="388"/>
    <xf numFmtId="176" fontId="92" fillId="13" borderId="72" pivotButton="0" quotePrefix="0" xfId="388"/>
    <xf numFmtId="176" fontId="92" fillId="66" borderId="72" pivotButton="0" quotePrefix="0" xfId="388"/>
    <xf numFmtId="176" fontId="92" fillId="65" borderId="0" applyAlignment="1" pivotButton="0" quotePrefix="0" xfId="449">
      <alignment vertical="center"/>
    </xf>
    <xf numFmtId="176" fontId="93" fillId="13" borderId="72" pivotButton="0" quotePrefix="0" xfId="645"/>
    <xf numFmtId="175" fontId="94" fillId="0" borderId="0" pivotButton="0" quotePrefix="0" xfId="388"/>
    <xf numFmtId="176" fontId="92" fillId="13" borderId="72" pivotButton="0" quotePrefix="0" xfId="645"/>
    <xf numFmtId="176" fontId="92" fillId="65" borderId="72" pivotButton="0" quotePrefix="0" xfId="645"/>
    <xf numFmtId="169" fontId="93" fillId="13" borderId="72" pivotButton="0" quotePrefix="0" xfId="2"/>
    <xf numFmtId="169" fontId="92" fillId="65" borderId="72" applyAlignment="1" pivotButton="0" quotePrefix="0" xfId="646">
      <alignment vertical="center"/>
    </xf>
    <xf numFmtId="169" fontId="94" fillId="0" borderId="0" pivotButton="0" quotePrefix="0" xfId="2"/>
    <xf numFmtId="169" fontId="92" fillId="13" borderId="72" applyAlignment="1" pivotButton="0" quotePrefix="0" xfId="646">
      <alignment vertical="center"/>
    </xf>
    <xf numFmtId="169" fontId="92" fillId="65" borderId="0" applyAlignment="1" pivotButton="0" quotePrefix="0" xfId="646">
      <alignment vertical="center"/>
    </xf>
    <xf numFmtId="176" fontId="93" fillId="0" borderId="72" pivotButton="0" quotePrefix="0" xfId="388"/>
    <xf numFmtId="176" fontId="93" fillId="65" borderId="72" pivotButton="0" quotePrefix="0" xfId="388"/>
    <xf numFmtId="166" fontId="93" fillId="13" borderId="72" pivotButton="0" quotePrefix="0" xfId="388"/>
    <xf numFmtId="177" fontId="93" fillId="65" borderId="72" pivotButton="0" quotePrefix="0" xfId="388"/>
    <xf numFmtId="169" fontId="92" fillId="66" borderId="72" pivotButton="0" quotePrefix="0" xfId="2"/>
    <xf numFmtId="166" fontId="93" fillId="65" borderId="72" pivotButton="0" quotePrefix="0" xfId="388"/>
    <xf numFmtId="169" fontId="93" fillId="13" borderId="0" pivotButton="0" quotePrefix="0" xfId="2"/>
    <xf numFmtId="166" fontId="92" fillId="65" borderId="0" applyAlignment="1" pivotButton="0" quotePrefix="0" xfId="449">
      <alignment vertical="center"/>
    </xf>
    <xf numFmtId="169" fontId="92" fillId="65" borderId="0" pivotButton="0" quotePrefix="0" xfId="2"/>
    <xf numFmtId="166" fontId="0" fillId="0" borderId="3" applyAlignment="1" pivotButton="0" quotePrefix="0" xfId="449">
      <alignment horizontal="center" vertical="center"/>
    </xf>
    <xf numFmtId="167" fontId="53" fillId="0" borderId="3" applyAlignment="1" pivotButton="0" quotePrefix="0" xfId="0">
      <alignment horizontal="center" vertical="center"/>
    </xf>
    <xf numFmtId="167" fontId="53" fillId="0" borderId="1" applyAlignment="1" pivotButton="0" quotePrefix="0" xfId="0">
      <alignment horizontal="center" vertical="center"/>
    </xf>
    <xf numFmtId="167" fontId="53" fillId="0" borderId="30" applyAlignment="1" pivotButton="0" quotePrefix="0" xfId="0">
      <alignment horizontal="center" vertical="center"/>
    </xf>
    <xf numFmtId="166" fontId="0" fillId="0" borderId="0" applyAlignment="1" pivotButton="0" quotePrefix="0" xfId="449">
      <alignment horizontal="center" vertical="center"/>
    </xf>
    <xf numFmtId="167" fontId="54" fillId="5" borderId="3" applyAlignment="1" pivotButton="0" quotePrefix="0" xfId="0">
      <alignment horizontal="center" vertical="center"/>
    </xf>
    <xf numFmtId="167" fontId="69" fillId="5" borderId="3" applyAlignment="1" pivotButton="0" quotePrefix="0" xfId="0">
      <alignment horizontal="center" vertical="center"/>
    </xf>
    <xf numFmtId="164" fontId="4" fillId="0" borderId="0" applyAlignment="1" pivotButton="0" quotePrefix="0" xfId="0">
      <alignment horizontal="center" vertical="center"/>
    </xf>
    <xf numFmtId="167" fontId="53" fillId="0" borderId="16" applyAlignment="1" pivotButton="0" quotePrefix="0" xfId="0">
      <alignment horizontal="center" vertical="center"/>
    </xf>
    <xf numFmtId="167" fontId="53" fillId="0" borderId="19" applyAlignment="1" pivotButton="0" quotePrefix="0" xfId="0">
      <alignment horizontal="center" vertical="center"/>
    </xf>
    <xf numFmtId="167" fontId="53" fillId="0" borderId="6" applyAlignment="1" pivotButton="0" quotePrefix="0" xfId="0">
      <alignment horizontal="center" vertical="center"/>
    </xf>
    <xf numFmtId="167" fontId="69" fillId="5" borderId="6" applyAlignment="1" pivotButton="0" quotePrefix="0" xfId="0">
      <alignment horizontal="center" vertical="center"/>
    </xf>
    <xf numFmtId="173" fontId="58" fillId="0" borderId="0" applyAlignment="1" pivotButton="0" quotePrefix="0" xfId="0">
      <alignment vertical="center"/>
    </xf>
    <xf numFmtId="164" fontId="0" fillId="0" borderId="3" applyAlignment="1" pivotButton="0" quotePrefix="0" xfId="0">
      <alignment vertical="center"/>
    </xf>
    <xf numFmtId="165" fontId="0" fillId="0" borderId="3" pivotButton="0" quotePrefix="0" xfId="1"/>
    <xf numFmtId="165" fontId="0" fillId="0" borderId="2" applyAlignment="1" pivotButton="0" quotePrefix="0" xfId="1">
      <alignment vertical="center"/>
    </xf>
    <xf numFmtId="165" fontId="0" fillId="0" borderId="3" applyAlignment="1" pivotButton="0" quotePrefix="0" xfId="1">
      <alignment vertical="center"/>
    </xf>
    <xf numFmtId="169" fontId="0" fillId="0" borderId="3" applyAlignment="1" pivotButton="0" quotePrefix="0" xfId="2">
      <alignment vertical="center"/>
    </xf>
    <xf numFmtId="165" fontId="0" fillId="0" borderId="38" applyAlignment="1" pivotButton="0" quotePrefix="0" xfId="1">
      <alignment vertical="center"/>
    </xf>
    <xf numFmtId="165" fontId="0" fillId="0" borderId="6" applyAlignment="1" pivotButton="0" quotePrefix="0" xfId="1">
      <alignment vertical="center"/>
    </xf>
    <xf numFmtId="165" fontId="0" fillId="0" borderId="31" applyAlignment="1" pivotButton="0" quotePrefix="0" xfId="1">
      <alignment vertical="center"/>
    </xf>
    <xf numFmtId="165" fontId="0" fillId="0" borderId="21" applyAlignment="1" pivotButton="0" quotePrefix="0" xfId="1">
      <alignment vertical="center"/>
    </xf>
    <xf numFmtId="169" fontId="0" fillId="0" borderId="21" applyAlignment="1" pivotButton="0" quotePrefix="0" xfId="2">
      <alignment vertical="center"/>
    </xf>
    <xf numFmtId="165" fontId="0" fillId="0" borderId="41" applyAlignment="1" pivotButton="0" quotePrefix="0" xfId="1">
      <alignment vertical="center"/>
    </xf>
    <xf numFmtId="165" fontId="0" fillId="0" borderId="60" applyAlignment="1" pivotButton="0" quotePrefix="0" xfId="1">
      <alignment vertical="center"/>
    </xf>
    <xf numFmtId="165" fontId="0" fillId="0" borderId="40" applyAlignment="1" pivotButton="0" quotePrefix="0" xfId="1">
      <alignment vertical="center"/>
    </xf>
    <xf numFmtId="166" fontId="88" fillId="0" borderId="0" applyAlignment="1" pivotButton="0" quotePrefix="0" xfId="449">
      <alignment horizontal="right" vertical="center" wrapText="1"/>
    </xf>
    <xf numFmtId="173" fontId="89" fillId="0" borderId="0" pivotButton="0" quotePrefix="0" xfId="0"/>
    <xf numFmtId="166" fontId="90" fillId="0" borderId="0" applyAlignment="1" pivotButton="0" quotePrefix="0" xfId="0">
      <alignment vertical="center"/>
    </xf>
    <xf numFmtId="0" fontId="0" fillId="0" borderId="77" pivotButton="0" quotePrefix="0" xfId="0"/>
    <xf numFmtId="0" fontId="0" fillId="0" borderId="29" pivotButton="0" quotePrefix="0" xfId="0"/>
    <xf numFmtId="165" fontId="0" fillId="0" borderId="17" pivotButton="0" quotePrefix="0" xfId="0"/>
    <xf numFmtId="165" fontId="0" fillId="0" borderId="18" pivotButton="0" quotePrefix="0" xfId="0"/>
    <xf numFmtId="0" fontId="0" fillId="0" borderId="6" pivotButton="0" quotePrefix="0" xfId="0"/>
    <xf numFmtId="169" fontId="4" fillId="60" borderId="18" pivotButton="0" quotePrefix="0" xfId="0"/>
    <xf numFmtId="0" fontId="0" fillId="0" borderId="60" pivotButton="0" quotePrefix="0" xfId="0"/>
    <xf numFmtId="169" fontId="4" fillId="60" borderId="39" pivotButton="0" quotePrefix="0" xfId="0"/>
    <xf numFmtId="168" fontId="0" fillId="0" borderId="0" pivotButton="0" quotePrefix="0" xfId="0"/>
  </cellXfs>
  <cellStyles count="647">
    <cellStyle name="Normal" xfId="0" builtinId="0"/>
    <cellStyle name="Comma" xfId="1" builtinId="3"/>
    <cellStyle name="Percent" xfId="2" builtinId="5"/>
    <cellStyle name="Good" xfId="3" builtinId="26"/>
    <cellStyle name="Normale 2 6" xfId="4"/>
    <cellStyle name="Comma 3" xfId="5"/>
    <cellStyle name="Normal 2" xfId="6"/>
    <cellStyle name="Comma 2" xfId="7"/>
    <cellStyle name="Input 2" xfId="8"/>
    <cellStyle name="Normal 2 2" xfId="9"/>
    <cellStyle name="Undeline" xfId="10"/>
    <cellStyle name="Comma 4" xfId="11"/>
    <cellStyle name="Normal 16" xfId="12"/>
    <cellStyle name="Normal 2 2 5" xfId="13"/>
    <cellStyle name="Comma 2 3" xfId="14"/>
    <cellStyle name="Comma 3 2" xfId="15"/>
    <cellStyle name="20% - Accent1 2" xfId="16"/>
    <cellStyle name="20% - Accent1 2 2" xfId="17"/>
    <cellStyle name="20% - Accent1 2 3" xfId="18"/>
    <cellStyle name="20% - Accent1 2 3 2" xfId="19"/>
    <cellStyle name="20% - Accent1 2 4" xfId="20"/>
    <cellStyle name="20% - Accent1 2_Cluster Trading" xfId="21"/>
    <cellStyle name="20% - Accent2 2" xfId="22"/>
    <cellStyle name="20% - Accent2 2 2" xfId="23"/>
    <cellStyle name="20% - Accent2 2 3" xfId="24"/>
    <cellStyle name="20% - Accent2 2 3 2" xfId="25"/>
    <cellStyle name="20% - Accent2 2 4" xfId="26"/>
    <cellStyle name="20% - Accent2 2_Cluster Trading" xfId="27"/>
    <cellStyle name="20% - Accent3 2" xfId="28"/>
    <cellStyle name="20% - Accent3 2 2" xfId="29"/>
    <cellStyle name="20% - Accent3 2 3" xfId="30"/>
    <cellStyle name="20% - Accent3 2 3 2" xfId="31"/>
    <cellStyle name="20% - Accent3 2 4" xfId="32"/>
    <cellStyle name="20% - Accent3 2_Cluster Trading" xfId="33"/>
    <cellStyle name="20% - Accent4 2" xfId="34"/>
    <cellStyle name="20% - Accent4 2 2" xfId="35"/>
    <cellStyle name="20% - Accent4 2 3" xfId="36"/>
    <cellStyle name="20% - Accent4 2 3 2" xfId="37"/>
    <cellStyle name="20% - Accent4 2 4" xfId="38"/>
    <cellStyle name="20% - Accent4 2_Cluster Trading" xfId="39"/>
    <cellStyle name="20% - Accent5 2" xfId="40"/>
    <cellStyle name="20% - Accent5 2 2" xfId="41"/>
    <cellStyle name="20% - Accent5 2 3" xfId="42"/>
    <cellStyle name="20% - Accent5 2 3 2" xfId="43"/>
    <cellStyle name="20% - Accent5 2 4" xfId="44"/>
    <cellStyle name="20% - Accent5 2_Cluster Trading" xfId="45"/>
    <cellStyle name="20% - Accent6 2" xfId="46"/>
    <cellStyle name="20% - Accent6 2 2" xfId="47"/>
    <cellStyle name="20% - Accent6 2 3" xfId="48"/>
    <cellStyle name="20% - Accent6 2 3 2" xfId="49"/>
    <cellStyle name="20% - Accent6 2 4" xfId="50"/>
    <cellStyle name="20% - Accent6 2_Cluster Trading" xfId="51"/>
    <cellStyle name="20% - Akzent1" xfId="52"/>
    <cellStyle name="20% - Akzent2" xfId="53"/>
    <cellStyle name="20% - Akzent3" xfId="54"/>
    <cellStyle name="20% - Akzent4" xfId="55"/>
    <cellStyle name="20% - Akzent5" xfId="56"/>
    <cellStyle name="20% - Akzent6" xfId="57"/>
    <cellStyle name="40% - Accent1 2" xfId="58"/>
    <cellStyle name="40% - Accent1 2 2" xfId="59"/>
    <cellStyle name="40% - Accent1 2 3" xfId="60"/>
    <cellStyle name="40% - Accent1 2 3 2" xfId="61"/>
    <cellStyle name="40% - Accent1 2 4" xfId="62"/>
    <cellStyle name="40% - Accent1 2_Cluster Trading" xfId="63"/>
    <cellStyle name="40% - Accent2 2" xfId="64"/>
    <cellStyle name="40% - Accent2 2 2" xfId="65"/>
    <cellStyle name="40% - Accent2 2 3" xfId="66"/>
    <cellStyle name="40% - Accent2 2 3 2" xfId="67"/>
    <cellStyle name="40% - Accent2 2 4" xfId="68"/>
    <cellStyle name="40% - Accent2 2_Cluster Trading" xfId="69"/>
    <cellStyle name="40% - Accent3 2" xfId="70"/>
    <cellStyle name="40% - Accent3 2 2" xfId="71"/>
    <cellStyle name="40% - Accent3 2 3" xfId="72"/>
    <cellStyle name="40% - Accent3 2 3 2" xfId="73"/>
    <cellStyle name="40% - Accent3 2 4" xfId="74"/>
    <cellStyle name="40% - Accent3 2_Cluster Trading" xfId="75"/>
    <cellStyle name="40% - Accent4 2" xfId="76"/>
    <cellStyle name="40% - Accent4 2 2" xfId="77"/>
    <cellStyle name="40% - Accent4 2 3" xfId="78"/>
    <cellStyle name="40% - Accent4 2 3 2" xfId="79"/>
    <cellStyle name="40% - Accent4 2 4" xfId="80"/>
    <cellStyle name="40% - Accent4 2_Cluster Trading" xfId="81"/>
    <cellStyle name="40% - Accent5 2" xfId="82"/>
    <cellStyle name="40% - Accent5 2 2" xfId="83"/>
    <cellStyle name="40% - Accent5 2 3" xfId="84"/>
    <cellStyle name="40% - Accent5 2 3 2" xfId="85"/>
    <cellStyle name="40% - Accent5 2 4" xfId="86"/>
    <cellStyle name="40% - Accent5 2_Cluster Trading" xfId="87"/>
    <cellStyle name="40% - Accent6 2" xfId="88"/>
    <cellStyle name="40% - Accent6 2 2" xfId="89"/>
    <cellStyle name="40% - Accent6 2 3" xfId="90"/>
    <cellStyle name="40% - Accent6 2 3 2" xfId="91"/>
    <cellStyle name="40% - Accent6 2 4" xfId="92"/>
    <cellStyle name="40% - Accent6 2_Cluster Trading" xfId="93"/>
    <cellStyle name="40% - Akzent1" xfId="94"/>
    <cellStyle name="40% - Akzent2" xfId="95"/>
    <cellStyle name="40% - Akzent3" xfId="96"/>
    <cellStyle name="40% - Akzent4" xfId="97"/>
    <cellStyle name="40% - Akzent5" xfId="98"/>
    <cellStyle name="40% - Akzent6" xfId="99"/>
    <cellStyle name="60% - Accent1 2" xfId="100"/>
    <cellStyle name="60% - Accent1 2 2" xfId="101"/>
    <cellStyle name="60% - Accent2 2" xfId="102"/>
    <cellStyle name="60% - Accent2 2 2" xfId="103"/>
    <cellStyle name="60% - Accent3 2" xfId="104"/>
    <cellStyle name="60% - Accent3 2 2" xfId="105"/>
    <cellStyle name="60% - Accent4 2" xfId="106"/>
    <cellStyle name="60% - Accent4 2 2" xfId="107"/>
    <cellStyle name="60% - Accent5 2" xfId="108"/>
    <cellStyle name="60% - Accent5 2 2" xfId="109"/>
    <cellStyle name="60% - Accent6 2" xfId="110"/>
    <cellStyle name="60% - Accent6 2 2" xfId="111"/>
    <cellStyle name="60% - Akzent1" xfId="112"/>
    <cellStyle name="60% - Akzent2" xfId="113"/>
    <cellStyle name="60% - Akzent3" xfId="114"/>
    <cellStyle name="60% - Akzent4" xfId="115"/>
    <cellStyle name="60% - Akzent5" xfId="116"/>
    <cellStyle name="60% - Akzent6" xfId="117"/>
    <cellStyle name="Accent1 2" xfId="118"/>
    <cellStyle name="Accent1 2 2" xfId="119"/>
    <cellStyle name="Accent2 2" xfId="120"/>
    <cellStyle name="Accent2 2 2" xfId="121"/>
    <cellStyle name="Accent3 2" xfId="122"/>
    <cellStyle name="Accent3 2 2" xfId="123"/>
    <cellStyle name="Accent4 2" xfId="124"/>
    <cellStyle name="Accent4 2 2" xfId="125"/>
    <cellStyle name="Accent5 2" xfId="126"/>
    <cellStyle name="Accent5 2 2" xfId="127"/>
    <cellStyle name="Accent6 2" xfId="128"/>
    <cellStyle name="Accent6 2 2" xfId="129"/>
    <cellStyle name="Akzent1" xfId="130"/>
    <cellStyle name="Akzent2" xfId="131"/>
    <cellStyle name="Akzent3" xfId="132"/>
    <cellStyle name="Akzent4" xfId="133"/>
    <cellStyle name="Akzent5" xfId="134"/>
    <cellStyle name="Akzent6" xfId="135"/>
    <cellStyle name="Ausgabe" xfId="136"/>
    <cellStyle name="Bad 2" xfId="137"/>
    <cellStyle name="Bad 2 2" xfId="138"/>
    <cellStyle name="Bad 3" xfId="139"/>
    <cellStyle name="Bad 4" xfId="140"/>
    <cellStyle name="Berechnung" xfId="141"/>
    <cellStyle name="Calculation 2" xfId="142"/>
    <cellStyle name="Calculation 2 2" xfId="143"/>
    <cellStyle name="Check Cell 2" xfId="144"/>
    <cellStyle name="Check Cell 2 2" xfId="145"/>
    <cellStyle name="Collegamento ipertestuale" xfId="146"/>
    <cellStyle name="Collegamento ipertestuale visitato" xfId="147"/>
    <cellStyle name="Comma 10" xfId="148"/>
    <cellStyle name="Comma 12" xfId="149"/>
    <cellStyle name="Comma 12 7" xfId="150"/>
    <cellStyle name="Comma 12 7 2" xfId="151"/>
    <cellStyle name="Comma 16" xfId="152"/>
    <cellStyle name="Comma 17" xfId="153"/>
    <cellStyle name="Comma 17 2" xfId="154"/>
    <cellStyle name="Comma 17 2 2" xfId="155"/>
    <cellStyle name="Comma 19" xfId="156"/>
    <cellStyle name="Comma 2 5" xfId="157"/>
    <cellStyle name="Comma 2 2" xfId="158"/>
    <cellStyle name="Comma 25" xfId="159"/>
    <cellStyle name="Comma 27" xfId="160"/>
    <cellStyle name="Comma 28" xfId="161"/>
    <cellStyle name="Comma 3 4" xfId="162"/>
    <cellStyle name="Comma 31" xfId="163"/>
    <cellStyle name="Comma 37" xfId="164"/>
    <cellStyle name="Comma 38" xfId="165"/>
    <cellStyle name="Comma 4 3" xfId="166"/>
    <cellStyle name="Comma 4 9" xfId="167"/>
    <cellStyle name="Comma 40" xfId="168"/>
    <cellStyle name="Comma 41" xfId="169"/>
    <cellStyle name="Comma 42" xfId="170"/>
    <cellStyle name="Comma 43" xfId="171"/>
    <cellStyle name="Comma 44" xfId="172"/>
    <cellStyle name="Comma 48" xfId="173"/>
    <cellStyle name="Comma 49" xfId="174"/>
    <cellStyle name="Comma 5" xfId="175"/>
    <cellStyle name="Comma 50" xfId="176"/>
    <cellStyle name="Comma 51" xfId="177"/>
    <cellStyle name="Comma 57" xfId="178"/>
    <cellStyle name="Comma 59" xfId="179"/>
    <cellStyle name="Currency 2" xfId="180"/>
    <cellStyle name="Currency 2 2" xfId="181"/>
    <cellStyle name="Eingabe" xfId="182"/>
    <cellStyle name="Ergebnis" xfId="183"/>
    <cellStyle name="Erklärender Text" xfId="184"/>
    <cellStyle name="Euro" xfId="185"/>
    <cellStyle name="Explanatory Text 2" xfId="186"/>
    <cellStyle name="Explanatory Text 2 2" xfId="187"/>
    <cellStyle name="Good 2" xfId="188"/>
    <cellStyle name="Good 2 2" xfId="189"/>
    <cellStyle name="Good 3" xfId="190"/>
    <cellStyle name="Good 4" xfId="191"/>
    <cellStyle name="Gut" xfId="192"/>
    <cellStyle name="Heading 1 2" xfId="193"/>
    <cellStyle name="Heading 1 2 2" xfId="194"/>
    <cellStyle name="Heading 2 2" xfId="195"/>
    <cellStyle name="Heading 2 2 2" xfId="196"/>
    <cellStyle name="Heading 3 2" xfId="197"/>
    <cellStyle name="Heading 3 2 2" xfId="198"/>
    <cellStyle name="Heading 4 2" xfId="199"/>
    <cellStyle name="Heading 4 2 2" xfId="200"/>
    <cellStyle name="Hyperlink 2" xfId="201"/>
    <cellStyle name="Hyperlink 3" xfId="202"/>
    <cellStyle name="Hyperlink 4" xfId="203"/>
    <cellStyle name="Input 2 4" xfId="204"/>
    <cellStyle name="Input 2 2" xfId="205"/>
    <cellStyle name="Linked Cell 2" xfId="206"/>
    <cellStyle name="Linked Cell 2 2" xfId="207"/>
    <cellStyle name="Neutral 2" xfId="208"/>
    <cellStyle name="Normal 10" xfId="209"/>
    <cellStyle name="Normal 10 2" xfId="210"/>
    <cellStyle name="Normal 10 3" xfId="211"/>
    <cellStyle name="Normal 10 4" xfId="212"/>
    <cellStyle name="Normal 100" xfId="213"/>
    <cellStyle name="Normal 11" xfId="214"/>
    <cellStyle name="Normal 12" xfId="215"/>
    <cellStyle name="Normal 13" xfId="216"/>
    <cellStyle name="Normal 14" xfId="217"/>
    <cellStyle name="Normal 14 2" xfId="218"/>
    <cellStyle name="Normal 15" xfId="219"/>
    <cellStyle name="Normal 155" xfId="220"/>
    <cellStyle name="Normal 16 2" xfId="221"/>
    <cellStyle name="Normal 17" xfId="222"/>
    <cellStyle name="Normal 18" xfId="223"/>
    <cellStyle name="Normal 19" xfId="224"/>
    <cellStyle name="Normal 2 8" xfId="225"/>
    <cellStyle name="Normal 2 2 2" xfId="226"/>
    <cellStyle name="Normal 2 2 3" xfId="227"/>
    <cellStyle name="Normal 2 2 4" xfId="228"/>
    <cellStyle name="Normal 2 3" xfId="229"/>
    <cellStyle name="Normal 2 4" xfId="230"/>
    <cellStyle name="Normal 2 5" xfId="231"/>
    <cellStyle name="Normal 2 6" xfId="232"/>
    <cellStyle name="Normal 2_Cluster Trading" xfId="233"/>
    <cellStyle name="Normal 20" xfId="234"/>
    <cellStyle name="Normal 21" xfId="235"/>
    <cellStyle name="Normal 219" xfId="236"/>
    <cellStyle name="Normal 22" xfId="237"/>
    <cellStyle name="Normal 225" xfId="238"/>
    <cellStyle name="Normal 226" xfId="239"/>
    <cellStyle name="Normal 23" xfId="240"/>
    <cellStyle name="Normal 238" xfId="241"/>
    <cellStyle name="Normal 239" xfId="242"/>
    <cellStyle name="Normal 24" xfId="243"/>
    <cellStyle name="Normal 25" xfId="244"/>
    <cellStyle name="Normal 26" xfId="245"/>
    <cellStyle name="Normal 27" xfId="246"/>
    <cellStyle name="Normal 28" xfId="247"/>
    <cellStyle name="Normal 285" xfId="248"/>
    <cellStyle name="Normal 286" xfId="249"/>
    <cellStyle name="Normal 29" xfId="250"/>
    <cellStyle name="Normal 290" xfId="251"/>
    <cellStyle name="Normal 291" xfId="252"/>
    <cellStyle name="Normal 293 2" xfId="253"/>
    <cellStyle name="Normal 3" xfId="254"/>
    <cellStyle name="Normal 3 2" xfId="255"/>
    <cellStyle name="Normal 3 2 2" xfId="256"/>
    <cellStyle name="Normal 3 3" xfId="257"/>
    <cellStyle name="Normal 3 3 2" xfId="258"/>
    <cellStyle name="Normal 3 4" xfId="259"/>
    <cellStyle name="Normal 3 5" xfId="260"/>
    <cellStyle name="Normal 3 6" xfId="261"/>
    <cellStyle name="Normal 30" xfId="262"/>
    <cellStyle name="Normal 31" xfId="263"/>
    <cellStyle name="Normal 316" xfId="264"/>
    <cellStyle name="Normal 317" xfId="265"/>
    <cellStyle name="Normal 32" xfId="266"/>
    <cellStyle name="Normal 326" xfId="267"/>
    <cellStyle name="Normal 33" xfId="268"/>
    <cellStyle name="Normal 330" xfId="269"/>
    <cellStyle name="Normal 332" xfId="270"/>
    <cellStyle name="Normal 336" xfId="271"/>
    <cellStyle name="Normal 34" xfId="272"/>
    <cellStyle name="Normal 340" xfId="273"/>
    <cellStyle name="Normal 345" xfId="274"/>
    <cellStyle name="Normal 349" xfId="275"/>
    <cellStyle name="Normal 35" xfId="276"/>
    <cellStyle name="Normal 353" xfId="277"/>
    <cellStyle name="Normal 354 2" xfId="278"/>
    <cellStyle name="Normal 36" xfId="279"/>
    <cellStyle name="Normal 364" xfId="280"/>
    <cellStyle name="Normal 368" xfId="281"/>
    <cellStyle name="Normal 37" xfId="282"/>
    <cellStyle name="Normal 372" xfId="283"/>
    <cellStyle name="Normal 374" xfId="284"/>
    <cellStyle name="Normal 375" xfId="285"/>
    <cellStyle name="Normal 377" xfId="286"/>
    <cellStyle name="Normal 379" xfId="287"/>
    <cellStyle name="Normal 38" xfId="288"/>
    <cellStyle name="Normal 388" xfId="289"/>
    <cellStyle name="Normal 39" xfId="290"/>
    <cellStyle name="Normal 39 2" xfId="291"/>
    <cellStyle name="Normal 4" xfId="292"/>
    <cellStyle name="Normal 4 2" xfId="293"/>
    <cellStyle name="Normal 4 2 2" xfId="294"/>
    <cellStyle name="Normal 4 2_Cluster Trading" xfId="295"/>
    <cellStyle name="Normal 4 3" xfId="296"/>
    <cellStyle name="Normal 4 3 2" xfId="297"/>
    <cellStyle name="Normal 4 3_Quality WALL" xfId="298"/>
    <cellStyle name="Normal 4 4" xfId="299"/>
    <cellStyle name="Normal 4 5" xfId="300"/>
    <cellStyle name="Normal 4 6" xfId="301"/>
    <cellStyle name="Normal 4_Cluster Trading" xfId="302"/>
    <cellStyle name="Normal 40" xfId="303"/>
    <cellStyle name="Normal 401" xfId="304"/>
    <cellStyle name="Normal 405" xfId="305"/>
    <cellStyle name="Normal 416" xfId="306"/>
    <cellStyle name="Normal 420" xfId="307"/>
    <cellStyle name="Normal 423 2" xfId="308"/>
    <cellStyle name="Normal 434" xfId="309"/>
    <cellStyle name="Normal 5" xfId="310"/>
    <cellStyle name="Normal 5 2" xfId="311"/>
    <cellStyle name="Normal 5 2 2" xfId="312"/>
    <cellStyle name="Normal 5 2 3" xfId="313"/>
    <cellStyle name="Normal 5 3" xfId="314"/>
    <cellStyle name="Normal 5 4" xfId="315"/>
    <cellStyle name="Normal 5_Cluster Trading" xfId="316"/>
    <cellStyle name="Normal 6" xfId="317"/>
    <cellStyle name="Normal 6 2" xfId="318"/>
    <cellStyle name="Normal 6 2 2" xfId="319"/>
    <cellStyle name="Normal 6 2 3" xfId="320"/>
    <cellStyle name="Normal 6 3" xfId="321"/>
    <cellStyle name="Normal 6 3 2" xfId="322"/>
    <cellStyle name="Normal 6 3_Cluster Trading" xfId="323"/>
    <cellStyle name="Normal 6 4" xfId="324"/>
    <cellStyle name="Normal 6 5" xfId="325"/>
    <cellStyle name="Normal 6_Cluster Trading" xfId="326"/>
    <cellStyle name="Normal 7" xfId="327"/>
    <cellStyle name="Normal 7 2" xfId="328"/>
    <cellStyle name="Normal 7 2 2" xfId="329"/>
    <cellStyle name="Normal 7 2 3" xfId="330"/>
    <cellStyle name="Normal 7 3" xfId="331"/>
    <cellStyle name="Normal 7 3 2" xfId="332"/>
    <cellStyle name="Normal 7 3 3" xfId="333"/>
    <cellStyle name="Normal 7 4" xfId="334"/>
    <cellStyle name="Normal 7 5" xfId="335"/>
    <cellStyle name="Normal 8" xfId="336"/>
    <cellStyle name="Normal 8 2" xfId="337"/>
    <cellStyle name="Normal 8 3" xfId="338"/>
    <cellStyle name="Normal 8 4" xfId="339"/>
    <cellStyle name="Normal 9" xfId="340"/>
    <cellStyle name="Normal 9 2" xfId="341"/>
    <cellStyle name="Normal 9 3" xfId="342"/>
    <cellStyle name="Normale 40" xfId="343"/>
    <cellStyle name="Note 2" xfId="344"/>
    <cellStyle name="Note 2 2" xfId="345"/>
    <cellStyle name="Notiz" xfId="346"/>
    <cellStyle name="Notiz 2" xfId="347"/>
    <cellStyle name="Output 2" xfId="348"/>
    <cellStyle name="Output 2 2" xfId="349"/>
    <cellStyle name="Percent 2" xfId="350"/>
    <cellStyle name="Percent 2 2" xfId="351"/>
    <cellStyle name="Percent 2 2 2" xfId="352"/>
    <cellStyle name="Percent 2 2 3" xfId="353"/>
    <cellStyle name="Percent 2 3" xfId="354"/>
    <cellStyle name="Percent 2 4" xfId="355"/>
    <cellStyle name="Percent 3" xfId="356"/>
    <cellStyle name="Percent 4" xfId="357"/>
    <cellStyle name="Percent 5" xfId="358"/>
    <cellStyle name="Percent 6" xfId="359"/>
    <cellStyle name="Percent 7" xfId="360"/>
    <cellStyle name="Schlecht" xfId="361"/>
    <cellStyle name="Standard 2" xfId="362"/>
    <cellStyle name="Standard 4" xfId="363"/>
    <cellStyle name="Standard_alt" xfId="364"/>
    <cellStyle name="Title 2" xfId="365"/>
    <cellStyle name="Title1" xfId="366"/>
    <cellStyle name="Total 2" xfId="367"/>
    <cellStyle name="Total 2 2" xfId="368"/>
    <cellStyle name="Überschrift" xfId="369"/>
    <cellStyle name="Überschrift 1" xfId="370"/>
    <cellStyle name="Überschrift 2" xfId="371"/>
    <cellStyle name="Überschrift 3" xfId="372"/>
    <cellStyle name="Überschrift 4" xfId="373"/>
    <cellStyle name="Verknüpfte Zelle" xfId="374"/>
    <cellStyle name="Warnender Text" xfId="375"/>
    <cellStyle name="Warning Text 2" xfId="376"/>
    <cellStyle name="Warning Text 2 2" xfId="377"/>
    <cellStyle name="Zelle überprüfen" xfId="378"/>
    <cellStyle name="Comma 6" xfId="379"/>
    <cellStyle name="Normal 2 7" xfId="380"/>
    <cellStyle name="Normal 443" xfId="381"/>
    <cellStyle name="Normal 444" xfId="382"/>
    <cellStyle name="Normale 2" xfId="383"/>
    <cellStyle name="Comma 3 3" xfId="384"/>
    <cellStyle name="Comma 2 4" xfId="385"/>
    <cellStyle name="Input 2 3" xfId="386"/>
    <cellStyle name="Comma 4 2" xfId="387"/>
    <cellStyle name="Currency 3" xfId="388"/>
    <cellStyle name="Comma 7" xfId="389"/>
    <cellStyle name="Comma 3 5" xfId="390"/>
    <cellStyle name="Comma 2 6" xfId="391"/>
    <cellStyle name="Comma 4 4" xfId="392"/>
    <cellStyle name="Comma 2 3 2" xfId="393"/>
    <cellStyle name="Comma 3 2 2" xfId="394"/>
    <cellStyle name="Comma 12 7 3" xfId="395"/>
    <cellStyle name="Comma 12 7 2 2" xfId="396"/>
    <cellStyle name="Comma 17 2 3" xfId="397"/>
    <cellStyle name="Comma 17 2 2 2" xfId="398"/>
    <cellStyle name="Comma 2 5 2" xfId="399"/>
    <cellStyle name="Comma 2 2 2" xfId="400"/>
    <cellStyle name="Comma 3 4 2" xfId="401"/>
    <cellStyle name="Comma 5 2" xfId="402"/>
    <cellStyle name="Comma 6 2" xfId="403"/>
    <cellStyle name="Comma 3 3 2" xfId="404"/>
    <cellStyle name="Comma 2 4 2" xfId="405"/>
    <cellStyle name="Comma 4 2 2" xfId="406"/>
    <cellStyle name="Currency 3 2" xfId="407"/>
    <cellStyle name="Currency 4" xfId="408"/>
    <cellStyle name="Comma 8" xfId="409"/>
    <cellStyle name="Comma 3 6" xfId="410"/>
    <cellStyle name="Comma 2 7" xfId="411"/>
    <cellStyle name="Comma 4 5" xfId="412"/>
    <cellStyle name="Comma 2 3 3" xfId="413"/>
    <cellStyle name="Comma 3 2 3" xfId="414"/>
    <cellStyle name="Comma 12 7 4" xfId="415"/>
    <cellStyle name="Comma 12 7 2 3" xfId="416"/>
    <cellStyle name="Comma 17 2 4" xfId="417"/>
    <cellStyle name="Comma 17 2 2 3" xfId="418"/>
    <cellStyle name="Comma 2 5 3" xfId="419"/>
    <cellStyle name="Comma 2 2 3" xfId="420"/>
    <cellStyle name="Comma 3 4 3" xfId="421"/>
    <cellStyle name="Comma 5 3" xfId="422"/>
    <cellStyle name="Comma 6 3" xfId="423"/>
    <cellStyle name="Comma 3 3 3" xfId="424"/>
    <cellStyle name="Comma 2 4 3" xfId="425"/>
    <cellStyle name="Comma 4 2 3" xfId="426"/>
    <cellStyle name="Currency 3 3" xfId="427"/>
    <cellStyle name="Comma 7 2" xfId="428"/>
    <cellStyle name="Comma 3 5 2" xfId="429"/>
    <cellStyle name="Comma 2 6 2" xfId="430"/>
    <cellStyle name="Comma 4 4 2" xfId="431"/>
    <cellStyle name="Comma 2 3 2 2" xfId="432"/>
    <cellStyle name="Comma 3 2 2 2" xfId="433"/>
    <cellStyle name="Comma 12 7 3 2" xfId="434"/>
    <cellStyle name="Comma 12 7 2 2 2" xfId="435"/>
    <cellStyle name="Comma 17 2 3 2" xfId="436"/>
    <cellStyle name="Comma 17 2 2 2 2" xfId="437"/>
    <cellStyle name="Comma 2 5 2 2" xfId="438"/>
    <cellStyle name="Comma 2 2 2 2" xfId="439"/>
    <cellStyle name="Comma 3 4 2 2" xfId="440"/>
    <cellStyle name="Comma 5 2 2" xfId="441"/>
    <cellStyle name="Comma 6 2 2" xfId="442"/>
    <cellStyle name="Comma 3 3 2 2" xfId="443"/>
    <cellStyle name="Comma 2 4 2 2" xfId="444"/>
    <cellStyle name="Comma 4 2 2 2" xfId="445"/>
    <cellStyle name="Currency 3 2 2" xfId="446"/>
    <cellStyle name="Currency 4 2" xfId="447"/>
    <cellStyle name="Currency 5" xfId="448"/>
    <cellStyle name="Currency" xfId="449" builtinId="4"/>
    <cellStyle name="Comma 9" xfId="450"/>
    <cellStyle name="Comma 3 7" xfId="451"/>
    <cellStyle name="Comma 2 8" xfId="452"/>
    <cellStyle name="Comma 4 6" xfId="453"/>
    <cellStyle name="Comma 2 3 4" xfId="454"/>
    <cellStyle name="Comma 3 2 4" xfId="455"/>
    <cellStyle name="Comma 12 7 5" xfId="456"/>
    <cellStyle name="Comma 12 7 2 4" xfId="457"/>
    <cellStyle name="Comma 17 2 5" xfId="458"/>
    <cellStyle name="Comma 17 2 2 4" xfId="459"/>
    <cellStyle name="Comma 2 5 4" xfId="460"/>
    <cellStyle name="Comma 2 2 4" xfId="461"/>
    <cellStyle name="Comma 3 4 4" xfId="462"/>
    <cellStyle name="Comma 5 4" xfId="463"/>
    <cellStyle name="Comma 6 4" xfId="464"/>
    <cellStyle name="Comma 3 3 4" xfId="465"/>
    <cellStyle name="Comma 2 4 4" xfId="466"/>
    <cellStyle name="Comma 4 2 4" xfId="467"/>
    <cellStyle name="Currency 3 4" xfId="468"/>
    <cellStyle name="Comma 7 3" xfId="469"/>
    <cellStyle name="Comma 3 5 3" xfId="470"/>
    <cellStyle name="Comma 2 6 3" xfId="471"/>
    <cellStyle name="Comma 4 4 3" xfId="472"/>
    <cellStyle name="Comma 2 3 2 3" xfId="473"/>
    <cellStyle name="Comma 3 2 2 3" xfId="474"/>
    <cellStyle name="Comma 12 7 3 3" xfId="475"/>
    <cellStyle name="Comma 12 7 2 2 3" xfId="476"/>
    <cellStyle name="Comma 17 2 3 3" xfId="477"/>
    <cellStyle name="Comma 17 2 2 2 3" xfId="478"/>
    <cellStyle name="Comma 2 5 2 3" xfId="479"/>
    <cellStyle name="Comma 2 2 2 3" xfId="480"/>
    <cellStyle name="Comma 3 4 2 3" xfId="481"/>
    <cellStyle name="Comma 5 2 3" xfId="482"/>
    <cellStyle name="Comma 6 2 3" xfId="483"/>
    <cellStyle name="Comma 3 3 2 3" xfId="484"/>
    <cellStyle name="Comma 2 4 2 3" xfId="485"/>
    <cellStyle name="Comma 4 2 2 3" xfId="486"/>
    <cellStyle name="Currency 3 2 3" xfId="487"/>
    <cellStyle name="Currency 4 3" xfId="488"/>
    <cellStyle name="Comma 8 2" xfId="489"/>
    <cellStyle name="Comma 3 6 2" xfId="490"/>
    <cellStyle name="Comma 2 7 2" xfId="491"/>
    <cellStyle name="Comma 4 5 2" xfId="492"/>
    <cellStyle name="Comma 2 3 3 2" xfId="493"/>
    <cellStyle name="Comma 3 2 3 2" xfId="494"/>
    <cellStyle name="Comma 12 7 4 2" xfId="495"/>
    <cellStyle name="Comma 12 7 2 3 2" xfId="496"/>
    <cellStyle name="Comma 17 2 4 2" xfId="497"/>
    <cellStyle name="Comma 17 2 2 3 2" xfId="498"/>
    <cellStyle name="Comma 2 5 3 2" xfId="499"/>
    <cellStyle name="Comma 2 2 3 2" xfId="500"/>
    <cellStyle name="Comma 3 4 3 2" xfId="501"/>
    <cellStyle name="Comma 5 3 2" xfId="502"/>
    <cellStyle name="Comma 6 3 2" xfId="503"/>
    <cellStyle name="Comma 3 3 3 2" xfId="504"/>
    <cellStyle name="Comma 2 4 3 2" xfId="505"/>
    <cellStyle name="Comma 4 2 3 2" xfId="506"/>
    <cellStyle name="Currency 3 3 2" xfId="507"/>
    <cellStyle name="Comma 7 2 2" xfId="508"/>
    <cellStyle name="Comma 3 5 2 2" xfId="509"/>
    <cellStyle name="Comma 2 6 2 2" xfId="510"/>
    <cellStyle name="Comma 4 4 2 2" xfId="511"/>
    <cellStyle name="Comma 2 3 2 2 2" xfId="512"/>
    <cellStyle name="Comma 3 2 2 2 2" xfId="513"/>
    <cellStyle name="Comma 12 7 3 2 2" xfId="514"/>
    <cellStyle name="Comma 12 7 2 2 2 2" xfId="515"/>
    <cellStyle name="Comma 17 2 3 2 2" xfId="516"/>
    <cellStyle name="Comma 17 2 2 2 2 2" xfId="517"/>
    <cellStyle name="Comma 2 5 2 2 2" xfId="518"/>
    <cellStyle name="Comma 2 2 2 2 2" xfId="519"/>
    <cellStyle name="Comma 3 4 2 2 2" xfId="520"/>
    <cellStyle name="Comma 5 2 2 2" xfId="521"/>
    <cellStyle name="Comma 6 2 2 2" xfId="522"/>
    <cellStyle name="Comma 3 3 2 2 2" xfId="523"/>
    <cellStyle name="Comma 2 4 2 2 2" xfId="524"/>
    <cellStyle name="Comma 4 2 2 2 2" xfId="525"/>
    <cellStyle name="Currency 3 2 2 2" xfId="526"/>
    <cellStyle name="Currency 4 2 2" xfId="527"/>
    <cellStyle name="Currency 5 2" xfId="528"/>
    <cellStyle name="Currency 6" xfId="529"/>
    <cellStyle name="Comma 11" xfId="530"/>
    <cellStyle name="Currency 7" xfId="531"/>
    <cellStyle name="Comma 2 9" xfId="532"/>
    <cellStyle name="Currency 2 5" xfId="533"/>
    <cellStyle name="Currency 5 3" xfId="534"/>
    <cellStyle name="Comma 2 8 2" xfId="535"/>
    <cellStyle name="Comma 2 2 5" xfId="536"/>
    <cellStyle name="Currency 2 4" xfId="537"/>
    <cellStyle name="Comma 9 2" xfId="538"/>
    <cellStyle name="Comma 8 3" xfId="539"/>
    <cellStyle name="Comma 3 8" xfId="540"/>
    <cellStyle name="Comma 2 7 3" xfId="541"/>
    <cellStyle name="Comma 4 7" xfId="542"/>
    <cellStyle name="Comma 2 3 5" xfId="543"/>
    <cellStyle name="Comma 3 2 5" xfId="544"/>
    <cellStyle name="Comma 12 7 6" xfId="545"/>
    <cellStyle name="Comma 12 7 2 5" xfId="546"/>
    <cellStyle name="Comma 17 2 6" xfId="547"/>
    <cellStyle name="Comma 17 2 2 5" xfId="548"/>
    <cellStyle name="Comma 2 5 5" xfId="549"/>
    <cellStyle name="Comma 2 2 3 3" xfId="550"/>
    <cellStyle name="Comma 3 4 5" xfId="551"/>
    <cellStyle name="Comma 5 5" xfId="552"/>
    <cellStyle name="Currency 2 3" xfId="553"/>
    <cellStyle name="Comma 6 5" xfId="554"/>
    <cellStyle name="Comma 3 3 5" xfId="555"/>
    <cellStyle name="Comma 2 4 5" xfId="556"/>
    <cellStyle name="Comma 4 2 5" xfId="557"/>
    <cellStyle name="Currency 3 5" xfId="558"/>
    <cellStyle name="Comma 7 4" xfId="559"/>
    <cellStyle name="Comma 3 5 4" xfId="560"/>
    <cellStyle name="Comma 2 6 4" xfId="561"/>
    <cellStyle name="Comma 4 4 4" xfId="562"/>
    <cellStyle name="Comma 2 3 2 4" xfId="563"/>
    <cellStyle name="Comma 3 2 2 4" xfId="564"/>
    <cellStyle name="Comma 12 7 3 4" xfId="565"/>
    <cellStyle name="Comma 12 7 2 2 4" xfId="566"/>
    <cellStyle name="Comma 17 2 3 4" xfId="567"/>
    <cellStyle name="Comma 17 2 2 2 4" xfId="568"/>
    <cellStyle name="Comma 2 5 2 4" xfId="569"/>
    <cellStyle name="Comma 2 2 2 4" xfId="570"/>
    <cellStyle name="Comma 3 4 2 4" xfId="571"/>
    <cellStyle name="Comma 5 2 4" xfId="572"/>
    <cellStyle name="Comma 6 2 4" xfId="573"/>
    <cellStyle name="Comma 3 3 2 4" xfId="574"/>
    <cellStyle name="Comma 2 4 2 4" xfId="575"/>
    <cellStyle name="Comma 4 2 2 4" xfId="576"/>
    <cellStyle name="Currency 3 2 4" xfId="577"/>
    <cellStyle name="Currency 4 4" xfId="578"/>
    <cellStyle name="Currency 8" xfId="579"/>
    <cellStyle name="Comma 13" xfId="580"/>
    <cellStyle name="Comma 14" xfId="581"/>
    <cellStyle name="Comma 15" xfId="582"/>
    <cellStyle name="Comma 2 10" xfId="583"/>
    <cellStyle name="Actual Date" xfId="584"/>
    <cellStyle name="Comma  - Style1" xfId="585"/>
    <cellStyle name="Comma  - Style2" xfId="586"/>
    <cellStyle name="Comma  - Style3" xfId="587"/>
    <cellStyle name="Comma  - Style4" xfId="588"/>
    <cellStyle name="Comma  - Style5" xfId="589"/>
    <cellStyle name="Comma  - Style6" xfId="590"/>
    <cellStyle name="Comma  - Style7" xfId="591"/>
    <cellStyle name="Comma  - Style8" xfId="592"/>
    <cellStyle name="Currency ᛛ0]" xfId="593"/>
    <cellStyle name="Date" xfId="594"/>
    <cellStyle name="Euro 2" xfId="595"/>
    <cellStyle name="Fees" xfId="596"/>
    <cellStyle name="Fixed" xfId="597"/>
    <cellStyle name="Grey" xfId="598"/>
    <cellStyle name="HEADER" xfId="599"/>
    <cellStyle name="Heading1" xfId="600"/>
    <cellStyle name="Heading2" xfId="601"/>
    <cellStyle name="HIGHLIGHT" xfId="602"/>
    <cellStyle name="Input [yellow]" xfId="603"/>
    <cellStyle name="Migliaia (0)_2004-03-15 - NFES Refined estimates reorganization Italy - V3" xfId="604"/>
    <cellStyle name="Migliaia [0] 2" xfId="605"/>
    <cellStyle name="Migliaia 2" xfId="606"/>
    <cellStyle name="Migliaia 3" xfId="607"/>
    <cellStyle name="Migliaia 4" xfId="608"/>
    <cellStyle name="Migliaia 4 2" xfId="609"/>
    <cellStyle name="no dec" xfId="610"/>
    <cellStyle name="Non_definito" xfId="611"/>
    <cellStyle name="Normal - Style1" xfId="612"/>
    <cellStyle name="Normal 3 7" xfId="613"/>
    <cellStyle name="Normal 3 2 3" xfId="614"/>
    <cellStyle name="Normale 3" xfId="615"/>
    <cellStyle name="Normale 4" xfId="616"/>
    <cellStyle name="Normale 5" xfId="617"/>
    <cellStyle name="Percent [2]" xfId="618"/>
    <cellStyle name="Percentuale 2" xfId="619"/>
    <cellStyle name="Percentuale 3" xfId="620"/>
    <cellStyle name="Stile 1" xfId="621"/>
    <cellStyle name="Title date" xfId="622"/>
    <cellStyle name="Titles" xfId="623"/>
    <cellStyle name="Unprot" xfId="624"/>
    <cellStyle name="Unprot$" xfId="625"/>
    <cellStyle name="Unprotect" xfId="626"/>
    <cellStyle name="Valuta (0)_2004-03-15 - NFES Refined estimates reorganization Italy - V3" xfId="627"/>
    <cellStyle name="Var %" xfId="628"/>
    <cellStyle name="Variance" xfId="629"/>
    <cellStyle name="Normal 2 2 6" xfId="630"/>
    <cellStyle name="Comma 2 2 6" xfId="631"/>
    <cellStyle name="Normale 3 2" xfId="632"/>
    <cellStyle name="Normale 4 2" xfId="633"/>
    <cellStyle name="Normale 6" xfId="634"/>
    <cellStyle name="Normale 6 2" xfId="635"/>
    <cellStyle name="Normale 7" xfId="636"/>
    <cellStyle name="Normale 7 2" xfId="637"/>
    <cellStyle name="Normale 7 3" xfId="638"/>
    <cellStyle name="Percentuale 3 2" xfId="639"/>
    <cellStyle name="Percentuale 4" xfId="640"/>
    <cellStyle name="Percentuale 5" xfId="641"/>
    <cellStyle name="Normale 8" xfId="642"/>
    <cellStyle name="Normale 2 2" xfId="643"/>
    <cellStyle name="Normale 9" xfId="644"/>
    <cellStyle name="Normal 3 8" xfId="645"/>
    <cellStyle name="Percent 2 5" xfId="646"/>
  </cellStyles>
  <dxfs count="151">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ont>
        <color auto="1"/>
      </font>
      <fill>
        <patternFill>
          <bgColor rgb="FFFF0000"/>
        </patternFill>
      </fill>
    </dxf>
    <dxf>
      <font>
        <color rgb="FF9C0006"/>
      </font>
      <fill>
        <patternFill>
          <bgColor rgb="FFFFC7CE"/>
        </patternFill>
      </fill>
    </dxf>
    <dxf>
      <font>
        <color rgb="FF9C0006"/>
      </font>
      <fill>
        <patternFill>
          <bgColor rgb="FFFFC7CE"/>
        </patternFill>
      </fill>
    </dxf>
    <dxf>
      <alignment horizontal="general" vertical="center" wrapText="1"/>
    </dxf>
    <dxf>
      <alignment horizontal="general" vertical="center"/>
    </dxf>
    <dxf>
      <alignment horizontal="left" vertical="center"/>
    </dxf>
    <dxf>
      <font>
        <name val="Calibri"/>
        <family val="2"/>
        <strike val="0"/>
        <outline val="0"/>
        <shadow val="0"/>
        <condense val="0"/>
        <color theme="1"/>
        <extend val="0"/>
        <sz val="11"/>
        <vertAlign val="baseline"/>
        <scheme val="minor"/>
      </font>
      <numFmt numFmtId="12" formatCode="#,##0.00\ &quot;€&quot;;[Red]\-#,##0.00\ &quot;€&quot;"/>
      <alignment horizontal="general" vertical="center"/>
    </dxf>
    <dxf>
      <font>
        <name val="Calibri"/>
        <family val="2"/>
        <strike val="0"/>
        <outline val="0"/>
        <shadow val="0"/>
        <condense val="0"/>
        <color theme="1"/>
        <extend val="0"/>
        <sz val="11"/>
        <vertAlign val="baseline"/>
        <scheme val="minor"/>
      </font>
      <alignment horizontal="general" vertical="center"/>
    </dxf>
    <dxf>
      <numFmt numFmtId="12" formatCode="#,##0.00\ &quot;€&quot;;[Red]\-#,##0.00\ &quot;€&quot;"/>
      <fill>
        <patternFill>
          <fgColor indexed="64"/>
          <bgColor indexed="65"/>
        </patternFill>
      </fill>
      <alignment horizontal="general" vertical="center"/>
    </dxf>
    <dxf>
      <alignment horizontal="general" vertical="center" wrapText="1"/>
    </dxf>
    <dxf>
      <alignment horizontal="general" vertical="center"/>
    </dxf>
    <dxf>
      <alignment horizontal="general" vertical="center"/>
    </dxf>
    <dxf>
      <alignment horizontal="general" vertical="center"/>
    </dxf>
    <dxf>
      <numFmt numFmtId="30" formatCode="@"/>
      <alignment horizontal="general" vertical="center"/>
    </dxf>
    <dxf>
      <numFmt numFmtId="30" formatCode="@"/>
      <alignment horizontal="general" vertical="center"/>
    </dxf>
    <dxf>
      <numFmt numFmtId="30" formatCode="@"/>
      <alignment horizontal="general" vertical="center"/>
    </dxf>
    <dxf>
      <numFmt numFmtId="30" formatCode="@"/>
      <alignment horizontal="general" vertical="center"/>
    </dxf>
    <dxf>
      <numFmt numFmtId="30" formatCode="@"/>
      <alignment horizontal="general" vertical="center"/>
    </dxf>
    <dxf>
      <numFmt numFmtId="30" formatCode="@"/>
      <alignment horizontal="general" vertical="center"/>
    </dxf>
    <dxf>
      <numFmt numFmtId="30" formatCode="@"/>
      <fill>
        <patternFill>
          <fgColor indexed="64"/>
          <bgColor auto="1"/>
        </patternFill>
      </fill>
      <alignment horizontal="general" vertical="center"/>
    </dxf>
    <dxf>
      <numFmt numFmtId="30" formatCode="@"/>
      <fill>
        <patternFill>
          <fgColor indexed="64"/>
          <bgColor auto="1"/>
        </patternFill>
      </fill>
      <alignment horizontal="general" vertical="center"/>
    </dxf>
    <dxf>
      <numFmt numFmtId="30" formatCode="@"/>
      <alignment horizontal="general" vertical="center"/>
    </dxf>
    <dxf>
      <alignment vertical="center"/>
    </dxf>
    <dxf>
      <fill>
        <patternFill>
          <fgColor indexed="64"/>
          <bgColor indexed="65"/>
        </patternFill>
      </fill>
    </dxf>
    <dxf>
      <alignment horizontal="general" vertical="center" wrapText="1"/>
    </dxf>
    <dxf>
      <alignment horizontal="general" vertical="center" wrapText="1"/>
    </dxf>
    <dxf>
      <alignment horizontal="general" vertical="center"/>
    </dxf>
    <dxf>
      <alignment horizontal="general" vertical="center"/>
    </dxf>
    <dxf>
      <alignment horizontal="left" vertical="center"/>
    </dxf>
    <dxf>
      <alignment horizontal="left" vertical="center"/>
    </dxf>
    <dxf>
      <font>
        <name val="Calibri"/>
        <family val="2"/>
        <strike val="0"/>
        <outline val="0"/>
        <shadow val="0"/>
        <condense val="0"/>
        <color theme="1"/>
        <extend val="0"/>
        <sz val="11"/>
        <vertAlign val="baseline"/>
        <scheme val="minor"/>
      </font>
      <numFmt numFmtId="34" formatCode="_-* #,##0.00\ &quot;€&quot;_-;\-* #,##0.00\ &quot;€&quot;_-;_-* &quot;-&quot;??\ &quot;€&quot;_-;_-@_-"/>
      <alignment horizontal="general" vertical="center"/>
    </dxf>
    <dxf>
      <font>
        <name val="Calibri"/>
        <family val="2"/>
        <strike val="0"/>
        <outline val="0"/>
        <shadow val="0"/>
        <condense val="0"/>
        <color theme="1"/>
        <extend val="0"/>
        <sz val="11"/>
        <vertAlign val="baseline"/>
        <scheme val="minor"/>
      </font>
      <numFmt numFmtId="34" formatCode="_-* #,##0.00\ &quot;€&quot;_-;\-* #,##0.00\ &quot;€&quot;_-;_-* &quot;-&quot;??\ &quot;€&quot;_-;_-@_-"/>
      <alignment vertical="center"/>
    </dxf>
    <dxf>
      <font>
        <name val="Calibri"/>
        <family val="2"/>
        <strike val="0"/>
        <outline val="0"/>
        <shadow val="0"/>
        <condense val="0"/>
        <color theme="1"/>
        <extend val="0"/>
        <sz val="11"/>
        <vertAlign val="baseline"/>
        <scheme val="minor"/>
      </font>
      <numFmt numFmtId="34" formatCode="_-* #,##0.00\ &quot;€&quot;_-;\-* #,##0.00\ &quot;€&quot;_-;_-* &quot;-&quot;??\ &quot;€&quot;_-;_-@_-"/>
      <alignment horizontal="general" vertical="center"/>
    </dxf>
    <dxf>
      <font>
        <name val="Calibri"/>
        <family val="2"/>
        <strike val="0"/>
        <outline val="0"/>
        <shadow val="0"/>
        <condense val="0"/>
        <color theme="1"/>
        <extend val="0"/>
        <sz val="11"/>
        <vertAlign val="baseline"/>
        <scheme val="minor"/>
      </font>
      <alignment vertical="center"/>
    </dxf>
    <dxf>
      <numFmt numFmtId="34" formatCode="_-* #,##0.00\ &quot;€&quot;_-;\-* #,##0.00\ &quot;€&quot;_-;_-* &quot;-&quot;??\ &quot;€&quot;_-;_-@_-"/>
      <alignment horizontal="general" vertical="center"/>
    </dxf>
    <dxf>
      <alignment vertical="center"/>
    </dxf>
    <dxf>
      <numFmt numFmtId="12" formatCode="#,##0.00\ &quot;€&quot;;[Red]\-#,##0.00\ &quot;€&quot;"/>
      <alignment horizontal="general" vertical="center" wrapText="1"/>
    </dxf>
    <dxf>
      <alignment horizontal="general" vertical="center" wrapText="1"/>
    </dxf>
    <dxf>
      <numFmt numFmtId="12" formatCode="#,##0.00\ &quot;€&quot;;[Red]\-#,##0.00\ &quot;€&quot;"/>
      <alignment horizontal="general" vertical="center"/>
    </dxf>
    <dxf>
      <alignment vertical="center"/>
    </dxf>
    <dxf>
      <alignment horizontal="general" vertical="center"/>
    </dxf>
    <dxf>
      <alignment vertical="center"/>
    </dxf>
    <dxf>
      <alignment horizontal="general" vertical="center"/>
    </dxf>
    <dxf>
      <alignment vertical="center"/>
    </dxf>
    <dxf>
      <numFmt numFmtId="30" formatCode="@"/>
      <alignment horizontal="general" vertical="center"/>
    </dxf>
    <dxf>
      <numFmt numFmtId="30" formatCode="@"/>
      <alignment vertical="center"/>
    </dxf>
    <dxf>
      <numFmt numFmtId="30" formatCode="@"/>
      <alignment horizontal="general" vertical="center"/>
    </dxf>
    <dxf>
      <numFmt numFmtId="30" formatCode="@"/>
      <alignment vertical="center"/>
    </dxf>
    <dxf>
      <numFmt numFmtId="30" formatCode="@"/>
      <alignment horizontal="general" vertical="center"/>
    </dxf>
    <dxf>
      <numFmt numFmtId="30" formatCode="@"/>
      <alignment vertical="center"/>
    </dxf>
    <dxf>
      <numFmt numFmtId="30" formatCode="@"/>
      <alignment horizontal="general" vertical="center"/>
    </dxf>
    <dxf>
      <numFmt numFmtId="30" formatCode="@"/>
      <alignment horizontal="general" vertical="center"/>
    </dxf>
    <dxf>
      <numFmt numFmtId="30" formatCode="@"/>
      <alignment horizontal="general" vertical="center"/>
    </dxf>
    <dxf>
      <numFmt numFmtId="30" formatCode="@"/>
      <alignment horizontal="general" vertical="center"/>
    </dxf>
    <dxf>
      <numFmt numFmtId="30" formatCode="@"/>
      <alignment horizontal="general" vertical="center"/>
    </dxf>
    <dxf>
      <numFmt numFmtId="30" formatCode="@"/>
      <alignment horizontal="general" vertical="center"/>
    </dxf>
    <dxf>
      <numFmt numFmtId="30" formatCode="@"/>
      <fill>
        <patternFill>
          <fgColor indexed="64"/>
          <bgColor indexed="65"/>
        </patternFill>
      </fill>
      <alignment horizontal="general" vertical="center"/>
    </dxf>
    <dxf>
      <numFmt numFmtId="30" formatCode="@"/>
      <fill>
        <patternFill>
          <fgColor indexed="64"/>
          <bgColor auto="1"/>
        </patternFill>
      </fill>
      <alignment horizontal="general" vertical="center"/>
    </dxf>
    <dxf>
      <numFmt numFmtId="30" formatCode="@"/>
      <fill>
        <patternFill>
          <fgColor indexed="64"/>
          <bgColor indexed="65"/>
        </patternFill>
      </fill>
      <alignment horizontal="general" vertical="center"/>
    </dxf>
    <dxf>
      <numFmt numFmtId="30" formatCode="@"/>
      <fill>
        <patternFill>
          <fgColor indexed="64"/>
          <bgColor auto="1"/>
        </patternFill>
      </fill>
      <alignment vertical="center"/>
    </dxf>
    <dxf>
      <alignment horizontal="general" vertical="center"/>
    </dxf>
    <dxf>
      <alignment vertical="center"/>
    </dxf>
    <dxf>
      <alignment vertical="center"/>
    </dxf>
    <dxf>
      <alignment vertical="center"/>
    </dxf>
    <dxf>
      <alignment vertical="center"/>
    </dxf>
    <dxf>
      <font>
        <name val="Calibri"/>
        <family val="2"/>
        <strike val="0"/>
        <outline val="0"/>
        <shadow val="0"/>
        <condense val="0"/>
        <color theme="1"/>
        <extend val="0"/>
        <sz val="11"/>
        <vertAlign val="baseline"/>
        <scheme val="minor"/>
      </font>
      <numFmt numFmtId="34" formatCode="_-* #,##0.00\ &quot;€&quot;_-;\-* #,##0.00\ &quot;€&quot;_-;_-* &quot;-&quot;??\ &quot;€&quot;_-;_-@_-"/>
      <alignment vertical="center"/>
    </dxf>
    <dxf>
      <font>
        <name val="Calibri"/>
        <family val="2"/>
        <strike val="0"/>
        <outline val="0"/>
        <shadow val="0"/>
        <condense val="0"/>
        <color theme="1"/>
        <extend val="0"/>
        <sz val="11"/>
        <vertAlign val="baseline"/>
        <scheme val="minor"/>
      </font>
      <alignment vertical="center"/>
    </dxf>
    <dxf>
      <alignment vertical="center"/>
    </dxf>
    <dxf>
      <alignment horizontal="general" vertical="center" wrapText="1"/>
    </dxf>
    <dxf>
      <alignment vertical="center"/>
    </dxf>
    <dxf>
      <alignment vertical="center"/>
    </dxf>
    <dxf>
      <alignment vertical="center"/>
    </dxf>
    <dxf>
      <numFmt numFmtId="30" formatCode="@"/>
      <alignment vertical="center"/>
    </dxf>
    <dxf>
      <numFmt numFmtId="30" formatCode="@"/>
      <alignment vertical="center"/>
    </dxf>
    <dxf>
      <numFmt numFmtId="30" formatCode="@"/>
      <alignment vertical="center"/>
    </dxf>
    <dxf>
      <numFmt numFmtId="30" formatCode="@"/>
      <alignment horizontal="general" vertical="center"/>
    </dxf>
    <dxf>
      <numFmt numFmtId="30" formatCode="@"/>
      <fill>
        <patternFill>
          <fgColor indexed="64"/>
          <bgColor auto="1"/>
        </patternFill>
      </fill>
      <alignment horizontal="general" vertical="center"/>
    </dxf>
    <dxf>
      <numFmt numFmtId="30" formatCode="@"/>
      <fill>
        <patternFill>
          <fgColor indexed="64"/>
          <bgColor auto="1"/>
        </patternFill>
      </fill>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34" formatCode="_-* #,##0.00\ &quot;€&quot;_-;\-* #,##0.00\ &quot;€&quot;_-;_-* &quot;-&quot;??\ &quot;€&quot;_-;_-@_-"/>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pivotCacheDefinition" Target="/xl/pivotCache/pivotCacheDefinition1.xml" Id="rId17"/><Relationship Type="http://schemas.openxmlformats.org/officeDocument/2006/relationships/externalLink" Target="/xl/externalLinks/externalLink1.xml" Id="rId18"/><Relationship Type="http://schemas.openxmlformats.org/officeDocument/2006/relationships/externalLink" Target="/xl/externalLinks/externalLink2.xml" Id="rId19"/><Relationship Type="http://schemas.openxmlformats.org/officeDocument/2006/relationships/externalLink" Target="/xl/externalLinks/externalLink3.xml" Id="rId20"/><Relationship Type="http://schemas.openxmlformats.org/officeDocument/2006/relationships/styles" Target="styles.xml" Id="rId21"/><Relationship Type="http://schemas.openxmlformats.org/officeDocument/2006/relationships/theme" Target="theme/theme1.xml" Id="rId22"/></Relationships>
</file>

<file path=xl/comments/comment1.xml><?xml version="1.0" encoding="utf-8"?>
<comments xmlns="http://schemas.openxmlformats.org/spreadsheetml/2006/main">
  <authors>
    <author>tc={5462642C-E851-40BE-A285-6DB8689CEA94}</author>
    <author>tc={A898A557-4CB5-4E8A-8D44-9EED0D04B084}</author>
  </authors>
  <commentList>
    <comment ref="B10" authorId="0" shapeId="0">
      <text>
        <t xml:space="preserve">[Threaded comment]
Your version of Excel allows you to read this threaded comment; however, any edits to it will get removed if the file is opened in a newer version of Excel. Learn more: https://go.microsoft.com/fwlink/?linkid=870924
Comment:
    45%+5 di bd al mese
</t>
      </text>
    </comment>
    <comment ref="B11" authorId="1" shapeId="0">
      <text>
        <t>[Threaded comment]
Your version of Excel allows you to read this threaded comment; however, any edits to it will get removed if the file is opened in a newer version of Excel. Learn more: https://go.microsoft.com/fwlink/?linkid=870924
Comment:
    95% con noi</t>
      </text>
    </comment>
  </commentList>
</comments>
</file>

<file path=xl/comments/comment2.xml><?xml version="1.0" encoding="utf-8"?>
<comments xmlns="http://schemas.openxmlformats.org/spreadsheetml/2006/main">
  <authors>
    <author>tc={62387351-901D-49BB-942A-FB8FA3D6D172}</author>
    <author>tc={D5A07EA9-E50E-4FC8-A998-3B650C988043}</author>
    <author>tc={ABDEC10F-374E-4E25-B04F-5BC1B7A5318D}</author>
  </authors>
  <commentList>
    <comment ref="M9" authorId="0" shapeId="0">
      <text>
        <t>[Threaded comment]
Your version of Excel allows you to read this threaded comment; however, any edits to it will get removed if the file is opened in a newer version of Excel. Learn more: https://go.microsoft.com/fwlink/?linkid=870924
Comment:
    Residuo 2024</t>
      </text>
    </comment>
    <comment ref="M10" authorId="1" shapeId="0">
      <text>
        <t>[Threaded comment]
Your version of Excel allows you to read this threaded comment; however, any edits to it will get removed if the file is opened in a newer version of Excel. Learn more: https://go.microsoft.com/fwlink/?linkid=870924
Comment:
    Residuo 2024</t>
      </text>
    </comment>
    <comment ref="M11" authorId="2" shapeId="0">
      <text>
        <t>[Threaded comment]
Your version of Excel allows you to read this threaded comment; however, any edits to it will get removed if the file is opened in a newer version of Excel. Learn more: https://go.microsoft.com/fwlink/?linkid=870924
Comment:
    Residuo 20204</t>
      </text>
    </comment>
  </commentList>
</comments>
</file>

<file path=xl/comments/comment3.xml><?xml version="1.0" encoding="utf-8"?>
<comments xmlns="http://schemas.openxmlformats.org/spreadsheetml/2006/main">
  <authors>
    <author>Author</author>
  </authors>
  <commentList>
    <comment ref="C50" authorId="0" shapeId="0">
      <text>
        <t xml:space="preserve">Author:
fare booking entro dicembre
</t>
      </text>
    </comment>
  </commentList>
</comments>
</file>

<file path=xl/comments/comment4.xml><?xml version="1.0" encoding="utf-8"?>
<comments xmlns="http://schemas.openxmlformats.org/spreadsheetml/2006/main">
  <authors>
    <author>tc={2B1795BE-591D-4740-8163-0737399E5272}</author>
    <author>tc={6EA25D68-65D3-4946-8969-F0C17309977C}</author>
    <author>tc={7E043626-BEBC-4ADC-B180-DAF2A48ED8DB}</author>
    <author>tc={B77F3F57-113F-428B-94EB-557CF32C50E7}</author>
    <author>tc={4981CA67-0F81-462F-8A94-EBFEA205EBB4}</author>
    <author>tc={72E46887-1035-4198-A7D3-DB66650722BC}</author>
    <author>tc={FA6FBF0E-B56C-46F1-BA22-FDCE63FF057A}</author>
    <author>tc={041E56A0-0465-4266-93F1-733B590B62D8}</author>
    <author>tc={BC02C3BD-F90A-4826-9F93-ED59E4DB846F}</author>
    <author>tc={50A2729F-7D3D-4B23-8FC9-64E4D275EEB3}</author>
    <author>tc={A5D8B7CE-7AA9-4C17-BA86-B347DCA3EB0E}</author>
    <author>tc={3510B293-7A25-4C2E-9922-7B3C1479414B}</author>
    <author>tc={500CA02D-FEA3-4260-A14E-22164E15F707}</author>
    <author>Author</author>
    <author>tc={F62B5A03-B4BF-4A9C-B880-6722613E777A}</author>
    <author>tc={ACB12B2C-F677-45FE-8B57-0B62FCF48B70}</author>
    <author>tc={C92135FF-B2DD-4413-AC7B-94293F5F14B8}</author>
    <author>tc={EE8E3874-C04F-4110-8898-EFD168AFD061}</author>
    <author>tc={F15FC8DD-0D60-4D44-99FB-D105ED113F99}</author>
    <author>tc={ACD35657-CE18-440C-9604-6B3AEA023C63}</author>
    <author>tc={413FC41E-D7F0-4AC5-8C5B-6D69D099F2E1}</author>
    <author>tc={32CCCE1B-BA6C-4ACA-9A7B-C0B1D38BDFBE}</author>
    <author>tc={5D6DCFAF-BFF7-446A-89A5-C94DD79727A2}</author>
    <author>tc={98B48D33-269D-4A3F-919A-BF31D93D60B0}</author>
    <author>tc={2B60DC36-5A41-4B67-A17B-654ADE8D62C8}</author>
    <author>tc={D3A665A0-23DA-4260-9C12-D1B7A9A29DD9}</author>
    <author>tc={1221411B-57FC-4A7D-BE11-8EEDA7D81150}</author>
    <author>tc={D935709B-4D7C-490C-A663-0C282D174E67}</author>
    <author>tc={AC5021A8-C897-437B-9E1E-5E2E49BAE154}</author>
    <author>tc={EE962C21-78A5-4BF3-BBE9-F07DA53D4D5B}</author>
    <author>tc={D4B55714-6FBD-4F26-9CD6-2D0EA2344AE9}</author>
    <author>tc={13F4FBE0-9A0C-4625-93F2-F6EE09E4F459}</author>
    <author>tc={1A9F4EAD-B29A-4541-98F0-22D097AF864A}</author>
    <author>tc={22399501-FEC3-4469-9BF5-E04D56D0E9A5}</author>
    <author>tc={270473B5-CC13-4754-B349-02A6DEB7F37E}</author>
    <author>tc={C0623998-FD67-415B-BB83-B472EE1295A6}</author>
    <author>tc={F4C81805-7BC1-4D49-805D-A88DD706687C}</author>
    <author>tc={FFFBF2BC-9BC4-442F-9D05-B4B4D8B1160A}</author>
    <author>tc={21191B64-9FBF-40F4-8D7A-F00F457D6E15}</author>
    <author>tc={870F362A-7E45-4CF4-AEAC-080C8819D3DC}</author>
    <author>tc={85780F43-27E8-41EB-B32E-A3E08241AEE7}</author>
    <author>tc={581917B1-7BEE-4EF0-A552-1B290947D6D0}</author>
    <author>tc={DF3A6C15-CCC0-4570-9AF7-19241D78AA1C}</author>
    <author>tc={C80D2CFB-5B08-4C34-ADBD-4BDD46AD89EF}</author>
    <author>tc={50538EE3-4B8E-4F8E-A9BD-E884E691065D}</author>
    <author>tc={CD108A5C-3FA4-4E9E-9F73-3C3F87669B14}</author>
    <author>tc={C78AB2F5-4ED2-4968-B332-001664F77BE6}</author>
    <author>tc={9B0B74A1-F9E0-4604-BBDD-96F748573295}</author>
    <author>tc={4233F093-6B44-48B4-A390-7AAC8FFDC80B}</author>
    <author>tc={B17B55BE-63C5-437B-B234-106B3EBC23F0}</author>
    <author>tc={93B17C83-1E23-43C0-A507-AA4CFA1B7089}</author>
    <author>tc={199264DE-B28A-4809-A119-A34C2ACAB8F9}</author>
    <author>tc={74F1AD99-4527-4F70-B044-3170C50F09B8}</author>
    <author>tc={F275F00C-BFE1-4A86-AE68-3BC3EE7C391B}</author>
    <author>tc={49BC926D-EDD4-4471-A9D8-440852A04B30}</author>
    <author>tc={6938FC8F-5444-4DE4-9480-9D045B7FFF26}</author>
    <author>tc={AE22D27D-6207-4203-8286-14486D4A2BF6}</author>
    <author>tc={7ECEE375-C8D4-4B30-A351-DF7325B6C350}</author>
    <author>tc={B2ACD695-AD2A-4C5A-9917-AB4CD19870D2}</author>
    <author>tc={8DF17CCE-86C9-4B9F-B0CF-80F734D0036B}</author>
  </authors>
  <commentList>
    <comment ref="AO5" authorId="0" shapeId="0">
      <text>
        <t>[Threaded comment]
Your version of Excel allows you to read this threaded comment; however, any edits to it will get removed if the file is opened in a newer version of Excel. Learn more: https://go.microsoft.com/fwlink/?linkid=870924
Comment:
    16h Cabel - 8 Ferie</t>
      </text>
    </comment>
    <comment ref="AS5" authorId="1" shapeId="0">
      <text>
        <t>[Threaded comment]
Your version of Excel allows you to read this threaded comment; however, any edits to it will get removed if the file is opened in a newer version of Excel. Learn more: https://go.microsoft.com/fwlink/?linkid=870924
Comment:
    20h cabel</t>
      </text>
    </comment>
    <comment ref="AU5" authorId="2" shapeId="0">
      <text>
        <t>[Threaded comment]
Your version of Excel allows you to read this threaded comment; however, any edits to it will get removed if the file is opened in a newer version of Excel. Learn more: https://go.microsoft.com/fwlink/?linkid=870924
Comment:
    20h cabel</t>
      </text>
    </comment>
    <comment ref="AW5" authorId="3" shapeId="0">
      <text>
        <t>[Threaded comment]
Your version of Excel allows you to read this threaded comment; however, any edits to it will get removed if the file is opened in a newer version of Excel. Learn more: https://go.microsoft.com/fwlink/?linkid=870924
Comment:
    3 e 6 ferie</t>
      </text>
    </comment>
    <comment ref="AZ5" authorId="4" shapeId="0">
      <text>
        <t>[Threaded comment]
Your version of Excel allows you to read this threaded comment; however, any edits to it will get removed if the file is opened in a newer version of Excel. Learn more: https://go.microsoft.com/fwlink/?linkid=870924
Comment:
    Coperte da cabel</t>
      </text>
    </comment>
    <comment ref="AO6" authorId="5" shapeId="0">
      <text>
        <t>[Threaded comment]
Your version of Excel allows you to read this threaded comment; however, any edits to it will get removed if the file is opened in a newer version of Excel. Learn more: https://go.microsoft.com/fwlink/?linkid=870924
Comment:
    8h permesso</t>
      </text>
    </comment>
    <comment ref="AW6" authorId="6" shapeId="0">
      <text>
        <t>[Threaded comment]
Your version of Excel allows you to read this threaded comment; however, any edits to it will get removed if the file is opened in a newer version of Excel. Learn more: https://go.microsoft.com/fwlink/?linkid=870924
Comment:
    4 permesso</t>
      </text>
    </comment>
    <comment ref="K7" authorId="7" shapeId="0">
      <text>
        <t>[Threaded comment]
Your version of Excel allows you to read this threaded comment; however, any edits to it will get removed if the file is opened in a newer version of Excel. Learn more: https://go.microsoft.com/fwlink/?linkid=870924
Comment:
    7h straordinari</t>
      </text>
    </comment>
    <comment ref="AQ7" authorId="8" shapeId="0">
      <text>
        <t>[Threaded comment]
Your version of Excel allows you to read this threaded comment; however, any edits to it will get removed if the file is opened in a newer version of Excel. Learn more: https://go.microsoft.com/fwlink/?linkid=870924
Comment:
    48h ferie</t>
      </text>
    </comment>
    <comment ref="AS7" authorId="9" shapeId="0">
      <text>
        <t>[Threaded comment]
Your version of Excel allows you to read this threaded comment; however, any edits to it will get removed if the file is opened in a newer version of Excel. Learn more: https://go.microsoft.com/fwlink/?linkid=870924
Comment:
    40h ferie</t>
      </text>
    </comment>
    <comment ref="BA7" authorId="10" shapeId="0">
      <text>
        <t>[Threaded comment]
Your version of Excel allows you to read this threaded comment; however, any edits to it will get removed if the file is opened in a newer version of Excel. Learn more: https://go.microsoft.com/fwlink/?linkid=870924
Comment:
    32h ferie</t>
      </text>
    </comment>
    <comment ref="O9" authorId="11" shapeId="0">
      <text>
        <t>[Threaded comment]
Your version of Excel allows you to read this threaded comment; however, any edits to it will get removed if the file is opened in a newer version of Excel. Learn more: https://go.microsoft.com/fwlink/?linkid=870924
Comment:
    15 gg di congedo parentale</t>
      </text>
    </comment>
    <comment ref="AA9" authorId="12" shapeId="0">
      <text>
        <t>[Threaded comment]
Your version of Excel allows you to read this threaded comment; however, any edits to it will get removed if the file is opened in a newer version of Excel. Learn more: https://go.microsoft.com/fwlink/?linkid=870924
Comment:
    Recupero ore di mooney luglio</t>
      </text>
    </comment>
    <comment ref="AI9" authorId="13" shapeId="0">
      <text>
        <t xml:space="preserve">Author:
23 ferie
</t>
      </text>
    </comment>
    <comment ref="AO9" authorId="14" shapeId="0">
      <text>
        <t>[Threaded comment]
Your version of Excel allows you to read this threaded comment; however, any edits to it will get removed if the file is opened in a newer version of Excel. Learn more: https://go.microsoft.com/fwlink/?linkid=870924
Comment:
    40h ferie</t>
      </text>
    </comment>
    <comment ref="AG10" authorId="13" shapeId="0">
      <text>
        <t>Author:
50% mooney</t>
      </text>
    </comment>
    <comment ref="AS10" authorId="15" shapeId="0">
      <text>
        <t>[Threaded comment]
Your version of Excel allows you to read this threaded comment; however, any edits to it will get removed if the file is opened in a newer version of Excel. Learn more: https://go.microsoft.com/fwlink/?linkid=870924
Comment:
    40h di training</t>
      </text>
    </comment>
    <comment ref="AW10" authorId="16" shapeId="0">
      <text>
        <t>[Threaded comment]
Your version of Excel allows you to read this threaded comment; however, any edits to it will get removed if the file is opened in a newer version of Excel. Learn more: https://go.microsoft.com/fwlink/?linkid=870924
Comment:
    2 visita medica</t>
      </text>
    </comment>
    <comment ref="BA10" authorId="17" shapeId="0">
      <text>
        <t>[Threaded comment]
Your version of Excel allows you to read this threaded comment; however, any edits to it will get removed if the file is opened in a newer version of Excel. Learn more: https://go.microsoft.com/fwlink/?linkid=870924
Comment:
    16 h CDP 1q</t>
      </text>
    </comment>
    <comment ref="AQ11" authorId="18" shapeId="0">
      <text>
        <t>[Threaded comment]
Your version of Excel allows you to read this threaded comment; however, any edits to it will get removed if the file is opened in a newer version of Excel. Learn more: https://go.microsoft.com/fwlink/?linkid=870924
Comment:
    26,5 rol+visita medica</t>
      </text>
    </comment>
    <comment ref="AS11" authorId="19" shapeId="0">
      <text>
        <t>[Threaded comment]
Your version of Excel allows you to read this threaded comment; however, any edits to it will get removed if the file is opened in a newer version of Excel. Learn more: https://go.microsoft.com/fwlink/?linkid=870924
Comment:
    Ferie 4 maggio</t>
      </text>
    </comment>
    <comment ref="AW11" authorId="20" shapeId="0">
      <text>
        <t>[Threaded comment]
Your version of Excel allows you to read this threaded comment; however, any edits to it will get removed if the file is opened in a newer version of Excel. Learn more: https://go.microsoft.com/fwlink/?linkid=870924
Comment:
    6 visita</t>
      </text>
    </comment>
    <comment ref="AQ12" authorId="21" shapeId="0">
      <text>
        <t>[Threaded comment]
Your version of Excel allows you to read this threaded comment; however, any edits to it will get removed if the file is opened in a newer version of Excel. Learn more: https://go.microsoft.com/fwlink/?linkid=870924
Comment:
    Ferie 8 aprile+permesso 3h mattina 14</t>
      </text>
    </comment>
    <comment ref="AW12" authorId="22" shapeId="0">
      <text>
        <t>[Threaded comment]
Your version of Excel allows you to read this threaded comment; however, any edits to it will get removed if the file is opened in a newer version of Excel. Learn more: https://go.microsoft.com/fwlink/?linkid=870924
Comment:
    3+2+2 visita medica</t>
      </text>
    </comment>
    <comment ref="AO13" authorId="23" shapeId="0">
      <text>
        <t>[Threaded comment]
Your version of Excel allows you to read this threaded comment; however, any edits to it will get removed if the file is opened in a newer version of Excel. Learn more: https://go.microsoft.com/fwlink/?linkid=870924
Comment:
    34h permesso studio+104</t>
      </text>
    </comment>
    <comment ref="AQ13" authorId="24" shapeId="0">
      <text>
        <t>[Threaded comment]
Your version of Excel allows you to read this threaded comment; however, any edits to it will get removed if the file is opened in a newer version of Excel. Learn more: https://go.microsoft.com/fwlink/?linkid=870924
Comment:
    malattia</t>
      </text>
    </comment>
    <comment ref="AS13" authorId="25" shapeId="0">
      <text>
        <t>[Threaded comment]
Your version of Excel allows you to read this threaded comment; however, any edits to it will get removed if the file is opened in a newer version of Excel. Learn more: https://go.microsoft.com/fwlink/?linkid=870924
Comment:
    40h malattia</t>
      </text>
    </comment>
    <comment ref="O14" authorId="26" shapeId="0">
      <text>
        <t>[Threaded comment]
Your version of Excel allows you to read this threaded comment; however, any edits to it will get removed if the file is opened in a newer version of Excel. Learn more: https://go.microsoft.com/fwlink/?linkid=870924
Comment:
    Qui va aggiunto il carico di gennaio, chiedere a Giovanni Buonocore il valore</t>
      </text>
    </comment>
    <comment ref="AO14" authorId="27" shapeId="0">
      <text>
        <t>[Threaded comment]
Your version of Excel allows you to read this threaded comment; however, any edits to it will get removed if the file is opened in a newer version of Excel. Learn more: https://go.microsoft.com/fwlink/?linkid=870924
Comment:
    8h ferie</t>
      </text>
    </comment>
    <comment ref="AW14" authorId="28" shapeId="0">
      <text>
        <t>[Threaded comment]
Your version of Excel allows you to read this threaded comment; however, any edits to it will get removed if the file is opened in a newer version of Excel. Learn more: https://go.microsoft.com/fwlink/?linkid=870924
Comment:
    16h ferie</t>
      </text>
    </comment>
    <comment ref="AY14" authorId="29" shapeId="0">
      <text>
        <t>[Threaded comment]
Your version of Excel allows you to read this threaded comment; however, any edits to it will get removed if the file is opened in a newer version of Excel. Learn more: https://go.microsoft.com/fwlink/?linkid=870924
Comment:
    Non può caricare ore chg durante la chisura aggiunte 4,4h chg</t>
      </text>
    </comment>
    <comment ref="AM15" authorId="30" shapeId="0">
      <text>
        <t>[Threaded comment]
Your version of Excel allows you to read this threaded comment; however, any edits to it will get removed if the file is opened in a newer version of Excel. Learn more: https://go.microsoft.com/fwlink/?linkid=870924
Comment:
    1 settimana di malattia</t>
      </text>
    </comment>
    <comment ref="AQ15" authorId="31" shapeId="0">
      <text>
        <t>[Threaded comment]
Your version of Excel allows you to read this threaded comment; however, any edits to it will get removed if the file is opened in a newer version of Excel. Learn more: https://go.microsoft.com/fwlink/?linkid=870924
Comment:
    4h visita medica</t>
      </text>
    </comment>
    <comment ref="AW15" authorId="32" shapeId="0">
      <text>
        <t>[Threaded comment]
Your version of Excel allows you to read this threaded comment; however, any edits to it will get removed if the file is opened in a newer version of Excel. Learn more: https://go.microsoft.com/fwlink/?linkid=870924
Comment:
    80h ferie</t>
      </text>
    </comment>
    <comment ref="B16" authorId="33" shapeId="0">
      <text>
        <t>[Threaded comment]
Your version of Excel allows you to read this threaded comment; however, any edits to it will get removed if the file is opened in a newer version of Excel. Learn more: https://go.microsoft.com/fwlink/?linkid=870924
Comment:
    CON NOI AL 47%</t>
      </text>
    </comment>
    <comment ref="AO16" authorId="34" shapeId="0">
      <text>
        <t>[Threaded comment]
Your version of Excel allows you to read this threaded comment; however, any edits to it will get removed if the file is opened in a newer version of Excel. Learn more: https://go.microsoft.com/fwlink/?linkid=870924
Comment:
    16 ferie</t>
      </text>
    </comment>
    <comment ref="AW16" authorId="35" shapeId="0">
      <text>
        <t>[Threaded comment]
Your version of Excel allows you to read this threaded comment; however, any edits to it will get removed if the file is opened in a newer version of Excel. Learn more: https://go.microsoft.com/fwlink/?linkid=870924
Comment:
    5h visite medica</t>
      </text>
    </comment>
    <comment ref="AU17" authorId="36" shapeId="0">
      <text>
        <t>[Threaded comment]
Your version of Excel allows you to read this threaded comment; however, any edits to it will get removed if the file is opened in a newer version of Excel. Learn more: https://go.microsoft.com/fwlink/?linkid=870924
Comment:
    24h ferie</t>
      </text>
    </comment>
    <comment ref="AW17" authorId="37" shapeId="0">
      <text>
        <t>[Threaded comment]
Your version of Excel allows you to read this threaded comment; however, any edits to it will get removed if the file is opened in a newer version of Excel. Learn more: https://go.microsoft.com/fwlink/?linkid=870924
Comment:
    36h rol</t>
      </text>
    </comment>
    <comment ref="R18" authorId="38" shapeId="0">
      <text>
        <t>[Threaded comment]
Your version of Excel allows you to read this threaded comment; however, any edits to it will get removed if the file is opened in a newer version of Excel. Learn more: https://go.microsoft.com/fwlink/?linkid=870924
Comment:
    Storno da siteminder per via di MYACRI + storno pappalardo errore febbraio</t>
      </text>
    </comment>
    <comment ref="AO18" authorId="39" shapeId="0">
      <text>
        <t>[Threaded comment]
Your version of Excel allows you to read this threaded comment; however, any edits to it will get removed if the file is opened in a newer version of Excel. Learn more: https://go.microsoft.com/fwlink/?linkid=870924
Comment:
    2h visita medica+8 ferie</t>
      </text>
    </comment>
    <comment ref="AQ18" authorId="40" shapeId="0">
      <text>
        <t>[Threaded comment]
Your version of Excel allows you to read this threaded comment; however, any edits to it will get removed if the file is opened in a newer version of Excel. Learn more: https://go.microsoft.com/fwlink/?linkid=870924
Comment:
    12h permesso</t>
      </text>
    </comment>
    <comment ref="AS18" authorId="41" shapeId="0">
      <text>
        <t>[Threaded comment]
Your version of Excel allows you to read this threaded comment; however, any edits to it will get removed if the file is opened in a newer version of Excel. Learn more: https://go.microsoft.com/fwlink/?linkid=870924
Comment:
    8h permesso</t>
      </text>
    </comment>
    <comment ref="AW18" authorId="42" shapeId="0">
      <text>
        <t>[Threaded comment]
Your version of Excel allows you to read this threaded comment; however, any edits to it will get removed if the file is opened in a newer version of Excel. Learn more: https://go.microsoft.com/fwlink/?linkid=870924
Comment:
    8 malattia 3 visita</t>
      </text>
    </comment>
    <comment ref="BA18" authorId="43" shapeId="0">
      <text>
        <t>[Threaded comment]
Your version of Excel allows you to read this threaded comment; however, any edits to it will get removed if the file is opened in a newer version of Excel. Learn more: https://go.microsoft.com/fwlink/?linkid=870924
Comment:
    64h ferie</t>
      </text>
    </comment>
    <comment ref="B19" authorId="44" shapeId="0">
      <text>
        <t xml:space="preserve">[Threaded comment]
Your version of Excel allows you to read this threaded comment; however, any edits to it will get removed if the file is opened in a newer version of Excel. Learn more: https://go.microsoft.com/fwlink/?linkid=870924
Comment:
    45%+5 di bd al mese
</t>
      </text>
    </comment>
    <comment ref="AW19" authorId="45" shapeId="0">
      <text>
        <t>[Threaded comment]
Your version of Excel allows you to read this threaded comment; however, any edits to it will get removed if the file is opened in a newer version of Excel. Learn more: https://go.microsoft.com/fwlink/?linkid=870924
Comment:
    24 malattia 4 permesso</t>
      </text>
    </comment>
    <comment ref="B20" authorId="46" shapeId="0">
      <text>
        <t>[Threaded comment]
Your version of Excel allows you to read this threaded comment; however, any edits to it will get removed if the file is opened in a newer version of Excel. Learn more: https://go.microsoft.com/fwlink/?linkid=870924
Comment:
    95% con noi</t>
      </text>
    </comment>
    <comment ref="AQ20" authorId="47" shapeId="0">
      <text>
        <t>[Threaded comment]
Your version of Excel allows you to read this threaded comment; however, any edits to it will get removed if the file is opened in a newer version of Excel. Learn more: https://go.microsoft.com/fwlink/?linkid=870924
Comment:
    2h visita medica</t>
      </text>
    </comment>
    <comment ref="AW20" authorId="48" shapeId="0">
      <text>
        <t>[Threaded comment]
Your version of Excel allows you to read this threaded comment; however, any edits to it will get removed if the file is opened in a newer version of Excel. Learn more: https://go.microsoft.com/fwlink/?linkid=870924
Comment:
    6,5h permesso</t>
      </text>
    </comment>
    <comment ref="AO21" authorId="49" shapeId="0">
      <text>
        <t>[Threaded comment]
Your version of Excel allows you to read this threaded comment; however, any edits to it will get removed if the file is opened in a newer version of Excel. Learn more: https://go.microsoft.com/fwlink/?linkid=870924
Comment:
    12 e 13 ferie
Reply:
    50 1q, 100% 2q adeguare
Reply:
    2 gg di ferie 1q+ 100 dal secondo q</t>
      </text>
    </comment>
    <comment ref="C31" authorId="50" shapeId="0">
      <text>
        <t>[Threaded comment]
Your version of Excel allows you to read this threaded comment; however, any edits to it will get removed if the file is opened in a newer version of Excel. Learn more: https://go.microsoft.com/fwlink/?linkid=870924
Comment:
    Devono essere 14k</t>
      </text>
    </comment>
    <comment ref="B36" authorId="51" shapeId="0">
      <text>
        <t>[Threaded comment]
Your version of Excel allows you to read this threaded comment; however, any edits to it will get removed if the file is opened in a newer version of Excel. Learn more: https://go.microsoft.com/fwlink/?linkid=870924
Comment:
    EACB 390093,25 spalmati da maggio 25 a ottobre 27</t>
      </text>
    </comment>
    <comment ref="F37" authorId="52" shapeId="0">
      <text>
        <t>[Threaded comment]
Your version of Excel allows you to read this threaded comment; however, any edits to it will get removed if the file is opened in a newer version of Excel. Learn more: https://go.microsoft.com/fwlink/?linkid=870924
Comment:
    IT Continuity lug-sett</t>
      </text>
    </comment>
    <comment ref="H37" authorId="53" shapeId="0">
      <text>
        <t>[Threaded comment]
Your version of Excel allows you to read this threaded comment; however, any edits to it will get removed if the file is opened in a newer version of Excel. Learn more: https://go.microsoft.com/fwlink/?linkid=870924
Comment:
    IT Continuity lug-sett</t>
      </text>
    </comment>
    <comment ref="J37" authorId="54" shapeId="0">
      <text>
        <t>[Threaded comment]
Your version of Excel allows you to read this threaded comment; however, any edits to it will get removed if the file is opened in a newer version of Excel. Learn more: https://go.microsoft.com/fwlink/?linkid=870924
Comment:
    IT Continuity lug-sett</t>
      </text>
    </comment>
    <comment ref="L37" authorId="55" shapeId="0">
      <text>
        <t>[Threaded comment]
Your version of Excel allows you to read this threaded comment; however, any edits to it will get removed if the file is opened in a newer version of Excel. Learn more: https://go.microsoft.com/fwlink/?linkid=870924
Comment:
    19071,7 RSB capuani</t>
      </text>
    </comment>
    <comment ref="P37" authorId="56" shapeId="0">
      <text>
        <t>[Threaded comment]
Your version of Excel allows you to read this threaded comment; however, any edits to it will get removed if the file is opened in a newer version of Excel. Learn more: https://go.microsoft.com/fwlink/?linkid=870924
Comment:
    iam</t>
      </text>
    </comment>
    <comment ref="R37" authorId="57" shapeId="0">
      <text>
        <t>[Threaded comment]
Your version of Excel allows you to read this threaded comment; however, any edits to it will get removed if the file is opened in a newer version of Excel. Learn more: https://go.microsoft.com/fwlink/?linkid=870924
Comment:
    iam</t>
      </text>
    </comment>
    <comment ref="BB38" authorId="58" shapeId="0">
      <text>
        <t>[Threaded comment]
Your version of Excel allows you to read this threaded comment; however, any edits to it will get removed if the file is opened in a newer version of Excel. Learn more: https://go.microsoft.com/fwlink/?linkid=870924
Comment:
    Andiamo in continuità?</t>
      </text>
    </comment>
    <comment ref="BB56" authorId="59" shapeId="0">
      <text>
        <t>[Threaded comment]
Your version of Excel allows you to read this threaded comment; however, any edits to it will get removed if the file is opened in a newer version of Excel. Learn more: https://go.microsoft.com/fwlink/?linkid=870924
Comment:
    Decidere con alberto come spalmare</t>
      </text>
    </comment>
  </commentList>
</comments>
</file>

<file path=xl/comments/comment5.xml><?xml version="1.0" encoding="utf-8"?>
<comments xmlns="http://schemas.openxmlformats.org/spreadsheetml/2006/main">
  <authors>
    <author>tc={EF74719A-F8B2-4BEA-858A-05A9995DF2C8}</author>
  </authors>
  <commentList>
    <comment ref="R24" authorId="0" shapeId="0">
      <text>
        <t>[Threaded comment]
Your version of Excel allows you to read this threaded comment; however, any edits to it will get removed if the file is opened in a newer version of Excel. Learn more: https://go.microsoft.com/fwlink/?linkid=870924
Comment:
    3K in più per costi Audit SIAED</t>
      </text>
    </comment>
  </commentList>
</comments>
</file>

<file path=xl/comments/comment6.xml><?xml version="1.0" encoding="utf-8"?>
<comments xmlns="http://schemas.openxmlformats.org/spreadsheetml/2006/main">
  <authors>
    <author>Author</author>
    <author>tc={C16D80E2-7AF3-4609-8B6E-F0E06634D246}</author>
    <author>tc={5B631918-C074-4A71-A54D-4191D6A5E296}</author>
    <author>tc={471ACEA3-92F4-403B-A275-17C3D0E82EF5}</author>
    <author>tc={E6698601-C979-4248-9B7F-02ECC6742693}</author>
    <author>tc={B3CBE66F-133F-4AAD-BF8D-94C0558C9A39}</author>
  </authors>
  <commentList>
    <comment ref="I22" authorId="0" shapeId="0">
      <text>
        <t xml:space="preserve">Author:
azin 8h
</t>
      </text>
    </comment>
    <comment ref="O22" authorId="1" shapeId="0">
      <text>
        <t>[Threaded comment]
Your version of Excel allows you to read this threaded comment; however, any edits to it will get removed if the file is opened in a newer version of Excel. Learn more: https://go.microsoft.com/fwlink/?linkid=870924
Comment:
    33k fusco microseg +9k tommasina antifrode</t>
      </text>
    </comment>
    <comment ref="P22" authorId="2" shapeId="0">
      <text>
        <t>[Threaded comment]
Your version of Excel allows you to read this threaded comment; however, any edits to it will get removed if the file is opened in a newer version of Excel. Learn more: https://go.microsoft.com/fwlink/?linkid=870924
Comment:
    9k tommasina</t>
      </text>
    </comment>
    <comment ref="Q22" authorId="3" shapeId="0">
      <text>
        <t>[Threaded comment]
Your version of Excel allows you to read this threaded comment; however, any edits to it will get removed if the file is opened in a newer version of Excel. Learn more: https://go.microsoft.com/fwlink/?linkid=870924
Comment:
    10k ugc</t>
      </text>
    </comment>
    <comment ref="R22" authorId="4" shapeId="0">
      <text>
        <t>[Threaded comment]
Your version of Excel allows you to read this threaded comment; however, any edits to it will get removed if the file is opened in a newer version of Excel. Learn more: https://go.microsoft.com/fwlink/?linkid=870924
Comment:
    Unicredit + antifrode + formazione</t>
      </text>
    </comment>
    <comment ref="S22" authorId="5" shapeId="0">
      <text>
        <t>[Threaded comment]
Your version of Excel allows you to read this threaded comment; however, any edits to it will get removed if the file is opened in a newer version of Excel. Learn more: https://go.microsoft.com/fwlink/?linkid=870924
Comment:
    Antifrode + formazione + 2k carlomagno</t>
      </text>
    </comment>
  </commentList>
</comments>
</file>

<file path=xl/comments/comment7.xml><?xml version="1.0" encoding="utf-8"?>
<comments xmlns="http://schemas.openxmlformats.org/spreadsheetml/2006/main">
  <authors>
    <author>tc={30CF06C0-7F37-46DB-A3DB-3EBE8D984351}</author>
    <author>tc={54A8FCBA-45F3-4BA3-9A5D-5976E1C2F43E}</author>
    <author>tc={F6CE2A40-1110-4B0C-A159-B56198DB58EF}</author>
  </authors>
  <commentList>
    <comment ref="H22" authorId="0" shapeId="0">
      <text>
        <t>[Threaded comment]
Your version of Excel allows you to read this threaded comment; however, any edits to it will get removed if the file is opened in a newer version of Excel. Learn more: https://go.microsoft.com/fwlink/?linkid=870924
Comment:
    Buonocore+recupero unicredit</t>
      </text>
    </comment>
    <comment ref="Q22" authorId="1" shapeId="0">
      <text>
        <t>[Threaded comment]
Your version of Excel allows you to read this threaded comment; however, any edits to it will get removed if the file is opened in a newer version of Excel. Learn more: https://go.microsoft.com/fwlink/?linkid=870924
Comment:
    28k fusco</t>
      </text>
    </comment>
    <comment ref="R22" authorId="2" shapeId="0">
      <text>
        <t>[Threaded comment]
Your version of Excel allows you to read this threaded comment; however, any edits to it will get removed if the file is opened in a newer version of Excel. Learn more: https://go.microsoft.com/fwlink/?linkid=870924
Comment:
    Fusco</t>
      </text>
    </comment>
  </commentList>
</comments>
</file>

<file path=xl/comments/comment8.xml><?xml version="1.0" encoding="utf-8"?>
<comments xmlns="http://schemas.openxmlformats.org/spreadsheetml/2006/main">
  <authors>
    <author>tc={3265A483-CB61-4A81-B117-A64586B0BCD9}</author>
    <author>tc={B524D5A6-F848-48B4-AD6F-992E1BF385E8}</author>
    <author>tc={EF6762A6-1D2D-400B-93B9-A44A0AC8F649}</author>
    <author>tc={7DDC571B-7FAC-41BF-9ABF-FA38E5D6BFE1}</author>
    <author>tc={4B242089-CA91-4ADF-A8BB-B73D0445AF51}</author>
  </authors>
  <commentList>
    <comment ref="AN13" authorId="0" shapeId="0">
      <text>
        <t>[Threaded comment]
Your version of Excel allows you to read this threaded comment; however, any edits to it will get removed if the file is opened in a newer version of Excel. Learn more: https://go.microsoft.com/fwlink/?linkid=870924
Comment:
    125,83 capital charge</t>
      </text>
    </comment>
    <comment ref="AO13" authorId="1" shapeId="0">
      <text>
        <t>[Threaded comment]
Your version of Excel allows you to read this threaded comment; however, any edits to it will get removed if the file is opened in a newer version of Excel. Learn more: https://go.microsoft.com/fwlink/?linkid=870924
Comment:
    0,22  capital charge</t>
      </text>
    </comment>
    <comment ref="AN20" authorId="2" shapeId="0">
      <text>
        <t>[Threaded comment]
Your version of Excel allows you to read this threaded comment; however, any edits to it will get removed if the file is opened in a newer version of Excel. Learn more: https://go.microsoft.com/fwlink/?linkid=870924
Comment:
    2302,31 capital charge</t>
      </text>
    </comment>
    <comment ref="AO20" authorId="3" shapeId="0">
      <text>
        <t>[Threaded comment]
Your version of Excel allows you to read this threaded comment; however, any edits to it will get removed if the file is opened in a newer version of Excel. Learn more: https://go.microsoft.com/fwlink/?linkid=870924
Comment:
    1256,17  capital charge</t>
      </text>
    </comment>
    <comment ref="R24" authorId="4" shapeId="0">
      <text>
        <t>[Threaded comment]
Your version of Excel allows you to read this threaded comment; however, any edits to it will get removed if the file is opened in a newer version of Excel. Learn more: https://go.microsoft.com/fwlink/?linkid=870924
Comment:
    3K in più per costi Audit SIAED</t>
      </text>
    </comment>
  </commentList>
</comments>
</file>

<file path=xl/comments/comment9.xml><?xml version="1.0" encoding="utf-8"?>
<comments xmlns="http://schemas.openxmlformats.org/spreadsheetml/2006/main">
  <authors>
    <author>tc={60557B8B-6C70-4036-B378-602AE0FF559C}</author>
    <author>tc={06634281-2D19-401D-A045-114ED548E57F}</author>
    <author>tc={21AFC0D2-BBE8-4B55-B30C-76A2722AAEA0}</author>
    <author>tc={FE7DEDF7-04D9-4F50-9C7A-00E308AFDCCD}</author>
    <author>tc={A96B8935-58B4-4A7D-A0DE-DFEBBCF1DA25}</author>
    <author>tc={DEC3E804-7EBE-4DC5-B573-F8598A1EE92E}</author>
    <author>tc={F2345EE5-23BE-47FC-9360-CE7C2A90CF9E}</author>
  </authors>
  <commentList>
    <comment ref="AM13" authorId="0" shapeId="0">
      <text>
        <t>[Threaded comment]
Your version of Excel allows you to read this threaded comment; however, any edits to it will get removed if the file is opened in a newer version of Excel. Learn more: https://go.microsoft.com/fwlink/?linkid=870924
Comment:
    2170,97 capital charge</t>
      </text>
    </comment>
    <comment ref="AN13" authorId="1" shapeId="0">
      <text>
        <t>[Threaded comment]
Your version of Excel allows you to read this threaded comment; however, any edits to it will get removed if the file is opened in a newer version of Excel. Learn more: https://go.microsoft.com/fwlink/?linkid=870924
Comment:
    125,83 capital charge</t>
      </text>
    </comment>
    <comment ref="AO13" authorId="2" shapeId="0">
      <text>
        <t>[Threaded comment]
Your version of Excel allows you to read this threaded comment; however, any edits to it will get removed if the file is opened in a newer version of Excel. Learn more: https://go.microsoft.com/fwlink/?linkid=870924
Comment:
    0,22  capital charge</t>
      </text>
    </comment>
    <comment ref="AM20" authorId="3" shapeId="0">
      <text>
        <t>[Threaded comment]
Your version of Excel allows you to read this threaded comment; however, any edits to it will get removed if the file is opened in a newer version of Excel. Learn more: https://go.microsoft.com/fwlink/?linkid=870924
Comment:
     capital charge 4165,55</t>
      </text>
    </comment>
    <comment ref="AN20" authorId="4" shapeId="0">
      <text>
        <t>[Threaded comment]
Your version of Excel allows you to read this threaded comment; however, any edits to it will get removed if the file is opened in a newer version of Excel. Learn more: https://go.microsoft.com/fwlink/?linkid=870924
Comment:
    2302,31 capital charge</t>
      </text>
    </comment>
    <comment ref="AO20" authorId="5" shapeId="0">
      <text>
        <t>[Threaded comment]
Your version of Excel allows you to read this threaded comment; however, any edits to it will get removed if the file is opened in a newer version of Excel. Learn more: https://go.microsoft.com/fwlink/?linkid=870924
Comment:
    1256,17  capital charge</t>
      </text>
    </comment>
    <comment ref="R24" authorId="6" shapeId="0">
      <text>
        <t>[Threaded comment]
Your version of Excel allows you to read this threaded comment; however, any edits to it will get removed if the file is opened in a newer version of Excel. Learn more: https://go.microsoft.com/fwlink/?linkid=870924
Comment:
    3K in più per costi Audit SIAED</t>
      </text>
    </comment>
  </commentList>
</comments>
</file>

<file path=xl/externalLinks/_rels/externalLink1.xml.rels><Relationships xmlns="http://schemas.openxmlformats.org/package/2006/relationships"><Relationship Type="http://schemas.openxmlformats.org/officeDocument/2006/relationships/externalLinkPath" Target="file:///C:\sites\SecMaterials.ICEG\Shared%20Documents\Team%20Governance\FS%20Security%20-%20Client%20Master%20Plan%20v2.0.xlsx" TargetMode="External" Id="rId1"/></Relationships>
</file>

<file path=xl/externalLinks/_rels/externalLink2.xml.rels><Relationships xmlns="http://schemas.openxmlformats.org/package/2006/relationships"><Relationship Type="http://schemas.openxmlformats.org/officeDocument/2006/relationships/externalLinkPath" Target="https://ts.accenture.com/sites/CrditAgricole/Shared%20Documents/Cr&#232;dit%20Agricole%20-%20General/00%20-%20PMO/CAGS%20-%20Economics_v01.xlsx" TargetMode="External" Id="rId2"/></Relationships>
</file>

<file path=xl/externalLinks/_rels/externalLink3.xml.rels><Relationships xmlns="http://schemas.openxmlformats.org/package/2006/relationships"><Relationship Type="http://schemas.openxmlformats.org/officeDocument/2006/relationships/externalLinkPath" Target="file:///C:\Users\alfonso.pace\AppData\Local\Microsoft\Windows\INetCache\Content.Outlook\NCL6EOIE\ACN_UCS_Estimate_ACTIVITY_NAME_vX.X_AAAAMMDD%20v1.5.xlsm"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HC FS - ADP 2020"/>
      <sheetName val="Team Overview 2020"/>
      <sheetName val="FS Security - Client 2020"/>
      <sheetName val="Budget 2020"/>
      <sheetName val="TRs CHG 2020"/>
      <sheetName val="UC Org"/>
      <sheetName val="Sheet2"/>
      <sheetName val="Sheet1 (2)"/>
      <sheetName val="Sheet1"/>
      <sheetName val="Target FY20"/>
      <sheetName val="OppParametri"/>
      <sheetName val="ASAS Organization"/>
      <sheetName val="Tender VAPT"/>
      <sheetName val="Extra Activities"/>
      <sheetName val="SARA ASS"/>
      <sheetName val="Source_UC Org"/>
      <sheetName val="UC_Org"/>
      <sheetName val="FS Security - Client Master Pla"/>
      <sheetName val="Resources (Scapparone)"/>
      <sheetName val="VAPT PMO (Lopez)"/>
      <sheetName val="Vulnerability Recheck (Lopez)"/>
      <sheetName val="VAPT Yearly Plan (Lopez)"/>
      <sheetName val="Opportunities (Pace)"/>
      <sheetName val="SR &amp; Proposal (Pace)"/>
      <sheetName val="CDP"/>
      <sheetName val="Sheet1 (3)"/>
      <sheetName val="Sheet1 (4)"/>
      <sheetName val="Budget 2020 (2)"/>
      <sheetName val="SIA"/>
      <sheetName val="CIS"/>
      <sheetName val="ACS-CIS"/>
    </sheetNames>
    <sheetDataSet>
      <sheetData sheetId="0"/>
      <sheetData sheetId="1"/>
      <sheetData sheetId="2"/>
      <sheetData sheetId="3"/>
      <sheetData sheetId="4">
        <row r="40">
          <cell r="AK40">
            <v>3305.4</v>
          </cell>
        </row>
      </sheetData>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forecast iga-layer"/>
      <sheetName val="Sheet1"/>
      <sheetName val="Costi vs Forecast (3)"/>
      <sheetName val="Costi vs Forecast"/>
      <sheetName val="Staffing"/>
      <sheetName val="Payroll Costs"/>
      <sheetName val="Contratti"/>
      <sheetName val="Costi BD"/>
      <sheetName val="Monitoraggio BD"/>
      <sheetName val="Fatturate Post Booking"/>
      <sheetName val="CAGS - Economics_v01"/>
    </sheetNames>
    <sheetDataSet>
      <sheetData sheetId="0"/>
      <sheetData sheetId="1"/>
      <sheetData sheetId="2"/>
      <sheetData sheetId="3"/>
      <sheetData sheetId="4"/>
      <sheetData sheetId="5">
        <row r="2">
          <cell r="BB2" t="str">
            <v>DEC</v>
          </cell>
        </row>
      </sheetData>
      <sheetData sheetId="6"/>
      <sheetData sheetId="7"/>
      <sheetData sheetId="8"/>
      <sheetData sheetId="9"/>
      <sheetData sheetId="10"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Activities"/>
      <sheetName val="Assumptions"/>
      <sheetName val="Pricing"/>
      <sheetName val="Payroll"/>
      <sheetName val="Rates"/>
      <sheetName val="ACN_UCS_Estimate_ACTIVITY_NAME_"/>
    </sheetNames>
    <sheetDataSet>
      <sheetData sheetId="0"/>
      <sheetData sheetId="1"/>
      <sheetData sheetId="2">
        <row r="19">
          <cell r="S19">
            <v>0</v>
          </cell>
        </row>
      </sheetData>
      <sheetData sheetId="3"/>
      <sheetData sheetId="4"/>
      <sheetData sheetId="5" refreshError="1"/>
    </sheetDataSet>
  </externalBook>
</externalLink>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Author" refreshedDate="45581.64159629629" createdVersion="8" refreshedVersion="8" minRefreshableVersion="3" recordCount="18" r:id="rId1">
  <cacheSource type="worksheet">
    <worksheetSource name="Table1"/>
  </cacheSource>
  <cacheFields count="9">
    <cacheField name="Contract" uniqueList="1" numFmtId="49" sqlType="0" hierarchy="0" level="0" databaseField="1">
      <sharedItems count="0" containsInteger="1" containsMixedTypes="1" containsNumber="1" minValue="9940436673" maxValue="9940436673"/>
    </cacheField>
    <cacheField name="Opp ID MMS" uniqueList="1" numFmtId="49" sqlType="0" hierarchy="0" level="0" databaseField="1">
      <sharedItems count="0" containsBlank="1"/>
    </cacheField>
    <cacheField name="BNL Contract" uniqueList="1" numFmtId="0" sqlType="0" hierarchy="0" level="0" databaseField="1">
      <sharedItems count="0" containsBlank="1"/>
    </cacheField>
    <cacheField name="ODA ID" uniqueList="1" numFmtId="0" sqlType="0" hierarchy="0" level="0" databaseField="1">
      <sharedItems count="0" containsBlank="1" containsInteger="1" containsMixedTypes="1" containsNumber="1" minValue="4500349001" maxValue="4500353570"/>
    </cacheField>
    <cacheField name="WBS" uniqueList="1" numFmtId="0" sqlType="0" hierarchy="0" level="0" databaseField="1">
      <sharedItems count="2">
        <s v="B7PMH001"/>
        <s v="B7SIC001"/>
      </sharedItems>
    </cacheField>
    <cacheField name="Project" uniqueList="1" numFmtId="0" sqlType="0" hierarchy="0" level="0" databaseField="1">
      <sharedItems count="0"/>
    </cacheField>
    <cacheField name="Revenues" uniqueList="1" numFmtId="44" sqlType="0" hierarchy="0" level="0" databaseField="1">
      <sharedItems count="0" containsNumber="1" containsSemiMixedTypes="0" containsString="0" minValue="17222.75" maxValue="341121.81"/>
    </cacheField>
    <cacheField name="Billed" uniqueList="1" numFmtId="0" sqlType="0" hierarchy="0" level="0" databaseField="1">
      <sharedItems count="0" containsBlank="1" containsNumber="1" containsString="0" minValue="17222.75" maxValue="341121.81"/>
    </cacheField>
    <cacheField name="To be billed" uniqueList="1" numFmtId="44" sqlType="0" hierarchy="0" level="0" databaseField="1">
      <sharedItems count="0" containsNumber="1" containsSemiMixedTypes="0" containsString="0" minValue="0" maxValue="50960.43"/>
    </cacheField>
  </cacheFields>
</pivotCacheDefinition>
</file>

<file path=xl/pivotCache/pivotCacheRecords1.xml><?xml version="1.0" encoding="utf-8"?>
<pivotCacheRecords xmlns="http://schemas.openxmlformats.org/spreadsheetml/2006/main" count="18">
  <r>
    <s v="9940435940"/>
    <m/>
    <m/>
    <m/>
    <x v="0"/>
    <s v="Before Gen 2024"/>
    <n v="101764.11"/>
    <n v="101764.11"/>
    <n v="0"/>
  </r>
  <r>
    <s v="9940435940"/>
    <s v="0011935388"/>
    <m/>
    <s v="ORF/435/2023_x000a_ORF/436/2023_x000a_ORF/536/2023_x000a_ORF/482/2023_x000a_ORF/467/2023_x000a_ORF/545/2023_x000a_ORF/540/2023_x000a_ORF / 572 / 2023_x000a_ORF / 568 / 2024"/>
    <x v="0"/>
    <s v="Findo-Supporto IT Sec Gov 2023 Fase 2"/>
    <n v="30133.97"/>
    <n v="30133.97"/>
    <n v="0"/>
  </r>
  <r>
    <s v="9940435940"/>
    <s v="0011981656"/>
    <m/>
    <s v="ORF / 642 / 2023_x000a_ORF / 634 / 2023_x000a_ORF Proposta ACCENTURE Offerta firmata per accettazione_x000a_636_2023_x000a_ORF Proposta Accenture_SCTASK1888833_x000a_680_2023_x000a_ORF Proposta ACCENTURE SCTASK1888832"/>
    <x v="0"/>
    <s v="Findo-Supporto IT Sec Gov 2023 Fase 3"/>
    <n v="60909.06"/>
    <n v="60909.06"/>
    <n v="0"/>
  </r>
  <r>
    <s v="9940436673"/>
    <m/>
    <m/>
    <m/>
    <x v="1"/>
    <s v="Before Gen 2024"/>
    <n v="341121.81"/>
    <n v="341121.81"/>
    <n v="0"/>
  </r>
  <r>
    <s v="9940436673"/>
    <s v="0011981386"/>
    <s v="55006 - 10000251107"/>
    <s v="4500352931"/>
    <x v="1"/>
    <s v="Onboarding Fuori IAM"/>
    <n v="87302.94"/>
    <n v="87302.94"/>
    <n v="0"/>
  </r>
  <r>
    <s v="9940436673"/>
    <s v="0011981386"/>
    <s v="56574 - 10000247730"/>
    <n v="4500353570"/>
    <x v="1"/>
    <s v="Supporto RSB - Riportafogliazione Commerciale 2024"/>
    <n v="20825.73"/>
    <n v="20825.73"/>
    <n v="0"/>
  </r>
  <r>
    <n v="9940436673"/>
    <s v="0011975037"/>
    <s v="56224 - 10000246907"/>
    <s v="4500351383"/>
    <x v="1"/>
    <s v="Supporto studio siteminder"/>
    <n v="23792.59"/>
    <n v="23792.59"/>
    <n v="0"/>
  </r>
  <r>
    <n v="9940436673"/>
    <s v="0011935478"/>
    <s v="54978 - 10000245044"/>
    <s v="4500349518"/>
    <x v="1"/>
    <s v="Estensione supporto MFA IBM e Access Log"/>
    <n v="17222.75"/>
    <n v="17222.75"/>
    <n v="0"/>
  </r>
  <r>
    <n v="9940436673"/>
    <s v="0011934354 "/>
    <s v="53371 - 10000244430"/>
    <n v="4500349001"/>
    <x v="1"/>
    <s v="Remediation Fornitori Prod Sec"/>
    <n v="18159.24"/>
    <n v="18159.24"/>
    <n v="0"/>
  </r>
  <r>
    <n v="9940436673"/>
    <s v="0012027091 "/>
    <s v="57745 - 10000254848"/>
    <s v="4500357560"/>
    <x v="1"/>
    <s v="Supporto RSB Fase2"/>
    <n v="35587"/>
    <n v="35587"/>
    <n v="0"/>
  </r>
  <r>
    <s v="9940435940"/>
    <s v="0011986748"/>
    <m/>
    <s v="Vedi file Lista Proposte in BNL Security - General\Projects\Findomestic\PM Tecnico_Supporto Sec Governance"/>
    <x v="0"/>
    <s v="Findo-Supporto IT Sec Gov 2024 Fase 1"/>
    <n v="49155"/>
    <n v="49155"/>
    <n v="0"/>
  </r>
  <r>
    <s v="9940435940"/>
    <s v="0012021483"/>
    <m/>
    <s v="Vedi file Lista Proposte in BNL Security - General\Projects\Findomestic\PM Tecnico_Supporto Sec Governance"/>
    <x v="0"/>
    <s v="Findo-Supporto IT Sec Gov 2024 Fase 2"/>
    <n v="29385.95"/>
    <n v="29385.95"/>
    <n v="0"/>
  </r>
  <r>
    <s v="9940435940"/>
    <s v="0012069313"/>
    <m/>
    <s v="Vedi file Lista Proposte in BNL Security - General\Projects\Findomestic\PM Tecnico_Supporto Sec Governance"/>
    <x v="0"/>
    <s v="Findo-Supporto IT Sec Gov 2024 Fase 3"/>
    <n v="42743.2"/>
    <n v="42743.2"/>
    <n v="0"/>
  </r>
  <r>
    <s v="9940435940"/>
    <s v="0012124852"/>
    <m/>
    <s v="Vedi file Lista Proposte in BNL Security - General\Projects\Findomestic\PM Tecnico_Supporto Sec Governance"/>
    <x v="0"/>
    <s v="Findo-Supporto IT Sec Gov 2024 Fase 4"/>
    <n v="30988.8"/>
    <n v="30988.8"/>
    <n v="0"/>
  </r>
  <r>
    <s v="9940435940"/>
    <s v="0012171820"/>
    <m/>
    <s v="Vedi file Lista Proposte in BNL Security - General\Projects\Findomestic\PM Tecnico_Supporto Sec Governance"/>
    <x v="0"/>
    <s v="Findo-Supporto IT Sec Gov 2024 Fase 5"/>
    <n v="22173.04"/>
    <n v="22173.04"/>
    <n v="0"/>
  </r>
  <r>
    <s v="9940435940"/>
    <s v="0012119945"/>
    <m/>
    <m/>
    <x v="0"/>
    <s v="Findomestic-Assessment terze parti 2024"/>
    <n v="29920"/>
    <m/>
    <n v="29920"/>
  </r>
  <r>
    <n v="9940436673"/>
    <s v="0012169113"/>
    <s v="58725 - 10000260908"/>
    <s v="4500361271"/>
    <x v="1"/>
    <s v="IT Continuity e AIA - II semestre 2024"/>
    <n v="57271"/>
    <n v="57271"/>
    <n v="0"/>
  </r>
  <r>
    <n v="9940436673"/>
    <s v="0012185735"/>
    <s v="59063 - 10000263196"/>
    <s v="4500362783"/>
    <x v="1"/>
    <s v="Task Force IAM Pantheon/Savoy e HQRE"/>
    <n v="50960.43"/>
    <m/>
    <n v="50960.43"/>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PivotTable1" cacheId="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0" rowHeaderCaption="Numero fattura" fieldListSortAscending="0" mdxSubqueries="0" applyNumberFormats="0" applyBorderFormats="0" applyFontFormats="0" applyPatternFormats="0" applyAlignmentFormats="0" applyWidthHeightFormats="1" r:id="rId1">
  <location ref="Q2:R5" firstHeaderRow="1" firstDataRow="1" firstDataCol="1"/>
  <pivotFields count="9">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axis="axisRow"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44" outline="1" subtotalTop="1" dragToRow="1" dragToCol="1" dragToPage="1" dragToData="1" dragOff="1" showAll="0" topAutoShow="1" itemPageCount="10" sortType="manual" defaultSubtotal="1"/>
  </pivotFields>
  <rowFields count="1">
    <field x="4"/>
  </rowFields>
  <rowItems count="3">
    <i t="data" r="0" i="0">
      <x v="0"/>
    </i>
    <i t="data" r="0" i="0">
      <x v="1"/>
    </i>
    <i t="grand" r="0" i="0">
      <x v="0"/>
    </i>
  </rowItems>
  <colItems count="1">
    <i t="data" r="0" i="0"/>
  </colItems>
  <dataFields count="1">
    <dataField name="Sum of Revenues" fld="6" subtotal="sum" showDataAs="normal" baseField="0" baseItem="0" numFmtId="44"/>
  </dataFields>
  <formats count="7">
    <format action="formatting" dxfId="150">
      <pivotArea type="normal" dataOnly="1" outline="0" collapsedLevelsAreSubtotals="1" fieldPosition="0"/>
    </format>
    <format action="formatting" dxfId="149">
      <pivotArea type="all" dataOnly="0" outline="0" fieldPosition="0"/>
    </format>
    <format action="formatting" dxfId="148">
      <pivotArea type="normal" dataOnly="1" outline="0" collapsedLevelsAreSubtotals="1" fieldPosition="0"/>
    </format>
    <format action="formatting" dxfId="147">
      <pivotArea field="4" type="button" dataOnly="0" labelOnly="1" outline="0" axis="axisRow" fieldPosition="0"/>
    </format>
    <format action="formatting" dxfId="146">
      <pivotArea type="normal" dataOnly="0" labelOnly="1" outline="1" fieldPosition="0">
        <references count="1">
          <reference field="4"/>
        </references>
      </pivotArea>
    </format>
    <format action="formatting" dxfId="145">
      <pivotArea type="normal" dataOnly="0" labelOnly="1" grandRow="1" outline="0" fieldPosition="0"/>
    </format>
    <format action="formatting" dxfId="144">
      <pivotArea type="normal" dataOnly="0" labelOnly="1" outline="0" axis="axisValues" fieldPosition="0"/>
    </format>
  </formats>
  <pivotTableStyleInfo name="PivotStyleLight16" showRowHeaders="1" showColHeaders="1" showRowStripes="0" showColStripes="0" showLastColumn="1"/>
</pivotTableDefinition>
</file>

<file path=xl/tables/table1.xml><?xml version="1.0" encoding="utf-8"?>
<table xmlns="http://schemas.openxmlformats.org/spreadsheetml/2006/main" id="1" name="Table1" displayName="Table1" ref="B2:P38" headerRowCount="1" totalsRowShown="0" headerRowDxfId="143" dataDxfId="142">
  <autoFilter ref="B2:P38">
    <filterColumn colId="7" hiddenButton="0" showButton="1">
      <filters>
        <filter val="B7SIC001"/>
      </filters>
    </filterColumn>
    <filterColumn colId="8" hiddenButton="0" showButton="1">
      <filters>
        <filter val="EACB"/>
        <filter val="Estensione supporto MFA IBM e Access Log"/>
        <filter val="IAM for the Whole Bank"/>
        <filter val="IAM for the whole Bank - Estensione"/>
        <filter val="IT Continuity e AIA - II semestre 2024"/>
        <filter val="IT Continuity Support"/>
        <filter val="Onboarding Fuori IAM"/>
        <filter val="Refactoring portale istituzionale BNL.it"/>
        <filter val="Remediation Fornitori Prod Sec"/>
        <filter val="Supporto ProdSec per campagna ricertificazione utenze 2025 (PAT074)"/>
        <filter val="Supporto RSB - Estensione 2024"/>
        <filter val="Supporto RSB - Riportafogliazione Commerciale 2024"/>
        <filter val="Supporto RSB Fase2"/>
        <filter val="Supporto studio siteminder"/>
        <filter val="Task Force IAM Pantheon/Savoy e HQRE"/>
      </filters>
    </filterColumn>
  </autoFilter>
  <tableColumns count="15">
    <tableColumn id="1" name="Contract" dataDxfId="141"/>
    <tableColumn id="12" name="PDS Status" dataDxfId="140"/>
    <tableColumn id="13" name="Stato ACN Tool" dataDxfId="139"/>
    <tableColumn id="16" name="MMS Status" dataDxfId="138"/>
    <tableColumn id="9" name="Opp ID MMS" dataDxfId="137"/>
    <tableColumn id="8" name="BNL Contract (CCP)" dataDxfId="136"/>
    <tableColumn id="7" name="ODA ID" dataDxfId="135"/>
    <tableColumn id="2" name="WBS" dataDxfId="134"/>
    <tableColumn id="3" name="Project" dataDxfId="133"/>
    <tableColumn id="10" name="Ref Name" dataDxfId="132"/>
    <tableColumn id="11" name="Piano Fatturazione Concordato" dataDxfId="131"/>
    <tableColumn id="4" name="Revenues" dataDxfId="130"/>
    <tableColumn id="5" name="Billed" dataDxfId="129"/>
    <tableColumn id="6" name="To be billed" dataDxfId="128">
      <calculatedColumnFormula>Table1[[#This Row],[Revenues]]-Table1[[#This Row],[Billed]]</calculatedColumnFormula>
    </tableColumn>
    <tableColumn id="14" name="pagamento" dataDxfId="127"/>
  </tableColumns>
  <tableStyleInfo name="TableStyleLight1" showFirstColumn="0" showLastColumn="0" showRowStripes="1" showColumnStripes="0"/>
</table>
</file>

<file path=xl/tables/table2.xml><?xml version="1.0" encoding="utf-8"?>
<table xmlns="http://schemas.openxmlformats.org/spreadsheetml/2006/main" id="2" name="Table13" displayName="Table13" ref="B2:T31" headerRowCount="1" totalsRowShown="0" headerRowDxfId="126" dataDxfId="125">
  <autoFilter ref="B2:T31"/>
  <tableColumns count="19">
    <tableColumn id="1" name="Contract" dataDxfId="124" totalsRowDxfId="123"/>
    <tableColumn id="12" name="PDS Status" dataDxfId="122" totalsRowDxfId="121"/>
    <tableColumn id="13" name="Stato ACN Tool" dataDxfId="120" totalsRowDxfId="119"/>
    <tableColumn id="16" name="MMS Status" dataDxfId="118" totalsRowDxfId="117"/>
    <tableColumn id="15" name="Close Date" dataDxfId="116" totalsRowDxfId="115"/>
    <tableColumn id="17" name="Close Date Quarter" dataDxfId="114" totalsRowDxfId="113"/>
    <tableColumn id="9" name="Opp ID MMS" dataDxfId="112" totalsRowDxfId="111"/>
    <tableColumn id="8" name="BNL Contract (CCP)" dataDxfId="110" totalsRowDxfId="109"/>
    <tableColumn id="7" name="ODA ID" dataDxfId="108" totalsRowDxfId="107"/>
    <tableColumn id="2" name="WBS" dataDxfId="106" totalsRowDxfId="105"/>
    <tableColumn id="3" name="Project" dataDxfId="104" totalsRowDxfId="103"/>
    <tableColumn id="10" name="Ref Name" dataDxfId="102" totalsRowDxfId="101"/>
    <tableColumn id="11" name="Piano Fatturazione Concordato" dataDxfId="100" totalsRowDxfId="99"/>
    <tableColumn id="4" name="Revenues" dataDxfId="98" totalsRowDxfId="97"/>
    <tableColumn id="5" name="Billed" dataDxfId="96" totalsRowDxfId="95"/>
    <tableColumn id="6" name="To be billed" dataDxfId="94" totalsRowDxfId="93">
      <calculatedColumnFormula>Table13[[#This Row],[Revenues]]-Table13[[#This Row],[Billed]]</calculatedColumnFormula>
    </tableColumn>
    <tableColumn id="18" name="Nr. Fattura" dataDxfId="92" totalsRowDxfId="91"/>
    <tableColumn id="14" name="MMR Code" dataDxfId="90" totalsRowDxfId="89"/>
    <tableColumn id="19" name="Note" dataDxfId="88" totalsRowDxfId="87"/>
  </tableColumns>
  <tableStyleInfo name="TableStyleLight1" showFirstColumn="0" showLastColumn="0" showRowStripes="1" showColumnStripes="0"/>
</table>
</file>

<file path=xl/tables/table3.xml><?xml version="1.0" encoding="utf-8"?>
<table xmlns="http://schemas.openxmlformats.org/spreadsheetml/2006/main" id="3" name="Table134" displayName="Table134" ref="B2:T23" headerRowCount="1" totalsRowShown="0" headerRowDxfId="85">
  <autoFilter ref="B2:T23"/>
  <tableColumns count="19">
    <tableColumn id="1" name="Contract" dataDxfId="84"/>
    <tableColumn id="12" name="PDS Status" dataDxfId="83"/>
    <tableColumn id="13" name="Stato ACN Tool" dataDxfId="82"/>
    <tableColumn id="16" name="MMS Status" dataDxfId="81"/>
    <tableColumn id="15" name="Close Date" dataDxfId="80"/>
    <tableColumn id="17" name="Close Date Quarter" dataDxfId="79"/>
    <tableColumn id="9" name="Opp ID MMS" dataDxfId="78"/>
    <tableColumn id="8" name="BNL Contract (CCP)" dataDxfId="77"/>
    <tableColumn id="7" name="ODA ID" dataDxfId="76"/>
    <tableColumn id="2" name="WBS" dataDxfId="75"/>
    <tableColumn id="3" name="Project" dataDxfId="74"/>
    <tableColumn id="10" name="Ref Name" dataDxfId="73"/>
    <tableColumn id="11" name="Piano Fatturazione Concordato" dataDxfId="72"/>
    <tableColumn id="4" name="Revenues" dataDxfId="71" dataCellStyle="Currency"/>
    <tableColumn id="5" name="Billed" dataDxfId="70"/>
    <tableColumn id="6" name="To be billed" dataDxfId="69">
      <calculatedColumnFormula>Table134[[#This Row],[Revenues]]-Table134[[#This Row],[Billed]]</calculatedColumnFormula>
    </tableColumn>
    <tableColumn id="18" name="Nr. Fattura" dataDxfId="68"/>
    <tableColumn id="14" name="MMR Code" dataDxfId="67"/>
    <tableColumn id="19" name="Note" dataDxfId="66"/>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support-close.accenture.com/sys_attachment.do?sys_id=4296485d934132109b98bdc47aba1079" TargetMode="External" Id="rId1"/><Relationship Type="http://schemas.openxmlformats.org/officeDocument/2006/relationships/table" Target="/xl/tables/table1.xml" Id="rId2"/><Relationship Type="http://schemas.openxmlformats.org/officeDocument/2006/relationships/comments" Target="/xl/comments/comment2.xml" Id="comments"/><Relationship Type="http://schemas.openxmlformats.org/officeDocument/2006/relationships/vmlDrawing" Target="/xl/drawings/commentsDrawing2.vml" Id="anysvml"/><Relationship Type="http://schemas.openxmlformats.org/officeDocument/2006/relationships/pivotTable" Target="/xl/pivotTables/pivotTable1.xml" Id="rId5"/></Relationships>
</file>

<file path=xl/worksheets/_rels/sheet4.xml.rels><Relationships xmlns="http://schemas.openxmlformats.org/package/2006/relationships"><Relationship Type="http://schemas.openxmlformats.org/officeDocument/2006/relationships/hyperlink" Target="https://support-close.accenture.com/sys_attachment.do?sys_id=364e4b25c36007d42bf11e5ce0013157" TargetMode="External" Id="rId1"/><Relationship Type="http://schemas.openxmlformats.org/officeDocument/2006/relationships/table" Target="/xl/tables/table2.xml" Id="rId2"/></Relationships>
</file>

<file path=xl/worksheets/_rels/sheet5.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1.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2.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4.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5.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sheet1.xml><?xml version="1.0" encoding="utf-8"?>
<worksheet xmlns="http://schemas.openxmlformats.org/spreadsheetml/2006/main">
  <sheetPr codeName="Sheet7">
    <outlinePr summaryBelow="1" summaryRight="1"/>
    <pageSetUpPr/>
  </sheetPr>
  <dimension ref="A1:AB26"/>
  <sheetViews>
    <sheetView zoomScale="71" zoomScaleNormal="71" workbookViewId="0">
      <selection activeCell="W4" activeCellId="1" sqref="U4 W4"/>
    </sheetView>
  </sheetViews>
  <sheetFormatPr baseColWidth="8" defaultRowHeight="14.5"/>
  <cols>
    <col width="17.26953125" bestFit="1" customWidth="1" style="564" min="2" max="2"/>
    <col width="13.54296875" bestFit="1" customWidth="1" style="564" min="3" max="3"/>
    <col width="19.26953125" customWidth="1" style="564" min="6" max="6"/>
    <col width="19.1796875" customWidth="1" style="564" min="7" max="7"/>
    <col width="12.81640625" bestFit="1" customWidth="1" style="564" min="8" max="8"/>
    <col width="24.26953125" bestFit="1" customWidth="1" style="564" min="9" max="9"/>
    <col width="11.81640625" bestFit="1" customWidth="1" style="564" min="10" max="10"/>
    <col width="12.81640625" bestFit="1" customWidth="1" style="564" min="11" max="11"/>
    <col width="15.1796875" bestFit="1" customWidth="1" style="564" min="12" max="13"/>
    <col width="11.81640625" bestFit="1" customWidth="1" style="564" min="14" max="14"/>
    <col width="11.81640625" bestFit="1" customWidth="1" style="564" min="16" max="16"/>
    <col width="11.81640625" bestFit="1" customWidth="1" style="564" min="18" max="18"/>
    <col width="11.81640625" bestFit="1" customWidth="1" style="564" min="20" max="20"/>
    <col width="11.81640625" bestFit="1" customWidth="1" style="564" min="22" max="22"/>
    <col width="12.81640625" bestFit="1" customWidth="1" style="564" min="24" max="24"/>
    <col width="12.81640625" bestFit="1" customWidth="1" style="564" min="26" max="26"/>
    <col width="11.81640625" bestFit="1" customWidth="1" style="564" min="28" max="28"/>
    <col width="9.1796875" customWidth="1" style="564" min="32" max="32"/>
    <col width="9.1796875" customWidth="1" style="564" min="34" max="34"/>
  </cols>
  <sheetData>
    <row r="1"/>
    <row r="2">
      <c r="E2" s="534" t="inlineStr">
        <is>
          <t>gen</t>
        </is>
      </c>
      <c r="F2" s="581" t="n"/>
      <c r="G2" s="534" t="inlineStr">
        <is>
          <t>feb</t>
        </is>
      </c>
      <c r="H2" s="581" t="n"/>
      <c r="I2" s="534" t="inlineStr">
        <is>
          <t>mar</t>
        </is>
      </c>
      <c r="J2" s="581" t="n"/>
      <c r="K2" s="534" t="inlineStr">
        <is>
          <t>apr</t>
        </is>
      </c>
      <c r="L2" s="581" t="n"/>
      <c r="M2" s="534" t="inlineStr">
        <is>
          <t>mag</t>
        </is>
      </c>
      <c r="N2" s="581" t="n"/>
      <c r="O2" s="534" t="inlineStr">
        <is>
          <t>giu</t>
        </is>
      </c>
      <c r="P2" s="581" t="n"/>
      <c r="Q2" s="534" t="inlineStr">
        <is>
          <t>lug</t>
        </is>
      </c>
      <c r="R2" s="581" t="n"/>
      <c r="S2" s="534" t="inlineStr">
        <is>
          <t>ago</t>
        </is>
      </c>
      <c r="T2" s="581" t="n"/>
      <c r="U2" s="534" t="inlineStr">
        <is>
          <t>set</t>
        </is>
      </c>
      <c r="V2" s="581" t="n"/>
      <c r="W2" s="534" t="inlineStr">
        <is>
          <t>ott</t>
        </is>
      </c>
      <c r="X2" s="581" t="n"/>
      <c r="Y2" s="534" t="inlineStr">
        <is>
          <t>nov</t>
        </is>
      </c>
      <c r="Z2" s="581" t="n"/>
      <c r="AA2" s="534" t="inlineStr">
        <is>
          <t>dic</t>
        </is>
      </c>
      <c r="AB2" s="581" t="n"/>
    </row>
    <row r="3">
      <c r="E3" t="n">
        <v>18</v>
      </c>
      <c r="G3" t="n">
        <v>20</v>
      </c>
      <c r="I3" s="582" t="n">
        <v>22</v>
      </c>
      <c r="K3" t="n">
        <v>22</v>
      </c>
      <c r="M3" t="n">
        <v>21</v>
      </c>
      <c r="O3" t="n">
        <v>22</v>
      </c>
      <c r="Q3" t="n">
        <v>23</v>
      </c>
      <c r="S3" t="n">
        <v>10</v>
      </c>
      <c r="U3" t="n">
        <v>22</v>
      </c>
      <c r="W3" t="n">
        <v>22</v>
      </c>
      <c r="Y3" t="n">
        <v>21</v>
      </c>
      <c r="AA3" t="n">
        <v>16</v>
      </c>
    </row>
    <row r="4">
      <c r="E4" s="583" t="n">
        <v>144</v>
      </c>
      <c r="F4" s="584" t="inlineStr">
        <is>
          <t>costo €</t>
        </is>
      </c>
      <c r="G4" s="583" t="n">
        <v>160</v>
      </c>
      <c r="H4" s="584" t="inlineStr">
        <is>
          <t>costo €</t>
        </is>
      </c>
      <c r="I4" s="583" t="n">
        <v>176</v>
      </c>
      <c r="J4" s="584" t="inlineStr">
        <is>
          <t>costo €</t>
        </is>
      </c>
      <c r="K4" s="583" t="n">
        <v>176</v>
      </c>
      <c r="L4" s="584" t="inlineStr">
        <is>
          <t>costo €</t>
        </is>
      </c>
      <c r="M4" s="583" t="n">
        <v>168</v>
      </c>
      <c r="N4" s="584" t="inlineStr">
        <is>
          <t>costo €</t>
        </is>
      </c>
      <c r="O4" s="583" t="n">
        <v>176</v>
      </c>
      <c r="P4" s="584" t="inlineStr">
        <is>
          <t>costo €</t>
        </is>
      </c>
      <c r="Q4" s="583" t="n">
        <v>184</v>
      </c>
      <c r="R4" s="584" t="inlineStr">
        <is>
          <t>costo €</t>
        </is>
      </c>
      <c r="S4" s="583" t="n">
        <v>80</v>
      </c>
      <c r="T4" s="584" t="inlineStr">
        <is>
          <t>costo €</t>
        </is>
      </c>
      <c r="U4" s="583" t="n">
        <v>176</v>
      </c>
      <c r="V4" s="584" t="inlineStr">
        <is>
          <t>costo €</t>
        </is>
      </c>
      <c r="W4" s="583" t="n">
        <v>176</v>
      </c>
      <c r="X4" s="584" t="inlineStr">
        <is>
          <t>costo €</t>
        </is>
      </c>
      <c r="Y4" s="583" t="n">
        <v>168</v>
      </c>
      <c r="Z4" s="584" t="inlineStr">
        <is>
          <t>costo €</t>
        </is>
      </c>
      <c r="AA4" s="583" t="n">
        <v>128</v>
      </c>
      <c r="AB4" s="584" t="inlineStr">
        <is>
          <t>costo €</t>
        </is>
      </c>
    </row>
    <row r="5">
      <c r="B5" s="264" t="inlineStr">
        <is>
          <t>matteo.costa</t>
        </is>
      </c>
      <c r="C5" s="3" t="n">
        <v>34.61</v>
      </c>
      <c r="D5" s="85" t="n">
        <v>0.9</v>
      </c>
      <c r="E5" s="585" t="n">
        <v>105.46</v>
      </c>
      <c r="F5" s="586" t="n">
        <v>4453.39</v>
      </c>
      <c r="G5" s="79" t="n">
        <v>144</v>
      </c>
      <c r="H5" s="91" t="n">
        <v>4983.36</v>
      </c>
      <c r="I5" s="585" t="n">
        <v>128.89</v>
      </c>
      <c r="J5" s="586" t="n">
        <v>5481.7</v>
      </c>
      <c r="K5" s="585" t="n">
        <v>128.89</v>
      </c>
      <c r="L5" s="586" t="n">
        <v>5481.7</v>
      </c>
      <c r="M5" s="79" t="n">
        <v>123.03</v>
      </c>
      <c r="N5" s="586" t="n">
        <v>5232.53</v>
      </c>
      <c r="O5" s="585" t="n">
        <v>128.89</v>
      </c>
      <c r="P5" s="586" t="n">
        <v>5481.7</v>
      </c>
      <c r="Q5" s="585" t="n">
        <v>134.75</v>
      </c>
      <c r="R5" s="586" t="n">
        <v>5730.86</v>
      </c>
      <c r="S5" s="79" t="n">
        <v>72</v>
      </c>
      <c r="T5" s="586" t="n">
        <v>2491.68</v>
      </c>
      <c r="U5" t="n">
        <v>128.89</v>
      </c>
      <c r="V5" t="n">
        <v>5481.7</v>
      </c>
      <c r="W5" t="n">
        <v>128.89</v>
      </c>
      <c r="X5" t="n">
        <v>5481.7</v>
      </c>
      <c r="Y5" t="n">
        <v>123.03</v>
      </c>
      <c r="Z5" t="n">
        <v>5232.53</v>
      </c>
      <c r="AA5" t="n">
        <v>93.73999999999999</v>
      </c>
      <c r="AB5" t="n">
        <v>3986.69</v>
      </c>
    </row>
    <row r="6" ht="14.15" customHeight="1" s="564">
      <c r="B6" s="264" t="inlineStr">
        <is>
          <t>nicola.fontana</t>
        </is>
      </c>
      <c r="C6" s="3" t="n">
        <v>26.48</v>
      </c>
      <c r="D6" s="85" t="n">
        <v>0.89</v>
      </c>
      <c r="E6" s="585" t="n">
        <v>104.28</v>
      </c>
      <c r="F6" s="586" t="n">
        <v>3252.61</v>
      </c>
      <c r="G6" s="79" t="n">
        <v>115.87</v>
      </c>
      <c r="H6" s="91" t="n">
        <v>3770.44</v>
      </c>
      <c r="I6" s="585" t="n">
        <v>127.46</v>
      </c>
      <c r="J6" s="586" t="n">
        <v>4147.48</v>
      </c>
      <c r="K6" s="585" t="n">
        <v>127.46</v>
      </c>
      <c r="L6" s="586" t="n">
        <v>4147.48</v>
      </c>
      <c r="M6" s="79" t="n">
        <v>121.66</v>
      </c>
      <c r="N6" s="586" t="n">
        <v>3958.96</v>
      </c>
      <c r="O6" s="585" t="n">
        <v>127.46</v>
      </c>
      <c r="P6" s="586" t="n">
        <v>4147.48</v>
      </c>
      <c r="Q6" s="585" t="n">
        <v>133.25</v>
      </c>
      <c r="R6" s="586" t="n">
        <v>4336</v>
      </c>
      <c r="S6" s="79" t="n">
        <v>57.94</v>
      </c>
      <c r="T6" s="586" t="n">
        <v>1885.22</v>
      </c>
      <c r="U6" t="n">
        <v>127.46</v>
      </c>
      <c r="V6" t="n">
        <v>4147.48</v>
      </c>
      <c r="W6" t="n">
        <v>127.46</v>
      </c>
      <c r="X6" t="n">
        <v>4147.48</v>
      </c>
      <c r="Y6" t="n">
        <v>121.66</v>
      </c>
      <c r="Z6" t="n">
        <v>3958.96</v>
      </c>
      <c r="AA6" t="n">
        <v>92.7</v>
      </c>
      <c r="AB6" t="n">
        <v>3016.35</v>
      </c>
    </row>
    <row r="7">
      <c r="B7" s="264" t="inlineStr">
        <is>
          <t>laura.moretti</t>
        </is>
      </c>
      <c r="C7" s="3" t="n">
        <v>26.48</v>
      </c>
      <c r="D7" s="85" t="n">
        <v>0.89</v>
      </c>
      <c r="E7" s="585" t="n">
        <v>105.13</v>
      </c>
      <c r="F7" s="586" t="n">
        <v>3279.01</v>
      </c>
      <c r="G7" s="79" t="n">
        <v>115.87</v>
      </c>
      <c r="H7" s="91" t="n">
        <v>3770.44</v>
      </c>
      <c r="I7" s="585" t="n">
        <v>127.46</v>
      </c>
      <c r="J7" s="586" t="n">
        <v>4147.48</v>
      </c>
      <c r="K7" s="585" t="n">
        <v>127.46</v>
      </c>
      <c r="L7" s="586" t="n">
        <v>4147.48</v>
      </c>
      <c r="M7" s="79" t="n">
        <v>121.66</v>
      </c>
      <c r="N7" s="586" t="n">
        <v>3958.96</v>
      </c>
      <c r="O7" s="585" t="n">
        <v>127.46</v>
      </c>
      <c r="P7" s="586" t="n">
        <v>4147.48</v>
      </c>
      <c r="Q7" s="585" t="n">
        <v>133.25</v>
      </c>
      <c r="R7" s="586" t="n">
        <v>4336</v>
      </c>
      <c r="S7" s="79" t="n">
        <v>57.94</v>
      </c>
      <c r="T7" s="586" t="n">
        <v>1885.22</v>
      </c>
      <c r="U7" t="n">
        <v>127.46</v>
      </c>
      <c r="V7" t="n">
        <v>4147.48</v>
      </c>
      <c r="W7" t="n">
        <v>127.46</v>
      </c>
      <c r="X7" t="n">
        <v>4147.48</v>
      </c>
      <c r="Y7" t="n">
        <v>121.66</v>
      </c>
      <c r="Z7" t="n">
        <v>3958.96</v>
      </c>
      <c r="AA7" t="n">
        <v>92.7</v>
      </c>
      <c r="AB7" t="n">
        <v>3016.35</v>
      </c>
    </row>
    <row r="8">
      <c r="B8" s="264" t="inlineStr">
        <is>
          <t>anna.ferrari</t>
        </is>
      </c>
      <c r="C8" s="3" t="n">
        <v>79.64</v>
      </c>
      <c r="D8" s="85" t="n">
        <v>0.47</v>
      </c>
      <c r="E8" s="585" t="n">
        <v>55.07</v>
      </c>
      <c r="F8" s="586" t="n">
        <v>4455.26</v>
      </c>
      <c r="G8" s="79" t="n">
        <v>61.19</v>
      </c>
      <c r="H8" s="91" t="n">
        <v>5988.69</v>
      </c>
      <c r="I8" s="585" t="n">
        <v>67.31</v>
      </c>
      <c r="J8" s="586" t="n">
        <v>6587.56</v>
      </c>
      <c r="K8" s="585" t="n">
        <v>67.31</v>
      </c>
      <c r="L8" s="586" t="n">
        <v>6587.56</v>
      </c>
      <c r="M8" s="79" t="n">
        <v>64.25</v>
      </c>
      <c r="N8" s="586" t="n">
        <v>6288.12</v>
      </c>
      <c r="O8" s="585" t="n">
        <v>67.31</v>
      </c>
      <c r="P8" s="586" t="n">
        <v>6587.56</v>
      </c>
      <c r="Q8" s="585" t="n">
        <v>70.37</v>
      </c>
      <c r="R8" s="586" t="n">
        <v>6886.99</v>
      </c>
      <c r="S8" s="79" t="n">
        <v>30.6</v>
      </c>
      <c r="T8" s="586" t="n">
        <v>2994.34</v>
      </c>
      <c r="U8" t="n">
        <v>67.31</v>
      </c>
      <c r="V8" t="n">
        <v>6587.56</v>
      </c>
      <c r="W8" t="n">
        <v>67.31</v>
      </c>
      <c r="X8" t="n">
        <v>6587.56</v>
      </c>
      <c r="Y8" t="n">
        <v>64.25</v>
      </c>
      <c r="Z8" t="n">
        <v>6288.12</v>
      </c>
      <c r="AA8" t="n">
        <v>48.95</v>
      </c>
      <c r="AB8" t="n">
        <v>4790.95</v>
      </c>
    </row>
    <row r="9">
      <c r="B9" s="264" t="inlineStr">
        <is>
          <t>stefano.santoro</t>
        </is>
      </c>
      <c r="C9" s="3" t="n">
        <v>29.14</v>
      </c>
      <c r="D9" s="85" t="n">
        <v>0.89</v>
      </c>
      <c r="E9" s="587" t="n">
        <v>52.14</v>
      </c>
      <c r="F9" s="586" t="n">
        <v>1822.88</v>
      </c>
      <c r="G9" s="79" t="n">
        <v>57.94</v>
      </c>
      <c r="H9" s="91" t="n">
        <v>2074.67</v>
      </c>
      <c r="I9" s="585" t="n">
        <v>63.73</v>
      </c>
      <c r="J9" s="586" t="n">
        <v>2282.13</v>
      </c>
      <c r="K9" s="585" t="n">
        <v>63.73</v>
      </c>
      <c r="L9" s="586" t="n">
        <v>2282.13</v>
      </c>
      <c r="M9" s="79" t="n">
        <v>60.83</v>
      </c>
      <c r="N9" s="586" t="n">
        <v>2178.4</v>
      </c>
      <c r="O9" s="585" t="n">
        <v>63.73</v>
      </c>
      <c r="P9" s="586" t="n">
        <v>2282.13</v>
      </c>
      <c r="Q9" s="585" t="n">
        <v>66.63</v>
      </c>
      <c r="R9" s="586" t="n">
        <v>2385.87</v>
      </c>
      <c r="S9" s="79" t="n">
        <v>28.97</v>
      </c>
      <c r="T9" s="586" t="n">
        <v>1037.33</v>
      </c>
      <c r="U9" t="n">
        <v>63.73</v>
      </c>
      <c r="V9" t="n">
        <v>2282.13</v>
      </c>
      <c r="W9" t="n">
        <v>63.73</v>
      </c>
      <c r="X9" t="n">
        <v>2282.13</v>
      </c>
      <c r="Y9" t="n">
        <v>60.83</v>
      </c>
      <c r="Z9" t="n">
        <v>2178.4</v>
      </c>
      <c r="AA9" t="n">
        <v>46.35</v>
      </c>
      <c r="AB9" t="n">
        <v>1659.73</v>
      </c>
    </row>
    <row r="10">
      <c r="B10" s="264" t="inlineStr">
        <is>
          <t>riccardo.gentile</t>
        </is>
      </c>
      <c r="C10" s="3" t="n">
        <v>79.64</v>
      </c>
      <c r="D10" s="85" t="n">
        <v>0.5</v>
      </c>
      <c r="E10" s="585" t="n">
        <v>63.27</v>
      </c>
      <c r="F10" s="586" t="n">
        <v>6429.83</v>
      </c>
      <c r="G10" s="79" t="n">
        <v>70.3</v>
      </c>
      <c r="H10" s="91" t="n">
        <v>6880.62</v>
      </c>
      <c r="I10" s="585" t="n">
        <v>77.33</v>
      </c>
      <c r="J10" s="586" t="n">
        <v>7568.68</v>
      </c>
      <c r="K10" s="585" t="n">
        <v>77.33</v>
      </c>
      <c r="L10" s="586" t="n">
        <v>7568.68</v>
      </c>
      <c r="M10" s="79" t="n">
        <v>73.81999999999999</v>
      </c>
      <c r="N10" s="586" t="n">
        <v>7224.65</v>
      </c>
      <c r="O10" s="585" t="n">
        <v>77.33</v>
      </c>
      <c r="P10" s="586" t="n">
        <v>7568.68</v>
      </c>
      <c r="Q10" s="585" t="n">
        <v>80.84999999999999</v>
      </c>
      <c r="R10" s="586" t="n">
        <v>7912.71</v>
      </c>
      <c r="S10" s="79" t="n">
        <v>35.15</v>
      </c>
      <c r="T10" s="586" t="n">
        <v>3440.31</v>
      </c>
      <c r="U10" t="n">
        <v>88</v>
      </c>
      <c r="V10" t="n">
        <v>7008.04</v>
      </c>
      <c r="W10" t="n">
        <v>88</v>
      </c>
      <c r="X10" t="n">
        <v>7008.04</v>
      </c>
      <c r="Y10" t="n">
        <v>84</v>
      </c>
      <c r="Z10" t="n">
        <v>6689.49</v>
      </c>
      <c r="AA10" t="n">
        <v>64</v>
      </c>
      <c r="AB10" t="n">
        <v>5096.76</v>
      </c>
    </row>
    <row r="11">
      <c r="B11" s="264" t="inlineStr">
        <is>
          <t>fabio.ferrara</t>
        </is>
      </c>
      <c r="C11" s="3" t="n">
        <v>25.55</v>
      </c>
      <c r="D11" s="85" t="n">
        <v>0.95</v>
      </c>
      <c r="E11" s="585" t="n">
        <v>111.31</v>
      </c>
      <c r="F11" s="586" t="n">
        <v>3391.74</v>
      </c>
      <c r="G11" s="79" t="n">
        <v>152</v>
      </c>
      <c r="H11" s="91" t="n">
        <v>3883.63</v>
      </c>
      <c r="I11" s="585" t="n">
        <v>136.05</v>
      </c>
      <c r="J11" s="586" t="n">
        <v>4271.99</v>
      </c>
      <c r="K11" s="585" t="n">
        <v>136.05</v>
      </c>
      <c r="L11" s="586" t="n">
        <v>4271.99</v>
      </c>
      <c r="M11" s="79" t="n">
        <v>129.87</v>
      </c>
      <c r="N11" s="586" t="n">
        <v>4077.81</v>
      </c>
      <c r="O11" s="585" t="n">
        <v>136.05</v>
      </c>
      <c r="P11" s="586" t="n">
        <v>4271.99</v>
      </c>
      <c r="Q11" s="585" t="n">
        <v>142.23</v>
      </c>
      <c r="R11" s="586" t="n">
        <v>4466.17</v>
      </c>
      <c r="S11" s="79" t="n">
        <v>76</v>
      </c>
      <c r="T11" s="586" t="n">
        <v>1941.81</v>
      </c>
      <c r="U11" t="n">
        <v>136.05</v>
      </c>
      <c r="V11" t="n">
        <v>4271.99</v>
      </c>
      <c r="W11" t="n">
        <v>136.05</v>
      </c>
      <c r="X11" t="n">
        <v>4271.99</v>
      </c>
      <c r="Y11" t="n">
        <v>129.87</v>
      </c>
      <c r="Z11" t="n">
        <v>4077.81</v>
      </c>
      <c r="AA11" t="n">
        <v>98.95</v>
      </c>
      <c r="AB11" t="n">
        <v>3106.9</v>
      </c>
    </row>
    <row r="12">
      <c r="B12" s="264" t="inlineStr">
        <is>
          <t>serena.mariani</t>
        </is>
      </c>
      <c r="C12" s="3" t="n">
        <v>29.14</v>
      </c>
      <c r="D12" s="85" t="n">
        <v>0.89</v>
      </c>
      <c r="E12" s="587" t="n">
        <v>57.94</v>
      </c>
      <c r="F12" s="586" t="n">
        <v>2025.42</v>
      </c>
      <c r="G12" s="79" t="n">
        <v>57.94</v>
      </c>
      <c r="H12" s="91" t="n">
        <v>2074.67</v>
      </c>
      <c r="I12" s="585" t="n">
        <v>63.73</v>
      </c>
      <c r="J12" s="586" t="n">
        <v>2282.13</v>
      </c>
      <c r="K12" s="585" t="n">
        <v>63.73</v>
      </c>
      <c r="L12" s="586" t="n">
        <v>2282.13</v>
      </c>
      <c r="M12" s="79" t="n">
        <v>60.83</v>
      </c>
      <c r="N12" s="586" t="n">
        <v>2178.4</v>
      </c>
      <c r="O12" s="585" t="n">
        <v>63.73</v>
      </c>
      <c r="P12" s="586" t="n">
        <v>2282.13</v>
      </c>
      <c r="Q12" s="585" t="n">
        <v>66.63</v>
      </c>
      <c r="R12" s="586" t="n">
        <v>2385.87</v>
      </c>
      <c r="S12" s="79" t="n">
        <v>28.97</v>
      </c>
      <c r="T12" s="586" t="n">
        <v>1037.33</v>
      </c>
      <c r="U12" t="n">
        <v>63.73</v>
      </c>
      <c r="V12" t="n">
        <v>2282.13</v>
      </c>
      <c r="W12" t="n">
        <v>63.73</v>
      </c>
      <c r="X12" t="n">
        <v>2282.13</v>
      </c>
      <c r="Y12" t="n">
        <v>60.83</v>
      </c>
      <c r="Z12" t="n">
        <v>2178.4</v>
      </c>
      <c r="AA12" t="n">
        <v>46.35</v>
      </c>
      <c r="AB12" t="n">
        <v>1659.73</v>
      </c>
    </row>
    <row r="13" customFormat="1" s="588">
      <c r="B13" s="588" t="inlineStr">
        <is>
          <t>Tot forecast</t>
        </is>
      </c>
      <c r="C13" s="588" t="n">
        <v>396408.89</v>
      </c>
      <c r="F13" s="588" t="n">
        <v>29110.15</v>
      </c>
      <c r="H13" s="588" t="n">
        <v>33426.51</v>
      </c>
      <c r="J13" s="588" t="n">
        <v>36769.16</v>
      </c>
      <c r="L13" s="588" t="n">
        <v>36769.16</v>
      </c>
      <c r="N13" s="588" t="n">
        <v>35097.84</v>
      </c>
      <c r="P13" s="588" t="n">
        <v>36769.16</v>
      </c>
      <c r="R13" s="588" t="n">
        <v>38440.49</v>
      </c>
      <c r="T13" s="588" t="n">
        <v>16713.25</v>
      </c>
      <c r="V13" s="588" t="n">
        <v>36208.52</v>
      </c>
      <c r="X13" s="588" t="n">
        <v>36208.52</v>
      </c>
      <c r="Z13" s="588" t="n">
        <v>34562.68</v>
      </c>
      <c r="AB13" s="588" t="n">
        <v>26333.47</v>
      </c>
    </row>
    <row r="14"/>
    <row r="15">
      <c r="C15" s="589" t="n">
        <v>619388.89</v>
      </c>
      <c r="F15" s="590" t="n">
        <v>29801.71</v>
      </c>
    </row>
    <row r="16">
      <c r="F16" s="590" t="n">
        <v>5144.95</v>
      </c>
    </row>
    <row r="17">
      <c r="B17" t="inlineStr">
        <is>
          <t>Elisa Rizzo</t>
        </is>
      </c>
      <c r="C17" s="134" t="n">
        <v>569590</v>
      </c>
      <c r="F17" s="590" t="n">
        <v>161.6</v>
      </c>
    </row>
    <row r="18">
      <c r="V18" t="n">
        <v>44998</v>
      </c>
    </row>
    <row r="19">
      <c r="C19" s="135" t="n"/>
      <c r="V19" t="n">
        <v>70308.77</v>
      </c>
    </row>
    <row r="20">
      <c r="F20" s="566" t="inlineStr">
        <is>
          <t>Area</t>
        </is>
      </c>
      <c r="G20" s="282" t="inlineStr">
        <is>
          <t>Ruolo</t>
        </is>
      </c>
      <c r="H20" s="566" t="inlineStr">
        <is>
          <t>Profilo</t>
        </is>
      </c>
      <c r="I20" s="566" t="inlineStr">
        <is>
          <t>Valore Offerta IVA ESCLUSA</t>
        </is>
      </c>
      <c r="J20" s="566" t="inlineStr">
        <is>
          <t>Anno</t>
        </is>
      </c>
      <c r="K20" s="566" t="inlineStr">
        <is>
          <t>Elapsed</t>
        </is>
      </c>
      <c r="L20" s="566" t="inlineStr">
        <is>
          <t>Costi annuali</t>
        </is>
      </c>
      <c r="M20" s="566" t="inlineStr">
        <is>
          <t>Costo reale team</t>
        </is>
      </c>
      <c r="N20" s="566" t="inlineStr">
        <is>
          <t>Delta</t>
        </is>
      </c>
      <c r="V20" t="n">
        <v>63277.89</v>
      </c>
    </row>
    <row r="21">
      <c r="F21" s="283" t="inlineStr">
        <is>
          <t xml:space="preserve">PM tecnico </t>
        </is>
      </c>
      <c r="G21" s="566" t="n"/>
      <c r="H21" s="284" t="inlineStr">
        <is>
          <t>Fabio Longo</t>
        </is>
      </c>
      <c r="I21" s="591" t="n">
        <v>86950</v>
      </c>
      <c r="J21" s="284" t="n">
        <v>1649</v>
      </c>
      <c r="K21" s="284" t="inlineStr">
        <is>
          <t>12 mesi</t>
        </is>
      </c>
      <c r="L21" s="592" t="n">
        <v>55648.23</v>
      </c>
      <c r="M21" s="593" t="n">
        <v>55066.12</v>
      </c>
      <c r="N21" s="592" t="n">
        <v>-582.11</v>
      </c>
      <c r="V21" t="n">
        <v>189833.67</v>
      </c>
    </row>
    <row r="22" ht="130.5" customHeight="1" s="564">
      <c r="F22" s="283" t="inlineStr">
        <is>
          <t>Cyber Security Team</t>
        </is>
      </c>
      <c r="G22" s="566" t="n"/>
      <c r="H22" s="286" t="inlineStr">
        <is>
          <t>- Massimiliano Lanzi
- Daniele Cesarano
- Gianmarco Pappalardo
- Alessio Manfrè</t>
        </is>
      </c>
      <c r="I22" s="591" t="n">
        <v>258757</v>
      </c>
      <c r="J22" s="284" t="n">
        <v>1649</v>
      </c>
      <c r="K22" s="284" t="inlineStr">
        <is>
          <t>12 mesi</t>
        </is>
      </c>
      <c r="L22" s="592" t="n">
        <v>165604</v>
      </c>
      <c r="M22" s="593" t="n">
        <v>185236.54</v>
      </c>
      <c r="N22" s="592" t="n">
        <v>19632.32</v>
      </c>
    </row>
    <row r="23" ht="58" customHeight="1" s="564">
      <c r="F23" s="287" t="inlineStr">
        <is>
          <t>Application Security: 
Scenario 1</t>
        </is>
      </c>
      <c r="G23" s="566" t="n"/>
      <c r="H23" s="278" t="inlineStr">
        <is>
          <t>- Massimo Silvestri
- Emanuela Sebastiano</t>
        </is>
      </c>
      <c r="I23" s="594" t="n">
        <v>187151</v>
      </c>
      <c r="J23" s="280" t="n">
        <v>1649</v>
      </c>
      <c r="K23" s="280" t="inlineStr">
        <is>
          <t>12 mesi</t>
        </is>
      </c>
      <c r="L23" s="592" t="n">
        <v>119777</v>
      </c>
      <c r="M23" s="593" t="n">
        <v>126702.34</v>
      </c>
      <c r="N23" s="592" t="n">
        <v>6925.7</v>
      </c>
    </row>
    <row r="24" ht="72.5" customHeight="1" s="564">
      <c r="F24" s="287" t="inlineStr">
        <is>
          <t>Application Security: 
Scenario 2</t>
        </is>
      </c>
      <c r="G24" s="566" t="n"/>
      <c r="H24" s="278" t="inlineStr">
        <is>
          <t xml:space="preserve">- Massimo Silvestri
- Emanuela Sebastiano
- 1 FTE </t>
        </is>
      </c>
      <c r="I24" s="594" t="n">
        <v>231904</v>
      </c>
      <c r="J24" s="280" t="n">
        <v>1649</v>
      </c>
      <c r="K24" s="280" t="inlineStr">
        <is>
          <t>12 mesi</t>
        </is>
      </c>
      <c r="L24" s="592" t="n">
        <v>148419</v>
      </c>
      <c r="M24" s="593" t="n">
        <v>151652.84</v>
      </c>
      <c r="N24" s="592" t="n">
        <v>3233.96</v>
      </c>
    </row>
    <row r="25" ht="72.5" customHeight="1" s="564">
      <c r="F25" s="287" t="inlineStr">
        <is>
          <t>Application Security: 
Scenario 3</t>
        </is>
      </c>
      <c r="G25" s="566" t="n"/>
      <c r="H25" s="278" t="inlineStr">
        <is>
          <t xml:space="preserve">- Massimo Silvestri
- Emanuela Sebastiano
- 2 FTE </t>
        </is>
      </c>
      <c r="I25" s="595" t="n">
        <v>258757</v>
      </c>
      <c r="J25" s="280" t="n">
        <v>1649</v>
      </c>
      <c r="K25" s="280" t="inlineStr">
        <is>
          <t>12 mesi</t>
        </is>
      </c>
      <c r="L25" s="592" t="n">
        <v>165604</v>
      </c>
      <c r="M25" s="592" t="n">
        <v>176603.35</v>
      </c>
      <c r="N25" s="592" t="n">
        <v>10999.12</v>
      </c>
    </row>
    <row r="26">
      <c r="I26" s="589" t="n"/>
    </row>
  </sheetData>
  <mergeCells count="12">
    <mergeCell ref="O2:P2"/>
    <mergeCell ref="M2:N2"/>
    <mergeCell ref="S2:T2"/>
    <mergeCell ref="Q2:R2"/>
    <mergeCell ref="W2:X2"/>
    <mergeCell ref="U2:V2"/>
    <mergeCell ref="G2:H2"/>
    <mergeCell ref="E2:F2"/>
    <mergeCell ref="K2:L2"/>
    <mergeCell ref="I2:J2"/>
    <mergeCell ref="Y2:Z2"/>
    <mergeCell ref="AA2:AB2"/>
  </mergeCells>
  <conditionalFormatting sqref="B5:B6">
    <cfRule type="duplicateValues" priority="2" dxfId="1"/>
  </conditionalFormatting>
  <conditionalFormatting sqref="B7:B12">
    <cfRule type="duplicateValues" priority="1" dxfId="1"/>
  </conditionalFormatting>
  <pageMargins left="0.7" right="0.7" top="0.75" bottom="0.75" header="0.3" footer="0.3"/>
  <pageSetup orientation="portrait"/>
  <legacyDrawing xmlns:r="http://schemas.openxmlformats.org/officeDocument/2006/relationships" r:id="anysvml"/>
</worksheet>
</file>

<file path=xl/worksheets/sheet2.xml><?xml version="1.0" encoding="utf-8"?>
<worksheet xmlns="http://schemas.openxmlformats.org/spreadsheetml/2006/main">
  <sheetPr codeName="Sheet3">
    <outlinePr summaryBelow="1" summaryRight="1"/>
    <pageSetUpPr/>
  </sheetPr>
  <dimension ref="A1:Z57"/>
  <sheetViews>
    <sheetView zoomScale="53" zoomScaleNormal="53" zoomScaleSheetLayoutView="70" workbookViewId="0">
      <selection activeCell="G38" sqref="G38"/>
    </sheetView>
  </sheetViews>
  <sheetFormatPr baseColWidth="8" defaultColWidth="8.81640625" defaultRowHeight="14.5"/>
  <cols>
    <col width="4.54296875" customWidth="1" style="579" min="1" max="1"/>
    <col width="11.81640625" bestFit="1" customWidth="1" style="579" min="2" max="2"/>
    <col width="13.54296875" customWidth="1" style="579" min="3" max="3"/>
    <col width="19.54296875" customWidth="1" style="579" min="4" max="4"/>
    <col width="8.1796875" customWidth="1" style="579" min="5" max="5"/>
    <col width="15.81640625" customWidth="1" style="579" min="6" max="6"/>
    <col width="20.81640625" bestFit="1" customWidth="1" style="579" min="7" max="7"/>
    <col width="26.1796875" customWidth="1" style="579" min="8" max="8"/>
    <col width="14.54296875" bestFit="1" customWidth="1" style="579" min="9" max="9"/>
    <col width="49.81640625" customWidth="1" style="579" min="10" max="10"/>
    <col width="31.1796875" customWidth="1" style="579" min="11" max="11"/>
    <col width="45.1796875" customWidth="1" style="579" min="12" max="12"/>
    <col width="19.81640625" customWidth="1" style="579" min="13" max="15"/>
    <col width="8.81640625" customWidth="1" style="579" min="16" max="16"/>
    <col width="23.1796875" customWidth="1" style="579" min="17" max="17"/>
    <col width="15.453125" bestFit="1" customWidth="1" style="579" min="18" max="18"/>
    <col width="8.81640625" customWidth="1" style="579" min="19" max="21"/>
    <col width="13.1796875" bestFit="1" customWidth="1" style="579" min="22" max="22"/>
    <col width="35.453125" bestFit="1" customWidth="1" style="579" min="23" max="23"/>
    <col width="14.1796875" bestFit="1" customWidth="1" style="579" min="24" max="24"/>
    <col width="11.7265625" bestFit="1" customWidth="1" style="579" min="25" max="25"/>
    <col width="11.54296875" bestFit="1" customWidth="1" style="579" min="26" max="26"/>
    <col width="8.81640625" customWidth="1" style="579" min="27" max="16384"/>
  </cols>
  <sheetData>
    <row r="1"/>
    <row r="2">
      <c r="B2" s="579" t="inlineStr">
        <is>
          <t>Contract</t>
        </is>
      </c>
      <c r="C2" s="579" t="inlineStr">
        <is>
          <t>PDS Status</t>
        </is>
      </c>
      <c r="D2" s="579" t="inlineStr">
        <is>
          <t>Stato ACN Tool</t>
        </is>
      </c>
      <c r="E2" s="579" t="inlineStr">
        <is>
          <t>MMS Status</t>
        </is>
      </c>
      <c r="F2" s="579" t="inlineStr">
        <is>
          <t>Opp ID MMS</t>
        </is>
      </c>
      <c r="G2" s="579" t="inlineStr">
        <is>
          <t>AlphaBank Contract (CCP)</t>
        </is>
      </c>
      <c r="H2" s="579" t="inlineStr">
        <is>
          <t>ODA ID</t>
        </is>
      </c>
      <c r="I2" s="579" t="inlineStr">
        <is>
          <t>WBS</t>
        </is>
      </c>
      <c r="J2" s="579" t="inlineStr">
        <is>
          <t>Project</t>
        </is>
      </c>
      <c r="K2" s="579" t="inlineStr">
        <is>
          <t>Ref Name</t>
        </is>
      </c>
      <c r="L2" s="579" t="inlineStr">
        <is>
          <t>Piano Fatturazione Concordato</t>
        </is>
      </c>
      <c r="M2" s="579" t="inlineStr">
        <is>
          <t>Revenues</t>
        </is>
      </c>
      <c r="N2" s="579" t="inlineStr">
        <is>
          <t>Billed</t>
        </is>
      </c>
      <c r="O2" s="579" t="inlineStr">
        <is>
          <t>To be billed</t>
        </is>
      </c>
      <c r="P2" s="579" t="inlineStr">
        <is>
          <t>pagamento</t>
        </is>
      </c>
      <c r="Q2" s="124" t="inlineStr">
        <is>
          <t>Numero fattura</t>
        </is>
      </c>
      <c r="R2" s="579" t="inlineStr">
        <is>
          <t>Sum of Revenues</t>
        </is>
      </c>
    </row>
    <row r="3" hidden="1" s="564">
      <c r="B3" s="574" t="inlineStr">
        <is>
          <t>9915583648</t>
        </is>
      </c>
      <c r="C3" s="574" t="inlineStr">
        <is>
          <t>Inviata</t>
        </is>
      </c>
      <c r="D3" s="574" t="inlineStr">
        <is>
          <t>Done</t>
        </is>
      </c>
      <c r="E3" s="574" t="inlineStr">
        <is>
          <t>CloseWon</t>
        </is>
      </c>
      <c r="F3" s="574" t="n"/>
      <c r="G3" s="574" t="n"/>
      <c r="H3" s="574" t="n"/>
      <c r="I3" s="579" t="inlineStr">
        <is>
          <t>BJRYD001</t>
        </is>
      </c>
      <c r="J3" s="579" t="inlineStr">
        <is>
          <t>Before Gen 2024</t>
        </is>
      </c>
      <c r="L3" s="580" t="n"/>
      <c r="M3" s="596" t="n">
        <v>82805.46000000001</v>
      </c>
      <c r="N3" s="596" t="n">
        <v>82805.46000000001</v>
      </c>
      <c r="O3" s="596" t="n">
        <v>0</v>
      </c>
      <c r="P3" s="157" t="inlineStr">
        <is>
          <t>pagata</t>
        </is>
      </c>
      <c r="Q3" s="560" t="inlineStr">
        <is>
          <t>BJRYD001</t>
        </is>
      </c>
      <c r="R3" s="597" t="n">
        <v>323179.78</v>
      </c>
    </row>
    <row r="4" hidden="1" ht="130.5" customHeight="1" s="564">
      <c r="B4" s="574" t="inlineStr">
        <is>
          <t>9915583648</t>
        </is>
      </c>
      <c r="C4" s="574" t="inlineStr">
        <is>
          <t>Inviata</t>
        </is>
      </c>
      <c r="D4" s="574" t="inlineStr">
        <is>
          <t>Done</t>
        </is>
      </c>
      <c r="E4" s="574" t="inlineStr">
        <is>
          <t>CloseWon</t>
        </is>
      </c>
      <c r="F4" s="574" t="inlineStr">
        <is>
          <t>2193039517</t>
        </is>
      </c>
      <c r="G4" s="574" t="n"/>
      <c r="H4" s="129" t="inlineStr">
        <is>
          <t>ORF/435/2023
ORF/436/2023
ORF/536/2023
ORF/482/2023
ORF/467/2023
ORF/545/2023
ORF/540/2023
ORF / 572 / 2023
ORF / 568 / 2024</t>
        </is>
      </c>
      <c r="I4" s="579" t="inlineStr">
        <is>
          <t>BJRYD001</t>
        </is>
      </c>
      <c r="J4" s="579" t="inlineStr">
        <is>
          <t>BetaCredit-Supporto IT Sec Gov 2023 Fase 2</t>
        </is>
      </c>
      <c r="K4" s="579" t="inlineStr">
        <is>
          <t>Riccardo Marino</t>
        </is>
      </c>
      <c r="L4" s="580" t="n"/>
      <c r="M4" s="596" t="n">
        <v>24520.01</v>
      </c>
      <c r="N4" s="596" t="n">
        <v>24520.01</v>
      </c>
      <c r="O4" s="596" t="n">
        <v>0</v>
      </c>
      <c r="P4" s="157" t="inlineStr">
        <is>
          <t>pagata</t>
        </is>
      </c>
      <c r="Q4" s="560" t="inlineStr">
        <is>
          <t>BGTY8001</t>
        </is>
      </c>
      <c r="R4" s="597" t="n">
        <v>530730.53</v>
      </c>
    </row>
    <row r="5" hidden="1" ht="159.5" customHeight="1" s="564">
      <c r="B5" s="574" t="inlineStr">
        <is>
          <t>9915583648</t>
        </is>
      </c>
      <c r="C5" s="574" t="inlineStr">
        <is>
          <t>Inviata</t>
        </is>
      </c>
      <c r="D5" s="574" t="inlineStr">
        <is>
          <t>Done</t>
        </is>
      </c>
      <c r="E5" s="574" t="inlineStr">
        <is>
          <t>CloseWon</t>
        </is>
      </c>
      <c r="F5" s="574" t="inlineStr">
        <is>
          <t>5783765539</t>
        </is>
      </c>
      <c r="G5" s="574" t="n"/>
      <c r="H5" s="129" t="inlineStr">
        <is>
          <t>ORF / 642 / 2023
ORF / 634 / 2023
ORF Proposta ACCENTURE Offerta firmata per accettazione
636_2023
ORF Proposta Accenture_SCTASK1888833
680_2023
ORF Proposta ACCENTURE SCTASK1888832</t>
        </is>
      </c>
      <c r="I5" s="579" t="inlineStr">
        <is>
          <t>BJRYD001</t>
        </is>
      </c>
      <c r="J5" s="579" t="inlineStr">
        <is>
          <t>BetaCredit-Supporto IT Sec Gov 2023 Fase 3</t>
        </is>
      </c>
      <c r="K5" s="579" t="inlineStr">
        <is>
          <t>Riccardo Marino</t>
        </is>
      </c>
      <c r="L5" s="580" t="n"/>
      <c r="M5" s="596" t="n">
        <v>49561.7</v>
      </c>
      <c r="N5" s="596" t="n">
        <v>49561.7</v>
      </c>
      <c r="O5" s="596" t="n">
        <v>0</v>
      </c>
      <c r="P5" s="157" t="inlineStr">
        <is>
          <t>pagata</t>
        </is>
      </c>
      <c r="Q5" s="560" t="inlineStr">
        <is>
          <t>Grand Total</t>
        </is>
      </c>
      <c r="R5" s="597" t="n">
        <v>853910.3</v>
      </c>
    </row>
    <row r="6" hidden="1" s="564">
      <c r="B6" s="574" t="inlineStr">
        <is>
          <t>9997412455</t>
        </is>
      </c>
      <c r="C6" s="574" t="inlineStr">
        <is>
          <t>Inviata</t>
        </is>
      </c>
      <c r="D6" s="574" t="inlineStr">
        <is>
          <t>Done</t>
        </is>
      </c>
      <c r="E6" s="574" t="inlineStr">
        <is>
          <t>CloseWon</t>
        </is>
      </c>
      <c r="F6" s="574" t="n"/>
      <c r="G6" s="574" t="n"/>
      <c r="H6" s="574" t="n"/>
      <c r="I6" s="579" t="inlineStr">
        <is>
          <t>BGTY8001</t>
        </is>
      </c>
      <c r="J6" s="579" t="inlineStr">
        <is>
          <t>Before Gen 2024</t>
        </is>
      </c>
      <c r="L6" s="580" t="n"/>
      <c r="M6" s="596" t="n">
        <v>277570.82</v>
      </c>
      <c r="N6" s="596" t="n">
        <v>277570.82</v>
      </c>
      <c r="O6" s="596" t="n">
        <v>0</v>
      </c>
      <c r="P6" s="157" t="inlineStr">
        <is>
          <t>pagata</t>
        </is>
      </c>
    </row>
    <row r="7">
      <c r="B7" s="574" t="inlineStr">
        <is>
          <t>9997412455</t>
        </is>
      </c>
      <c r="C7" s="574" t="inlineStr">
        <is>
          <t>Inviata</t>
        </is>
      </c>
      <c r="D7" s="574" t="inlineStr">
        <is>
          <t>Done</t>
        </is>
      </c>
      <c r="E7" s="574" t="inlineStr">
        <is>
          <t>CloseWon</t>
        </is>
      </c>
      <c r="F7" s="574" t="inlineStr">
        <is>
          <t>1056828813</t>
        </is>
      </c>
      <c r="G7" s="574" t="inlineStr">
        <is>
          <t>55006 - 10000251107</t>
        </is>
      </c>
      <c r="H7" s="574" t="inlineStr">
        <is>
          <t>2780948625</t>
        </is>
      </c>
      <c r="I7" s="579" t="inlineStr">
        <is>
          <t>BGTY8001</t>
        </is>
      </c>
      <c r="J7" s="579" t="inlineStr">
        <is>
          <t>Onboarding Fuori IAM</t>
        </is>
      </c>
      <c r="K7" s="579" t="inlineStr">
        <is>
          <t>Stefano Rinaldi</t>
        </is>
      </c>
      <c r="L7" s="580" t="n"/>
      <c r="M7" s="596" t="n">
        <v>71038.39999999999</v>
      </c>
      <c r="N7" s="596" t="n">
        <v>71038.39999999999</v>
      </c>
      <c r="O7" s="596" t="n">
        <v>0</v>
      </c>
      <c r="P7" s="157" t="inlineStr">
        <is>
          <t>pagata</t>
        </is>
      </c>
    </row>
    <row r="8">
      <c r="B8" s="574" t="inlineStr">
        <is>
          <t>9997412455</t>
        </is>
      </c>
      <c r="C8" s="574" t="inlineStr">
        <is>
          <t>Inviata</t>
        </is>
      </c>
      <c r="D8" s="574" t="inlineStr">
        <is>
          <t>Done</t>
        </is>
      </c>
      <c r="E8" s="574" t="inlineStr">
        <is>
          <t>CloseWon</t>
        </is>
      </c>
      <c r="F8" s="574" t="inlineStr">
        <is>
          <t>1056828813</t>
        </is>
      </c>
      <c r="G8" s="574" t="inlineStr">
        <is>
          <t>56574 - 10000247730</t>
        </is>
      </c>
      <c r="H8" s="560" t="n">
        <v>1516980218</v>
      </c>
      <c r="I8" s="579" t="inlineStr">
        <is>
          <t>BGTY8001</t>
        </is>
      </c>
      <c r="J8" s="579" t="inlineStr">
        <is>
          <t>Supporto RSB - Riportafogliazione Commerciale 2024</t>
        </is>
      </c>
      <c r="K8" s="579" t="inlineStr">
        <is>
          <t>Stefano Rinaldi</t>
        </is>
      </c>
      <c r="L8" s="580" t="n"/>
      <c r="M8" s="596" t="n">
        <v>16945.9</v>
      </c>
      <c r="N8" s="596" t="n">
        <v>16945.9</v>
      </c>
      <c r="O8" s="596" t="n">
        <v>0</v>
      </c>
      <c r="P8" s="157" t="inlineStr">
        <is>
          <t>pagata</t>
        </is>
      </c>
    </row>
    <row r="9">
      <c r="B9" s="574" t="n">
        <v>9997412455</v>
      </c>
      <c r="C9" s="574" t="inlineStr">
        <is>
          <t>Inviata</t>
        </is>
      </c>
      <c r="D9" s="574" t="inlineStr">
        <is>
          <t>Done</t>
        </is>
      </c>
      <c r="E9" s="574" t="inlineStr">
        <is>
          <t>CloseWon</t>
        </is>
      </c>
      <c r="F9" s="574" t="inlineStr">
        <is>
          <t>9060013876</t>
        </is>
      </c>
      <c r="G9" s="579" t="inlineStr">
        <is>
          <t>56224 - 10000246907</t>
        </is>
      </c>
      <c r="H9" s="574" t="inlineStr">
        <is>
          <t>7409859173</t>
        </is>
      </c>
      <c r="I9" s="579" t="inlineStr">
        <is>
          <t>BGTY8001</t>
        </is>
      </c>
      <c r="J9" s="579" t="inlineStr">
        <is>
          <t>Supporto studio siteminder</t>
        </is>
      </c>
      <c r="K9" s="579" t="inlineStr">
        <is>
          <t>Sara Longo</t>
        </is>
      </c>
      <c r="L9" s="580" t="n"/>
      <c r="M9" s="596" t="n">
        <v>19360.03</v>
      </c>
      <c r="N9" s="596" t="n">
        <v>19360.03</v>
      </c>
      <c r="O9" s="596" t="n">
        <v>0</v>
      </c>
      <c r="P9" s="157" t="inlineStr">
        <is>
          <t>pagata</t>
        </is>
      </c>
    </row>
    <row r="10">
      <c r="B10" s="574" t="n">
        <v>9997412455</v>
      </c>
      <c r="C10" s="574" t="inlineStr">
        <is>
          <t>Inviata</t>
        </is>
      </c>
      <c r="D10" s="574" t="inlineStr">
        <is>
          <t>Done</t>
        </is>
      </c>
      <c r="E10" s="574" t="inlineStr">
        <is>
          <t>CloseWon</t>
        </is>
      </c>
      <c r="F10" s="574" t="inlineStr">
        <is>
          <t>7984193051</t>
        </is>
      </c>
      <c r="G10" s="579" t="inlineStr">
        <is>
          <t>54978 - 10000245044</t>
        </is>
      </c>
      <c r="H10" s="574" t="inlineStr">
        <is>
          <t>5213978964</t>
        </is>
      </c>
      <c r="I10" s="579" t="inlineStr">
        <is>
          <t>BGTY8001</t>
        </is>
      </c>
      <c r="J10" s="579" t="inlineStr">
        <is>
          <t>Estensione supporto MFA IBM e Access Log</t>
        </is>
      </c>
      <c r="K10" s="579" t="inlineStr">
        <is>
          <t>Stefano Rinaldi</t>
        </is>
      </c>
      <c r="L10" s="580" t="n"/>
      <c r="M10" s="596" t="n">
        <v>14014.15</v>
      </c>
      <c r="N10" s="596" t="n">
        <v>14014.15</v>
      </c>
      <c r="O10" s="596" t="n">
        <v>0</v>
      </c>
      <c r="P10" s="157" t="inlineStr">
        <is>
          <t>pagata</t>
        </is>
      </c>
    </row>
    <row r="11">
      <c r="B11" s="574" t="n">
        <v>9997412455</v>
      </c>
      <c r="C11" s="574" t="inlineStr">
        <is>
          <t>Inviata</t>
        </is>
      </c>
      <c r="D11" s="574" t="inlineStr">
        <is>
          <t>Done</t>
        </is>
      </c>
      <c r="E11" s="574" t="inlineStr">
        <is>
          <t>CloseWon</t>
        </is>
      </c>
      <c r="F11" s="574" t="inlineStr">
        <is>
          <t>5487776634</t>
        </is>
      </c>
      <c r="G11" s="579" t="inlineStr">
        <is>
          <t>53371 - 10000244430</t>
        </is>
      </c>
      <c r="H11" s="574" t="n">
        <v>6595277610</v>
      </c>
      <c r="I11" s="579" t="inlineStr">
        <is>
          <t>BGTY8001</t>
        </is>
      </c>
      <c r="J11" s="579" t="inlineStr">
        <is>
          <t>Remediation Fornitori Prod Sec</t>
        </is>
      </c>
      <c r="K11" s="579" t="inlineStr">
        <is>
          <t>Stefano Rinaldi</t>
        </is>
      </c>
      <c r="L11" s="580" t="n"/>
      <c r="M11" s="596" t="n">
        <v>14776.17</v>
      </c>
      <c r="N11" s="596" t="n">
        <v>14776.17</v>
      </c>
      <c r="O11" s="596" t="n">
        <v>0</v>
      </c>
      <c r="P11" s="157" t="inlineStr">
        <is>
          <t>pagata</t>
        </is>
      </c>
    </row>
    <row r="12">
      <c r="B12" s="574" t="n">
        <v>9997412455</v>
      </c>
      <c r="C12" s="574" t="inlineStr">
        <is>
          <t>Inviata</t>
        </is>
      </c>
      <c r="D12" s="574" t="inlineStr">
        <is>
          <t>Done</t>
        </is>
      </c>
      <c r="E12" s="574" t="inlineStr">
        <is>
          <t>CloseWon</t>
        </is>
      </c>
      <c r="F12" s="574" t="inlineStr">
        <is>
          <t>7407719844</t>
        </is>
      </c>
      <c r="G12" s="574" t="inlineStr">
        <is>
          <t>57745 - 10000254848</t>
        </is>
      </c>
      <c r="H12" s="574" t="inlineStr">
        <is>
          <t>0424801190</t>
        </is>
      </c>
      <c r="I12" s="579" t="inlineStr">
        <is>
          <t>BGTY8001</t>
        </is>
      </c>
      <c r="J12" s="579" t="inlineStr">
        <is>
          <t>Supporto RSB Fase2</t>
        </is>
      </c>
      <c r="K12" s="579" t="inlineStr">
        <is>
          <t>Stefano Rinaldi</t>
        </is>
      </c>
      <c r="L12" s="580" t="n"/>
      <c r="M12" s="596" t="n">
        <v>28957</v>
      </c>
      <c r="N12" s="596" t="n">
        <v>28957</v>
      </c>
      <c r="O12" s="596" t="n">
        <v>0</v>
      </c>
      <c r="P12" s="157" t="inlineStr">
        <is>
          <t>pagata</t>
        </is>
      </c>
    </row>
    <row r="13" hidden="1" s="564">
      <c r="B13" s="574" t="inlineStr">
        <is>
          <t>9915583648</t>
        </is>
      </c>
      <c r="C13" s="574" t="inlineStr">
        <is>
          <t>Inviata</t>
        </is>
      </c>
      <c r="D13" s="574" t="inlineStr">
        <is>
          <t>Done</t>
        </is>
      </c>
      <c r="E13" s="574" t="inlineStr">
        <is>
          <t>CloseWon</t>
        </is>
      </c>
      <c r="F13" s="574" t="inlineStr">
        <is>
          <t>6276192693</t>
        </is>
      </c>
      <c r="G13" s="574" t="n"/>
      <c r="H13" s="574" t="inlineStr">
        <is>
          <t>Vedi file Lista Proposte in AlphaBank Security - General\Projects\BetaCredit\PM Tecnico_Supporto Sec Governance</t>
        </is>
      </c>
      <c r="I13" s="579" t="inlineStr">
        <is>
          <t>BJRYD001</t>
        </is>
      </c>
      <c r="J13" s="579" t="inlineStr">
        <is>
          <t>BetaCredit-Supporto IT Sec Gov 2024 Fase 1</t>
        </is>
      </c>
      <c r="K13" s="579" t="inlineStr">
        <is>
          <t>Riccardo Marino</t>
        </is>
      </c>
      <c r="L13" s="580" t="n"/>
      <c r="M13" s="596" t="n">
        <v>39997</v>
      </c>
      <c r="N13" s="596" t="n">
        <v>39997</v>
      </c>
      <c r="O13" s="596" t="n">
        <v>0</v>
      </c>
      <c r="P13" s="157" t="inlineStr">
        <is>
          <t>pagata</t>
        </is>
      </c>
    </row>
    <row r="14" hidden="1" s="564">
      <c r="B14" s="574" t="inlineStr">
        <is>
          <t>9915583648</t>
        </is>
      </c>
      <c r="C14" s="574" t="inlineStr">
        <is>
          <t>Inviata</t>
        </is>
      </c>
      <c r="D14" s="574" t="inlineStr">
        <is>
          <t>Done</t>
        </is>
      </c>
      <c r="E14" s="574" t="inlineStr">
        <is>
          <t>CloseWon</t>
        </is>
      </c>
      <c r="F14" s="574" t="inlineStr">
        <is>
          <t>5397945729</t>
        </is>
      </c>
      <c r="G14" s="574" t="n"/>
      <c r="H14" s="574" t="inlineStr">
        <is>
          <t>Vedi file Lista Proposte in AlphaBank Security - General\Projects\BetaCredit\PM Tecnico_Supporto Sec Governance</t>
        </is>
      </c>
      <c r="I14" s="579" t="inlineStr">
        <is>
          <t>BJRYD001</t>
        </is>
      </c>
      <c r="J14" s="579" t="inlineStr">
        <is>
          <t>BetaCredit-Supporto IT Sec Gov 2024 Fase 2</t>
        </is>
      </c>
      <c r="K14" s="579" t="inlineStr">
        <is>
          <t>Riccardo Marino</t>
        </is>
      </c>
      <c r="L14" s="580" t="n"/>
      <c r="M14" s="596" t="n">
        <v>23911.35</v>
      </c>
      <c r="N14" s="596" t="n">
        <v>23911.35</v>
      </c>
      <c r="O14" s="596" t="n">
        <v>0</v>
      </c>
      <c r="P14" s="157" t="inlineStr">
        <is>
          <t>pagata</t>
        </is>
      </c>
    </row>
    <row r="15" hidden="1" s="564">
      <c r="B15" s="574" t="inlineStr">
        <is>
          <t>9915583648</t>
        </is>
      </c>
      <c r="C15" s="574" t="inlineStr">
        <is>
          <t>Inviata</t>
        </is>
      </c>
      <c r="D15" s="574" t="inlineStr">
        <is>
          <t>Done</t>
        </is>
      </c>
      <c r="E15" s="574" t="inlineStr">
        <is>
          <t>CloseWon</t>
        </is>
      </c>
      <c r="F15" s="574" t="inlineStr">
        <is>
          <t>6645183513</t>
        </is>
      </c>
      <c r="G15" s="574" t="n"/>
      <c r="H15" s="574" t="inlineStr">
        <is>
          <t>Vedi file Lista Proposte in AlphaBank Security - General\Projects\BetaCredit\PM Tecnico_Supporto Sec Governance</t>
        </is>
      </c>
      <c r="I15" s="579" t="inlineStr">
        <is>
          <t>BJRYD001</t>
        </is>
      </c>
      <c r="J15" s="579" t="inlineStr">
        <is>
          <t>BetaCredit-Supporto IT Sec Gov 2024 Fase 3</t>
        </is>
      </c>
      <c r="K15" s="579" t="inlineStr">
        <is>
          <t>Riccardo Marino</t>
        </is>
      </c>
      <c r="L15" s="580" t="n"/>
      <c r="M15" s="596" t="n">
        <v>34780.14</v>
      </c>
      <c r="N15" s="596" t="n">
        <v>34780.14</v>
      </c>
      <c r="O15" s="596" t="n">
        <v>0</v>
      </c>
      <c r="P15" s="157" t="inlineStr">
        <is>
          <t>pagata</t>
        </is>
      </c>
      <c r="Q15" s="597" t="n">
        <v>18</v>
      </c>
    </row>
    <row r="16" hidden="1" s="564">
      <c r="B16" s="574" t="inlineStr">
        <is>
          <t>9915583648</t>
        </is>
      </c>
      <c r="C16" s="574" t="inlineStr">
        <is>
          <t>Inviata</t>
        </is>
      </c>
      <c r="D16" s="574" t="inlineStr">
        <is>
          <t>Done</t>
        </is>
      </c>
      <c r="E16" s="574" t="inlineStr">
        <is>
          <t>CloseWon</t>
        </is>
      </c>
      <c r="F16" s="574" t="inlineStr">
        <is>
          <t>1387621824</t>
        </is>
      </c>
      <c r="G16" s="574" t="n"/>
      <c r="H16" s="574" t="inlineStr">
        <is>
          <t>Vedi file Lista Proposte in AlphaBank Security - General\Projects\BetaCredit\PM Tecnico_Supporto Sec Governance</t>
        </is>
      </c>
      <c r="I16" s="579" t="inlineStr">
        <is>
          <t>BJRYD001</t>
        </is>
      </c>
      <c r="J16" s="579" t="inlineStr">
        <is>
          <t>BetaCredit-Supporto IT Sec Gov 2024 Fase 4</t>
        </is>
      </c>
      <c r="K16" s="579" t="inlineStr">
        <is>
          <t>Riccardo Marino</t>
        </is>
      </c>
      <c r="L16" s="580" t="n"/>
      <c r="M16" s="596" t="n">
        <v>25215.59</v>
      </c>
      <c r="N16" s="596" t="n">
        <v>25215.59</v>
      </c>
      <c r="O16" s="596" t="n">
        <v>0</v>
      </c>
      <c r="P16" s="157" t="inlineStr">
        <is>
          <t>pagata</t>
        </is>
      </c>
    </row>
    <row r="17" hidden="1" ht="28" customHeight="1" s="564">
      <c r="B17" s="574" t="inlineStr">
        <is>
          <t>9915583648</t>
        </is>
      </c>
      <c r="C17" s="574" t="inlineStr">
        <is>
          <t>Inviata</t>
        </is>
      </c>
      <c r="D17" s="574" t="inlineStr">
        <is>
          <t>Done</t>
        </is>
      </c>
      <c r="E17" s="574" t="inlineStr">
        <is>
          <t>CloseWon</t>
        </is>
      </c>
      <c r="F17" s="574" t="inlineStr">
        <is>
          <t>3473395526</t>
        </is>
      </c>
      <c r="G17" s="574" t="n"/>
      <c r="H17" s="574" t="inlineStr">
        <is>
          <t>Vedi file Lista Proposte in AlphaBank Security - General\Projects\BetaCredit\PM Tecnico_Supporto Sec Governance</t>
        </is>
      </c>
      <c r="I17" s="579" t="inlineStr">
        <is>
          <t>BJRYD001</t>
        </is>
      </c>
      <c r="J17" s="579" t="inlineStr">
        <is>
          <t>BetaCredit-Supporto IT Sec Gov 2024 Fase 5</t>
        </is>
      </c>
      <c r="K17" s="579" t="inlineStr">
        <is>
          <t>Riccardo Marino</t>
        </is>
      </c>
      <c r="L17" s="580" t="n"/>
      <c r="M17" s="596" t="n">
        <v>18042.2</v>
      </c>
      <c r="N17" s="596" t="n">
        <v>18042.2</v>
      </c>
      <c r="O17" s="596" t="n">
        <v>0</v>
      </c>
      <c r="P17" s="157" t="inlineStr">
        <is>
          <t>pagata</t>
        </is>
      </c>
      <c r="Q17" s="579" t="n">
        <v>6159608413</v>
      </c>
    </row>
    <row r="18" hidden="1" s="564">
      <c r="B18" s="574" t="inlineStr">
        <is>
          <t>9915583648</t>
        </is>
      </c>
      <c r="C18" s="574" t="inlineStr">
        <is>
          <t>Inviata</t>
        </is>
      </c>
      <c r="D18" s="574" t="inlineStr">
        <is>
          <t>Done</t>
        </is>
      </c>
      <c r="E18" s="574" t="inlineStr">
        <is>
          <t>CloseWon</t>
        </is>
      </c>
      <c r="F18" s="574" t="inlineStr">
        <is>
          <t>0006855361</t>
        </is>
      </c>
      <c r="G18" s="574" t="n"/>
      <c r="H18" s="574" t="inlineStr">
        <is>
          <t>ORF 490_24</t>
        </is>
      </c>
      <c r="I18" s="579" t="inlineStr">
        <is>
          <t>BJRYD001</t>
        </is>
      </c>
      <c r="J18" s="579" t="inlineStr">
        <is>
          <t>BetaCredit-Assessment terze parti 2024</t>
        </is>
      </c>
      <c r="K18" s="579" t="inlineStr">
        <is>
          <t>Riccardo Marino</t>
        </is>
      </c>
      <c r="L18" s="580" t="n"/>
      <c r="M18" s="596" t="n">
        <v>24346.1</v>
      </c>
      <c r="N18" s="596" t="n">
        <v>24346.1</v>
      </c>
      <c r="O18" s="597" t="n">
        <v>0</v>
      </c>
      <c r="P18" s="157" t="inlineStr">
        <is>
          <t>pagata</t>
        </is>
      </c>
      <c r="Q18" s="579" t="n">
        <v>4117253642</v>
      </c>
    </row>
    <row r="19">
      <c r="B19" s="574" t="n">
        <v>9997412455</v>
      </c>
      <c r="C19" s="574" t="inlineStr">
        <is>
          <t>Inviata</t>
        </is>
      </c>
      <c r="D19" s="574" t="inlineStr">
        <is>
          <t>Done</t>
        </is>
      </c>
      <c r="E19" s="574" t="inlineStr">
        <is>
          <t>CloseWon</t>
        </is>
      </c>
      <c r="F19" s="574" t="inlineStr">
        <is>
          <t>1040227458</t>
        </is>
      </c>
      <c r="G19" s="574" t="inlineStr">
        <is>
          <t>58725 - 10000260908</t>
        </is>
      </c>
      <c r="H19" s="574" t="inlineStr">
        <is>
          <t>3026867895</t>
        </is>
      </c>
      <c r="I19" s="579" t="inlineStr">
        <is>
          <t>BGTY8001</t>
        </is>
      </c>
      <c r="J19" s="130" t="inlineStr">
        <is>
          <t>IT Continuity e AIA - II semestre 2024</t>
        </is>
      </c>
      <c r="K19" s="130" t="inlineStr">
        <is>
          <t>Serena Ferrari</t>
        </is>
      </c>
      <c r="L19" s="132" t="n"/>
      <c r="M19" s="596" t="n">
        <v>46601</v>
      </c>
      <c r="N19" s="596" t="n">
        <v>46601</v>
      </c>
      <c r="O19" s="597" t="n">
        <v>0</v>
      </c>
      <c r="P19" s="157" t="inlineStr">
        <is>
          <t>pagata</t>
        </is>
      </c>
    </row>
    <row r="20">
      <c r="B20" s="574" t="inlineStr">
        <is>
          <t>9997412455</t>
        </is>
      </c>
      <c r="C20" s="574" t="inlineStr">
        <is>
          <t>Inviata</t>
        </is>
      </c>
      <c r="D20" s="574" t="inlineStr">
        <is>
          <t>Done</t>
        </is>
      </c>
      <c r="E20" s="574" t="inlineStr">
        <is>
          <t>CloseWon</t>
        </is>
      </c>
      <c r="F20" s="574" t="inlineStr">
        <is>
          <t>9731624752</t>
        </is>
      </c>
      <c r="G20" s="574" t="inlineStr">
        <is>
          <t>59063 - 10000263196</t>
        </is>
      </c>
      <c r="H20" s="574" t="inlineStr">
        <is>
          <t>0068346720</t>
        </is>
      </c>
      <c r="I20" s="579" t="inlineStr">
        <is>
          <t>BGTY8001</t>
        </is>
      </c>
      <c r="J20" s="579" t="inlineStr">
        <is>
          <t>Task Force IAM Pantheon/DeltaCorp e HQRE</t>
        </is>
      </c>
      <c r="K20" s="579" t="inlineStr">
        <is>
          <t>Edith Squillace/Alessandro Russo</t>
        </is>
      </c>
      <c r="L20" s="580" t="n"/>
      <c r="M20" s="596" t="n">
        <v>41466.5</v>
      </c>
      <c r="N20" s="596" t="n">
        <v>41466.5</v>
      </c>
      <c r="O20" s="597" t="n">
        <v>0</v>
      </c>
      <c r="P20" s="157" t="inlineStr">
        <is>
          <t>pagata</t>
        </is>
      </c>
    </row>
    <row r="21" hidden="1" ht="29" customHeight="1" s="564">
      <c r="B21" s="560" t="n">
        <v>9944538361</v>
      </c>
      <c r="C21" s="574" t="inlineStr">
        <is>
          <t>Inviata</t>
        </is>
      </c>
      <c r="D21" s="574" t="inlineStr">
        <is>
          <t>Done</t>
        </is>
      </c>
      <c r="E21" s="574" t="inlineStr">
        <is>
          <t>CloseWon</t>
        </is>
      </c>
      <c r="F21" s="574" t="n"/>
      <c r="G21" s="574" t="inlineStr">
        <is>
          <t>58329 - 10000266931</t>
        </is>
      </c>
      <c r="H21" s="574" t="n"/>
      <c r="I21" s="579" t="inlineStr">
        <is>
          <t>FUSCO</t>
        </is>
      </c>
      <c r="J21" s="579" t="inlineStr">
        <is>
          <t>Chiara Barbieri</t>
        </is>
      </c>
      <c r="K21" s="579" t="inlineStr">
        <is>
          <t>Stefano Rinaldi</t>
        </is>
      </c>
      <c r="L21" s="580" t="inlineStr">
        <is>
          <t>Fatturazione 100% a nov 24, con data pagamento 12/24</t>
        </is>
      </c>
      <c r="M21" s="596" t="n">
        <v>88924.03999999999</v>
      </c>
      <c r="N21" s="596" t="n">
        <v>88924.03999999999</v>
      </c>
      <c r="O21" s="597" t="n">
        <v>0</v>
      </c>
      <c r="P21" s="157" t="inlineStr">
        <is>
          <t>pagata</t>
        </is>
      </c>
      <c r="Q21" s="597" t="n"/>
    </row>
    <row r="22" hidden="1" ht="58.5" customHeight="1" s="564">
      <c r="B22" s="574" t="inlineStr">
        <is>
          <t>9915583648</t>
        </is>
      </c>
      <c r="C22" s="574" t="inlineStr">
        <is>
          <t>Inviata</t>
        </is>
      </c>
      <c r="D22" s="574" t="inlineStr">
        <is>
          <t>Done</t>
        </is>
      </c>
      <c r="E22" s="574" t="inlineStr">
        <is>
          <t>CloseWon</t>
        </is>
      </c>
      <c r="F22" s="574" t="inlineStr">
        <is>
          <t>3473395526</t>
        </is>
      </c>
      <c r="G22" s="574" t="n"/>
      <c r="H22" s="574" t="inlineStr">
        <is>
          <t>Vedi file Lista Proposte in AlphaBank Security - General\Projects\BetaCredit\PM Tecnico_Supporto Sec Governance</t>
        </is>
      </c>
      <c r="I22" s="579" t="inlineStr">
        <is>
          <t>BJRYD001</t>
        </is>
      </c>
      <c r="J22" s="579" t="inlineStr">
        <is>
          <t>BetaCredit-Supporto IT Sec Gov 2024 Fase 6</t>
        </is>
      </c>
      <c r="K22" s="579" t="inlineStr">
        <is>
          <t>Riccardo Marino</t>
        </is>
      </c>
      <c r="L22" s="580" t="n"/>
      <c r="M22" s="596" t="n">
        <v>20651</v>
      </c>
      <c r="N22" s="596" t="n">
        <v>20651</v>
      </c>
      <c r="O22" s="597" t="n">
        <v>0</v>
      </c>
      <c r="P22" s="157" t="inlineStr">
        <is>
          <t>pagata</t>
        </is>
      </c>
      <c r="Q22" s="579" t="n">
        <v>1901296256</v>
      </c>
    </row>
    <row r="23" ht="29" customHeight="1" s="564">
      <c r="B23" s="574" t="inlineStr">
        <is>
          <t>9997412455</t>
        </is>
      </c>
      <c r="C23" s="574" t="inlineStr">
        <is>
          <t>Inviata</t>
        </is>
      </c>
      <c r="D23" s="574" t="inlineStr">
        <is>
          <t>Done</t>
        </is>
      </c>
      <c r="E23" s="574" t="inlineStr">
        <is>
          <t>CloseWon</t>
        </is>
      </c>
      <c r="F23" s="574" t="inlineStr">
        <is>
          <t>7300291503</t>
        </is>
      </c>
      <c r="G23" s="574" t="inlineStr">
        <is>
          <t>59495 - 10000266288</t>
        </is>
      </c>
      <c r="H23" s="574" t="inlineStr">
        <is>
          <t>4552618405</t>
        </is>
      </c>
      <c r="I23" s="579" t="inlineStr">
        <is>
          <t>BGTY8001</t>
        </is>
      </c>
      <c r="J23" s="574" t="inlineStr">
        <is>
          <t>Supporto RSB - Estensione 2024</t>
        </is>
      </c>
      <c r="K23" s="579" t="inlineStr">
        <is>
          <t>Stefano Rinaldi</t>
        </is>
      </c>
      <c r="L23" s="580" t="inlineStr">
        <is>
          <t>Fatturazione 100% entro il 5/12, con data pagamento 12/24</t>
        </is>
      </c>
      <c r="M23" s="596" t="n">
        <v>47026.26</v>
      </c>
      <c r="N23" s="596" t="n">
        <v>47026.26</v>
      </c>
      <c r="O23" s="597" t="n">
        <v>0</v>
      </c>
      <c r="P23" s="157" t="inlineStr">
        <is>
          <t>pagata</t>
        </is>
      </c>
      <c r="Q23" s="579" t="n">
        <v>3863349334</v>
      </c>
    </row>
    <row r="24" ht="29" customHeight="1" s="564">
      <c r="B24" s="574" t="n">
        <v>9997412455</v>
      </c>
      <c r="C24" s="574" t="inlineStr">
        <is>
          <t>Inviata</t>
        </is>
      </c>
      <c r="D24" s="574" t="inlineStr">
        <is>
          <t>Done</t>
        </is>
      </c>
      <c r="E24" s="574" t="inlineStr">
        <is>
          <t>CloseWon</t>
        </is>
      </c>
      <c r="F24" s="574" t="inlineStr">
        <is>
          <t>5770968277</t>
        </is>
      </c>
      <c r="G24" s="574" t="inlineStr">
        <is>
          <t>59963 - 10000267839</t>
        </is>
      </c>
      <c r="H24" s="574" t="inlineStr">
        <is>
          <t>5667127887</t>
        </is>
      </c>
      <c r="I24" s="579" t="inlineStr">
        <is>
          <t>BGTY8001</t>
        </is>
      </c>
      <c r="J24" s="579" t="inlineStr">
        <is>
          <t>IAM for the Whole Bank</t>
        </is>
      </c>
      <c r="K24" s="579" t="inlineStr">
        <is>
          <t>Stefano Rinaldi</t>
        </is>
      </c>
      <c r="L24" s="580" t="inlineStr">
        <is>
          <t>Fatturazione 100% entro il 5/12, con data pagamento 12/24</t>
        </is>
      </c>
      <c r="M24" s="596" t="n">
        <v>72971.78</v>
      </c>
      <c r="N24" s="596" t="n">
        <v>72971.78</v>
      </c>
      <c r="O24" s="597" t="n">
        <v>0</v>
      </c>
      <c r="P24" s="157" t="inlineStr">
        <is>
          <t>pagata</t>
        </is>
      </c>
      <c r="Q24" s="579" t="n">
        <v>5563417389</v>
      </c>
    </row>
    <row r="25" ht="29" customHeight="1" s="564">
      <c r="B25" s="574" t="inlineStr">
        <is>
          <t>9997412455</t>
        </is>
      </c>
      <c r="C25" s="574" t="inlineStr">
        <is>
          <t>Inviata</t>
        </is>
      </c>
      <c r="D25" s="574" t="inlineStr">
        <is>
          <t>Done</t>
        </is>
      </c>
      <c r="E25" s="574" t="inlineStr">
        <is>
          <t>CloseWon</t>
        </is>
      </c>
      <c r="F25" s="574" t="inlineStr">
        <is>
          <t>4554656210</t>
        </is>
      </c>
      <c r="G25" s="574" t="inlineStr">
        <is>
          <t>59847 - 10000268094</t>
        </is>
      </c>
      <c r="H25" s="574" t="inlineStr">
        <is>
          <t>5993025023</t>
        </is>
      </c>
      <c r="I25" s="579" t="inlineStr">
        <is>
          <t>BGTY8001</t>
        </is>
      </c>
      <c r="J25" s="579" t="inlineStr">
        <is>
          <t>IT Continuity Support</t>
        </is>
      </c>
      <c r="K25" s="579" t="inlineStr">
        <is>
          <t>Serena Ferrari</t>
        </is>
      </c>
      <c r="L25" s="580" t="inlineStr">
        <is>
          <t>Fatturazione 100% entro il 5/12, con data pagamento 12/24</t>
        </is>
      </c>
      <c r="M25" s="596" t="n">
        <v>32762.06</v>
      </c>
      <c r="N25" s="596" t="n">
        <v>32762.06</v>
      </c>
      <c r="O25" s="597" t="n">
        <v>0</v>
      </c>
      <c r="P25" s="157" t="inlineStr">
        <is>
          <t>pagata</t>
        </is>
      </c>
    </row>
    <row r="26" ht="130" customHeight="1" s="564">
      <c r="B26" s="574" t="inlineStr">
        <is>
          <t>9997412455</t>
        </is>
      </c>
      <c r="C26" s="574" t="inlineStr">
        <is>
          <t>Inviata</t>
        </is>
      </c>
      <c r="D26" s="574" t="inlineStr">
        <is>
          <t>Da Fatturare</t>
        </is>
      </c>
      <c r="E26" s="574" t="inlineStr">
        <is>
          <t>CloseWon</t>
        </is>
      </c>
      <c r="F26" s="574" t="inlineStr">
        <is>
          <t>7788760317</t>
        </is>
      </c>
      <c r="G26" s="574" t="inlineStr">
        <is>
          <t>PAT075</t>
        </is>
      </c>
      <c r="H26" s="574" t="inlineStr">
        <is>
          <t>4394189274</t>
        </is>
      </c>
      <c r="I26" s="579" t="inlineStr">
        <is>
          <t>BGTY8001</t>
        </is>
      </c>
      <c r="J26" s="579" t="inlineStr">
        <is>
          <t>ZetaGroup</t>
        </is>
      </c>
      <c r="K26" s="579" t="inlineStr">
        <is>
          <t>Elisa Conti</t>
        </is>
      </c>
      <c r="L26" s="580" t="inlineStr">
        <is>
          <t>fatt. 3mestrale
inserire sempre il numero posizione (da fattura)
fatturati a giugno 25: 65015,58 (6 mesi)
Fatturati a settembre 25: 32507,79 (3 mesi)
Fatturazione dicembre 25: 32507,78 (3 mesi)
fatturazione marzo 26: 32507,79 (3 mesi)
Fatturazione giugno 26: 32507,79 (3 mesi)</t>
        </is>
      </c>
      <c r="M26" s="596" t="n">
        <v>317419.04</v>
      </c>
      <c r="N26" s="596" t="n">
        <v>158709.52</v>
      </c>
      <c r="O26" s="597" t="n">
        <v>158709.52</v>
      </c>
      <c r="Q26" s="598" t="inlineStr">
        <is>
          <t>fatt. 65k - 4499518414
Fatt. 32,5k - 4499528350
Fatt. 32,5k- 4499541121
Fatt. 32,5k - 4499607057
fatt 32,5k - 4499617103</t>
        </is>
      </c>
      <c r="R26" s="597" t="n"/>
      <c r="V26" s="597" t="n"/>
    </row>
    <row r="27">
      <c r="B27" s="574" t="inlineStr">
        <is>
          <t>9997412455</t>
        </is>
      </c>
      <c r="C27" s="574" t="inlineStr">
        <is>
          <t>Inviata</t>
        </is>
      </c>
      <c r="D27" s="574" t="inlineStr">
        <is>
          <t>Done</t>
        </is>
      </c>
      <c r="E27" s="574" t="inlineStr">
        <is>
          <t>CloseWon</t>
        </is>
      </c>
      <c r="F27" s="574" t="inlineStr">
        <is>
          <t>0547629300</t>
        </is>
      </c>
      <c r="G27" s="574" t="inlineStr">
        <is>
          <t>79869</t>
        </is>
      </c>
      <c r="H27" s="574" t="inlineStr">
        <is>
          <t>6134447235</t>
        </is>
      </c>
      <c r="I27" s="579" t="inlineStr">
        <is>
          <t>BGTY8001</t>
        </is>
      </c>
      <c r="J27" s="579" t="inlineStr">
        <is>
          <t>IAM for the whole Bank - Estensione</t>
        </is>
      </c>
      <c r="K27" s="579" t="inlineStr">
        <is>
          <t>Stefano Rinaldi</t>
        </is>
      </c>
      <c r="L27" s="580" t="inlineStr">
        <is>
          <t>Fatturata a ottobre</t>
        </is>
      </c>
      <c r="M27" s="599" t="n">
        <v>26177.18</v>
      </c>
      <c r="N27" s="597" t="n">
        <v>26177.18</v>
      </c>
      <c r="O27" s="597" t="n">
        <v>0</v>
      </c>
      <c r="P27" s="157" t="inlineStr">
        <is>
          <t>pagata</t>
        </is>
      </c>
      <c r="Q27" s="220" t="n">
        <v>1833732547</v>
      </c>
      <c r="R27" s="597" t="n"/>
    </row>
    <row r="28" hidden="1" ht="14.5" customHeight="1" s="564">
      <c r="B28" s="574" t="inlineStr">
        <is>
          <t>9915583648</t>
        </is>
      </c>
      <c r="C28" s="574" t="inlineStr">
        <is>
          <t>Inviata</t>
        </is>
      </c>
      <c r="D28" s="574" t="inlineStr">
        <is>
          <t>Done</t>
        </is>
      </c>
      <c r="E28" s="574" t="n"/>
      <c r="F28" s="574" t="inlineStr">
        <is>
          <t>8682050638</t>
        </is>
      </c>
      <c r="G28" s="129" t="n"/>
      <c r="H28" s="574" t="inlineStr">
        <is>
          <t>Vedi file Lista Proposte in AlphaBank Security - General\Projects\BetaCredit\PM Tecnico_Supporto Sec Governance</t>
        </is>
      </c>
      <c r="I28" s="579" t="inlineStr">
        <is>
          <t>BJRYD001</t>
        </is>
      </c>
      <c r="J28" s="579" t="inlineStr">
        <is>
          <t>BetaCredit-Supporto IT Sec Gov 2024 Fase 7</t>
        </is>
      </c>
      <c r="K28" s="579" t="inlineStr">
        <is>
          <t>Riccardo Marino</t>
        </is>
      </c>
      <c r="L28" s="580" t="inlineStr">
        <is>
          <t>fatturato</t>
        </is>
      </c>
      <c r="M28" s="596" t="n">
        <v>35867.01</v>
      </c>
      <c r="N28" s="596" t="n">
        <v>35867.01</v>
      </c>
      <c r="O28" s="597" t="n">
        <v>0</v>
      </c>
      <c r="P28" s="157" t="inlineStr">
        <is>
          <t>pagata</t>
        </is>
      </c>
      <c r="V28" s="597" t="n"/>
    </row>
    <row r="29" hidden="1" ht="29" customHeight="1" s="564">
      <c r="B29" s="574" t="inlineStr">
        <is>
          <t>9944538361</t>
        </is>
      </c>
      <c r="C29" s="574" t="inlineStr">
        <is>
          <t>Inviata</t>
        </is>
      </c>
      <c r="D29" s="574" t="inlineStr">
        <is>
          <t>Done</t>
        </is>
      </c>
      <c r="E29" s="574" t="n"/>
      <c r="F29" s="574" t="n"/>
      <c r="G29" s="574" t="inlineStr">
        <is>
          <t>58822 - 10000261224</t>
        </is>
      </c>
      <c r="H29" s="574" t="inlineStr">
        <is>
          <t>8090253558</t>
        </is>
      </c>
      <c r="I29" s="579" t="inlineStr">
        <is>
          <t>FUSCO-BELS300J</t>
        </is>
      </c>
      <c r="J29" s="579" t="inlineStr">
        <is>
          <t>ITDME India</t>
        </is>
      </c>
      <c r="K29" s="579" t="inlineStr">
        <is>
          <t>Stefano Rinaldi</t>
        </is>
      </c>
      <c r="L29" s="580" t="inlineStr">
        <is>
          <t xml:space="preserve">Avanzamento SoW ad oggi al 100%, fatturazione concordata con Antonella </t>
        </is>
      </c>
      <c r="M29" s="596" t="n">
        <v>100012.37</v>
      </c>
      <c r="N29" s="596" t="n">
        <v>100012.37</v>
      </c>
      <c r="O29" s="597" t="n">
        <v>0</v>
      </c>
      <c r="P29" s="157" t="inlineStr">
        <is>
          <t>pagata</t>
        </is>
      </c>
    </row>
    <row r="30" hidden="1" ht="78" customHeight="1" s="564">
      <c r="B30" s="574" t="inlineStr">
        <is>
          <t>9944538361</t>
        </is>
      </c>
      <c r="C30" s="574" t="inlineStr">
        <is>
          <t>Inviata</t>
        </is>
      </c>
      <c r="D30" s="574" t="inlineStr">
        <is>
          <t>Done</t>
        </is>
      </c>
      <c r="E30" s="574" t="n"/>
      <c r="F30" s="574" t="n"/>
      <c r="G30" s="574" t="inlineStr">
        <is>
          <t>59865 - 10000267837</t>
        </is>
      </c>
      <c r="H30" s="574" t="inlineStr">
        <is>
          <t>4155952514</t>
        </is>
      </c>
      <c r="I30" s="579" t="inlineStr">
        <is>
          <t>FUSCO-BELS300J</t>
        </is>
      </c>
      <c r="J30" s="579" t="inlineStr">
        <is>
          <t>Siteminder PM Tecnico</t>
        </is>
      </c>
      <c r="K30" s="579" t="inlineStr">
        <is>
          <t>Luca Vitale</t>
        </is>
      </c>
      <c r="L30" s="580" t="inlineStr">
        <is>
          <t>fatturata</t>
        </is>
      </c>
      <c r="M30" s="596" t="n">
        <v>22229.68</v>
      </c>
      <c r="N30" s="596" t="n">
        <v>22229.68</v>
      </c>
      <c r="O30" s="597" t="n">
        <v>0</v>
      </c>
      <c r="P30" s="157" t="inlineStr">
        <is>
          <t>pagata</t>
        </is>
      </c>
    </row>
    <row r="31" hidden="1" ht="29" customHeight="1" s="564">
      <c r="B31" s="574" t="inlineStr">
        <is>
          <t>9944538361</t>
        </is>
      </c>
      <c r="C31" s="574" t="inlineStr">
        <is>
          <t>Inviata</t>
        </is>
      </c>
      <c r="D31" s="574" t="inlineStr">
        <is>
          <t>Done</t>
        </is>
      </c>
      <c r="E31" s="574" t="n"/>
      <c r="F31" s="574" t="n"/>
      <c r="G31" s="129" t="inlineStr">
        <is>
          <t>56833 - 0000258426
56580</t>
        </is>
      </c>
      <c r="H31" s="129" t="inlineStr">
        <is>
          <t>4500359409
4500353294</t>
        </is>
      </c>
      <c r="I31" s="579" t="inlineStr">
        <is>
          <t>FUSCO-BELS300J</t>
        </is>
      </c>
      <c r="J31" s="579" t="inlineStr">
        <is>
          <t>DR Test</t>
        </is>
      </c>
      <c r="K31" s="579" t="inlineStr">
        <is>
          <t>Andrea Leone</t>
        </is>
      </c>
      <c r="L31" s="580" t="inlineStr">
        <is>
          <t>fatturazione in corso (rif file master Morante)</t>
        </is>
      </c>
      <c r="N31" s="596" t="n"/>
      <c r="O31" s="597" t="n">
        <v>0</v>
      </c>
      <c r="P31" s="157" t="inlineStr">
        <is>
          <t>pagata</t>
        </is>
      </c>
      <c r="Q31" s="206" t="n"/>
    </row>
    <row r="32" hidden="1" ht="72.5" customHeight="1" s="564">
      <c r="B32" s="574" t="n">
        <v>9915583648</v>
      </c>
      <c r="C32" s="580" t="inlineStr">
        <is>
          <t>Inviata</t>
        </is>
      </c>
      <c r="D32" s="580" t="inlineStr">
        <is>
          <t>Done</t>
        </is>
      </c>
      <c r="E32" s="580" t="inlineStr">
        <is>
          <t>CloseWon</t>
        </is>
      </c>
      <c r="F32" s="574" t="inlineStr">
        <is>
          <t>7870950732</t>
        </is>
      </c>
      <c r="G32" s="580" t="n"/>
      <c r="H32" s="580" t="inlineStr">
        <is>
          <t>Vedi file Lista Proposte in AlphaBank Security - General\Projects\BetaCredit\PM Tecnico_Supporto Sec Governance</t>
        </is>
      </c>
      <c r="I32" s="580" t="inlineStr">
        <is>
          <t>BJRYD001</t>
        </is>
      </c>
      <c r="J32" s="580" t="inlineStr">
        <is>
          <t>BetaCredit-Supporto IT Sec Gov 2024 Fase 8</t>
        </is>
      </c>
      <c r="K32" s="580" t="inlineStr">
        <is>
          <t>Riccardo Marino</t>
        </is>
      </c>
      <c r="L32" s="580" t="inlineStr">
        <is>
          <t>fatturato</t>
        </is>
      </c>
      <c r="M32" s="596" t="n">
        <v>35432.28</v>
      </c>
      <c r="N32" s="596" t="n">
        <v>35432.28</v>
      </c>
      <c r="O32" s="597" t="n">
        <v>0</v>
      </c>
      <c r="P32" s="600" t="inlineStr">
        <is>
          <t>pagata</t>
        </is>
      </c>
      <c r="R32" s="597" t="n"/>
    </row>
    <row r="33" hidden="1" ht="58" customHeight="1" s="564">
      <c r="B33" s="574" t="n">
        <v>9915583648</v>
      </c>
      <c r="C33" s="574" t="inlineStr">
        <is>
          <t>Inviata</t>
        </is>
      </c>
      <c r="D33" s="574" t="inlineStr">
        <is>
          <t>Done</t>
        </is>
      </c>
      <c r="E33" s="574" t="inlineStr">
        <is>
          <t>CloseWon</t>
        </is>
      </c>
      <c r="F33" s="574" t="inlineStr">
        <is>
          <t>2544658114</t>
        </is>
      </c>
      <c r="G33" s="574" t="n"/>
      <c r="H33" s="574" t="inlineStr">
        <is>
          <t>"Accenture\AlphaBank Security - General\Projects\BetaCredit\Application Security 4FTE\Fase 1"</t>
        </is>
      </c>
      <c r="I33" s="579" t="inlineStr">
        <is>
          <t>BJRYD001</t>
        </is>
      </c>
      <c r="J33" s="579" t="inlineStr">
        <is>
          <t>BetaCredit - Application Security fase 1</t>
        </is>
      </c>
      <c r="K33" s="579" t="inlineStr">
        <is>
          <t>Riccardo Marino</t>
        </is>
      </c>
      <c r="L33" s="580" t="inlineStr">
        <is>
          <t>Fatturate  a ottobre</t>
        </is>
      </c>
      <c r="M33" s="588" t="n">
        <v>19430.12</v>
      </c>
      <c r="N33" s="588" t="n">
        <v>19430.12</v>
      </c>
      <c r="O33" s="597" t="n">
        <v>0</v>
      </c>
      <c r="P33" s="600" t="inlineStr">
        <is>
          <t>pagata</t>
        </is>
      </c>
      <c r="Q33" s="580" t="inlineStr">
        <is>
          <t>fatt. 4.9k - 4499534098
fatt. 7k - 4499534111
fatt 6.9k - 4499534029
fatt 4.7k - 4499534113</t>
        </is>
      </c>
      <c r="R33" s="597" t="n"/>
    </row>
    <row r="34" hidden="1" ht="43.5" customHeight="1" s="564">
      <c r="B34" s="574" t="inlineStr">
        <is>
          <t>9915583648</t>
        </is>
      </c>
      <c r="C34" s="574" t="inlineStr">
        <is>
          <t>Inviata</t>
        </is>
      </c>
      <c r="D34" s="574" t="inlineStr">
        <is>
          <t>Done</t>
        </is>
      </c>
      <c r="E34" s="574" t="inlineStr">
        <is>
          <t>CloseWon</t>
        </is>
      </c>
      <c r="F34" s="574" t="inlineStr">
        <is>
          <t>7267674349</t>
        </is>
      </c>
      <c r="G34" s="129" t="n"/>
      <c r="H34" s="574" t="inlineStr">
        <is>
          <t>ORF 195_25</t>
        </is>
      </c>
      <c r="I34" s="579" t="inlineStr">
        <is>
          <t>BJRYD001</t>
        </is>
      </c>
      <c r="J34" s="579" t="inlineStr">
        <is>
          <t>BetaCredit - Cyber Security Assessment - fase 1</t>
        </is>
      </c>
      <c r="K34" s="579" t="inlineStr">
        <is>
          <t>Riccardo Marino</t>
        </is>
      </c>
      <c r="L34" s="580" t="inlineStr">
        <is>
          <t>fatturazione maggio: 77.591,97 (3 mesi feb-apr)
fatturazione giugno: 51.727,98 (2 mesi mag-giu)
fatturazione luglio: 25.863,99 (1 mese lug)</t>
        </is>
      </c>
      <c r="M34" s="596" t="n">
        <v>126273.17</v>
      </c>
      <c r="N34" s="596" t="n">
        <v>126273.17</v>
      </c>
      <c r="O34" s="597" t="n">
        <v>0</v>
      </c>
      <c r="P34" s="600" t="inlineStr">
        <is>
          <t>pagata</t>
        </is>
      </c>
      <c r="Q34" s="580" t="inlineStr">
        <is>
          <t>fatt. 77k - 4499514137
fatt. 51k - 4499519571
fatt. 25k - 4499522599</t>
        </is>
      </c>
    </row>
    <row r="35" hidden="1" s="564">
      <c r="B35" s="574" t="inlineStr">
        <is>
          <t>9915583648</t>
        </is>
      </c>
      <c r="C35" s="574" t="inlineStr">
        <is>
          <t>Inviata</t>
        </is>
      </c>
      <c r="D35" s="574" t="inlineStr">
        <is>
          <t>Done</t>
        </is>
      </c>
      <c r="E35" s="574" t="inlineStr">
        <is>
          <t>CloseWon</t>
        </is>
      </c>
      <c r="F35" s="574" t="inlineStr">
        <is>
          <t>0107302688</t>
        </is>
      </c>
      <c r="G35" s="129" t="n"/>
      <c r="H35" t="inlineStr">
        <is>
          <t>ORF 378_25</t>
        </is>
      </c>
      <c r="I35" s="579" t="inlineStr">
        <is>
          <t>BJRYD001</t>
        </is>
      </c>
      <c r="J35" s="579" t="inlineStr">
        <is>
          <t>BetaCredit - Cyber Security Assessment - fase 2</t>
        </is>
      </c>
      <c r="K35" s="579" t="inlineStr">
        <is>
          <t>Riccardo Marino</t>
        </is>
      </c>
      <c r="L35" s="580" t="inlineStr">
        <is>
          <t>Fatturata completamente a settembre 25</t>
        </is>
      </c>
      <c r="M35" s="596" t="n">
        <v>119215.06</v>
      </c>
      <c r="N35" s="596" t="n">
        <v>119215.06</v>
      </c>
      <c r="O35" s="597" t="n">
        <v>0</v>
      </c>
      <c r="P35" s="600" t="inlineStr">
        <is>
          <t>pagata</t>
        </is>
      </c>
      <c r="Q35" s="560" t="n">
        <v>4759066855</v>
      </c>
    </row>
    <row r="36">
      <c r="B36" s="574" t="inlineStr">
        <is>
          <t>9997412455</t>
        </is>
      </c>
      <c r="C36" s="574" t="inlineStr">
        <is>
          <t>Inviata</t>
        </is>
      </c>
      <c r="D36" s="574" t="inlineStr">
        <is>
          <t>Done</t>
        </is>
      </c>
      <c r="E36" s="574" t="inlineStr">
        <is>
          <t>CloseWon</t>
        </is>
      </c>
      <c r="F36" s="574" t="inlineStr">
        <is>
          <t>3367936873</t>
        </is>
      </c>
      <c r="G36" s="574" t="inlineStr">
        <is>
          <t>02184</t>
        </is>
      </c>
      <c r="H36" s="574" t="inlineStr">
        <is>
          <t>9040922429</t>
        </is>
      </c>
      <c r="I36" s="579" t="inlineStr">
        <is>
          <t>BGTY8001</t>
        </is>
      </c>
      <c r="J36" t="inlineStr">
        <is>
          <t>Supporto ProdSec per campagna ricertificazione utenze 2025 (PAT074)</t>
        </is>
      </c>
      <c r="K36" s="579" t="inlineStr">
        <is>
          <t>Stefano Rinaldi</t>
        </is>
      </c>
      <c r="L36" s="580" t="inlineStr">
        <is>
          <t>Fatturazione a novembre</t>
        </is>
      </c>
      <c r="M36" s="599" t="n">
        <v>53280.98</v>
      </c>
      <c r="N36" s="599" t="n">
        <v>53280.98</v>
      </c>
      <c r="O36" s="597" t="n">
        <v>0</v>
      </c>
      <c r="P36" s="600" t="inlineStr">
        <is>
          <t>pagata</t>
        </is>
      </c>
      <c r="Q36" s="246" t="n">
        <v>7388727776</v>
      </c>
    </row>
    <row r="37" hidden="1" s="564">
      <c r="B37" s="574" t="inlineStr">
        <is>
          <t>9915583648</t>
        </is>
      </c>
      <c r="C37" s="574" t="inlineStr">
        <is>
          <t>Inviata</t>
        </is>
      </c>
      <c r="D37" s="574" t="inlineStr">
        <is>
          <t>Done</t>
        </is>
      </c>
      <c r="E37" s="574" t="inlineStr">
        <is>
          <t>CloseWon</t>
        </is>
      </c>
      <c r="F37" s="574" t="inlineStr">
        <is>
          <t>6275021848</t>
        </is>
      </c>
      <c r="G37" s="574" t="n"/>
      <c r="H37" s="574" t="inlineStr">
        <is>
          <t>ORF 321_25</t>
        </is>
      </c>
      <c r="I37" s="579" t="inlineStr">
        <is>
          <t>BJRYD001</t>
        </is>
      </c>
      <c r="J37" s="579" t="inlineStr">
        <is>
          <t>Integrazione Sap BO</t>
        </is>
      </c>
      <c r="K37" s="579" t="inlineStr">
        <is>
          <t>Riccardo Marino</t>
        </is>
      </c>
      <c r="L37" s="580" t="inlineStr">
        <is>
          <t>fatturata</t>
        </is>
      </c>
      <c r="M37" s="596" t="n">
        <v>3575.8</v>
      </c>
      <c r="N37" s="596" t="n">
        <v>3575.8</v>
      </c>
      <c r="O37" s="597" t="n">
        <v>0</v>
      </c>
      <c r="P37" s="600" t="inlineStr">
        <is>
          <t>pagata</t>
        </is>
      </c>
      <c r="Q37" s="560" t="n">
        <v>5645470779</v>
      </c>
    </row>
    <row r="38">
      <c r="B38" s="574" t="inlineStr">
        <is>
          <t>9997412455</t>
        </is>
      </c>
      <c r="C38" s="574" t="inlineStr">
        <is>
          <t>Inviata</t>
        </is>
      </c>
      <c r="D38" s="225" t="inlineStr">
        <is>
          <t>Done</t>
        </is>
      </c>
      <c r="E38" s="225" t="inlineStr">
        <is>
          <t>CloseWon</t>
        </is>
      </c>
      <c r="F38" s="574" t="inlineStr">
        <is>
          <t>6710242013</t>
        </is>
      </c>
      <c r="G38" s="574" t="inlineStr">
        <is>
          <t>08183</t>
        </is>
      </c>
      <c r="H38" s="574" t="inlineStr">
        <is>
          <t>5135348013</t>
        </is>
      </c>
      <c r="I38" s="579" t="inlineStr">
        <is>
          <t>BGTY8001</t>
        </is>
      </c>
      <c r="J38" s="574" t="inlineStr">
        <is>
          <t>Refactoring portale istituzionale AlphaBank.it</t>
        </is>
      </c>
      <c r="K38" s="579" t="inlineStr">
        <is>
          <t>Martina Leone</t>
        </is>
      </c>
      <c r="L38" s="580" t="inlineStr">
        <is>
          <t>fatturato a novembre</t>
        </is>
      </c>
      <c r="M38" s="596" t="n">
        <v>2672.65</v>
      </c>
      <c r="N38" s="596" t="n">
        <v>2672.65</v>
      </c>
      <c r="O38" s="596" t="n">
        <v>0</v>
      </c>
      <c r="P38" s="600" t="inlineStr">
        <is>
          <t>pagata</t>
        </is>
      </c>
      <c r="Q38" s="560" t="n">
        <v>4999448964</v>
      </c>
      <c r="T38" s="580" t="n"/>
    </row>
    <row r="39" ht="16" customHeight="1" s="564">
      <c r="C39" s="560" t="n"/>
      <c r="D39" s="588" t="n"/>
      <c r="E39" s="588" t="n"/>
      <c r="G39" s="164" t="n"/>
      <c r="H39" s="601" t="n"/>
    </row>
    <row r="40" ht="16" customHeight="1" s="564">
      <c r="B40" s="158" t="n"/>
      <c r="C40" s="158" t="n"/>
      <c r="D40" s="535" t="n"/>
      <c r="G40" s="164" t="n"/>
      <c r="H40" s="155" t="n"/>
      <c r="I40" s="155" t="n"/>
      <c r="L40" s="596" t="n"/>
      <c r="M40" s="597" t="n"/>
      <c r="Q40" s="292" t="n"/>
      <c r="W40" s="40" t="n"/>
      <c r="X40" s="40" t="n"/>
      <c r="Y40" s="40" t="n"/>
      <c r="Z40" s="40" t="n"/>
    </row>
    <row r="41" ht="16" customHeight="1" s="564">
      <c r="B41" s="536" t="n"/>
      <c r="C41" s="536" t="n"/>
      <c r="D41" s="596" t="n"/>
      <c r="E41" s="596" t="n"/>
      <c r="F41" s="596" t="n"/>
      <c r="G41" s="164" t="n"/>
      <c r="H41" s="596" t="n"/>
      <c r="I41" s="596" t="n"/>
      <c r="L41" s="597" t="n"/>
      <c r="M41" s="597" t="n"/>
      <c r="Z41" s="596" t="n"/>
    </row>
    <row r="42" ht="16" customHeight="1" s="564">
      <c r="B42" s="536" t="n"/>
      <c r="C42" s="536" t="n"/>
      <c r="D42" s="596" t="n"/>
      <c r="E42" s="596" t="n"/>
      <c r="F42" s="596" t="n"/>
      <c r="G42" s="164" t="n"/>
      <c r="H42" s="602" t="n"/>
      <c r="I42" s="596" t="n"/>
      <c r="Z42" s="596" t="n"/>
    </row>
    <row r="43" ht="16" customHeight="1" s="564">
      <c r="D43" s="596" t="n"/>
      <c r="E43" s="596" t="n"/>
      <c r="F43" s="596" t="n"/>
      <c r="G43" s="164" t="n"/>
      <c r="H43" s="596" t="n"/>
      <c r="I43" s="596" t="n"/>
      <c r="M43" s="596" t="n"/>
    </row>
    <row r="44" ht="16" customHeight="1" s="564">
      <c r="G44" s="164" t="n"/>
      <c r="K44" s="596" t="n"/>
      <c r="M44" s="596" t="n"/>
    </row>
    <row r="45">
      <c r="J45" s="482" t="n">
        <v>0.339</v>
      </c>
      <c r="K45" s="482" t="n">
        <v>0.569</v>
      </c>
    </row>
    <row r="46">
      <c r="I46" s="596" t="n"/>
    </row>
    <row r="47">
      <c r="I47" s="597" t="n"/>
    </row>
    <row r="48">
      <c r="I48" s="596" t="n"/>
    </row>
    <row r="49">
      <c r="I49" s="602" t="n"/>
    </row>
    <row r="50">
      <c r="I50" s="596" t="n"/>
    </row>
    <row r="51">
      <c r="R51" s="596" t="n"/>
    </row>
    <row r="52">
      <c r="R52" s="596" t="n"/>
    </row>
    <row r="53">
      <c r="R53" s="596" t="n"/>
    </row>
    <row r="54">
      <c r="R54" s="596" t="n"/>
    </row>
    <row r="55">
      <c r="Q55" s="574" t="n"/>
      <c r="R55" s="596" t="n"/>
    </row>
    <row r="56">
      <c r="R56" s="596" t="n"/>
    </row>
    <row r="57">
      <c r="R57" s="599" t="n"/>
    </row>
  </sheetData>
  <mergeCells count="3">
    <mergeCell ref="B42:B43"/>
    <mergeCell ref="C42:C43"/>
    <mergeCell ref="D40:F40"/>
  </mergeCells>
  <conditionalFormatting sqref="D1:D1048576">
    <cfRule type="containsText" priority="1" operator="containsText" dxfId="63" text="Da Fatturare">
      <formula>NOT(ISERROR(SEARCH("Da Fatturare",D1)))</formula>
    </cfRule>
  </conditionalFormatting>
  <dataValidations disablePrompts="1" count="3">
    <dataValidation sqref="C3:C38" showDropDown="0" showInputMessage="1" showErrorMessage="1" allowBlank="1" type="list">
      <formula1>"Da Inviare,Inviata,Approvata CVS"</formula1>
    </dataValidation>
    <dataValidation sqref="D2:D38" showDropDown="0" showInputMessage="1" showErrorMessage="1" allowBlank="1" type="list">
      <formula1>"Da Processare,MMS,MMR,MME,Done,Da Fatturare"</formula1>
    </dataValidation>
    <dataValidation sqref="E3:E38" showDropDown="0" showInputMessage="1" showErrorMessage="1" allowBlank="1" type="list">
      <formula1>"1,2,3,3B,CloseWon"</formula1>
    </dataValidation>
  </dataValidations>
  <hyperlinks>
    <hyperlink xmlns:r="http://schemas.openxmlformats.org/officeDocument/2006/relationships" ref="Q38" tooltip="Attached on 2025-11-04 23:45:10" display="https://support-close.accenture.com/sys_attachment.do?sys_id=4296485d934132109b98bdc47aba1079" r:id="rId1"/>
  </hyperlinks>
  <pageMargins left="0.7" right="0.7" top="0.75" bottom="0.75" header="0.3" footer="0.3"/>
  <pageSetup orientation="portrait" paperSize="9"/>
  <legacyDrawing xmlns:r="http://schemas.openxmlformats.org/officeDocument/2006/relationships" r:id="anysvml"/>
  <tableParts count="1">
    <tablePart xmlns:r="http://schemas.openxmlformats.org/officeDocument/2006/relationships" r:id="rId2"/>
  </tableParts>
</worksheet>
</file>

<file path=xl/worksheets/sheet3.xml><?xml version="1.0" encoding="utf-8"?>
<worksheet xmlns="http://schemas.openxmlformats.org/spreadsheetml/2006/main">
  <sheetPr codeName="Sheet11">
    <outlinePr summaryBelow="1" summaryRight="1"/>
    <pageSetUpPr/>
  </sheetPr>
  <dimension ref="A1:E8"/>
  <sheetViews>
    <sheetView workbookViewId="0">
      <selection activeCell="B8" sqref="B8"/>
    </sheetView>
  </sheetViews>
  <sheetFormatPr baseColWidth="8" defaultRowHeight="14.5"/>
  <cols>
    <col width="11.36328125" bestFit="1" customWidth="1" style="564" min="2" max="2"/>
    <col width="9.81640625" bestFit="1" customWidth="1" style="564" min="3" max="3"/>
    <col width="11.36328125" bestFit="1" customWidth="1" style="564" min="4" max="4"/>
    <col width="10.1796875" customWidth="1" style="564" min="5" max="5"/>
  </cols>
  <sheetData>
    <row r="1"/>
    <row r="2">
      <c r="A2" t="inlineStr">
        <is>
          <t>billing</t>
        </is>
      </c>
      <c r="B2" s="121" t="n">
        <v>979315.84</v>
      </c>
      <c r="C2" s="121" t="n">
        <v>30216.35</v>
      </c>
    </row>
    <row r="3">
      <c r="A3" t="inlineStr">
        <is>
          <t>revenue</t>
        </is>
      </c>
      <c r="B3" s="121" t="n">
        <v>910578.15</v>
      </c>
      <c r="C3" s="121" t="n">
        <v>91929.12</v>
      </c>
      <c r="D3" s="121" t="n">
        <v>1002507.26</v>
      </c>
      <c r="E3" t="n">
        <v>1148071</v>
      </c>
    </row>
    <row r="4">
      <c r="A4" t="inlineStr">
        <is>
          <t>total cost</t>
        </is>
      </c>
      <c r="B4" s="121" t="n">
        <v>601682.4</v>
      </c>
      <c r="C4" s="121" t="n">
        <v>37197.58</v>
      </c>
      <c r="D4" s="121" t="n">
        <v>638879.98</v>
      </c>
      <c r="E4" t="n">
        <v>731335.3</v>
      </c>
    </row>
    <row r="5">
      <c r="A5" t="inlineStr">
        <is>
          <t>ci</t>
        </is>
      </c>
      <c r="B5" s="121" t="n">
        <v>308895.74</v>
      </c>
      <c r="C5" s="121" t="n">
        <v>54731.54</v>
      </c>
      <c r="D5" s="121" t="n">
        <v>363627.28</v>
      </c>
      <c r="E5" t="n">
        <v>416736</v>
      </c>
    </row>
    <row r="6">
      <c r="A6" t="inlineStr">
        <is>
          <t>cci</t>
        </is>
      </c>
      <c r="B6" s="483" t="n">
        <v>0.339</v>
      </c>
      <c r="C6" s="483" t="n">
        <v>0.595</v>
      </c>
    </row>
    <row r="7"/>
    <row r="8">
      <c r="B8" s="603" t="n">
        <v>0.3392303514346163</v>
      </c>
      <c r="C8" s="603" t="n">
        <v>0.5953667248291173</v>
      </c>
      <c r="D8" s="603" t="n">
        <v>0.3627178525955913</v>
      </c>
      <c r="E8" s="603" t="n">
        <v>0.3629879079498797</v>
      </c>
    </row>
  </sheetData>
  <pageMargins left="0.7" right="0.7" top="0.75" bottom="0.75" header="0.3" footer="0.3"/>
  <pageSetup orientation="portrait"/>
</worksheet>
</file>

<file path=xl/worksheets/sheet4.xml><?xml version="1.0" encoding="utf-8"?>
<worksheet xmlns="http://schemas.openxmlformats.org/spreadsheetml/2006/main">
  <sheetPr codeName="Sheet22">
    <outlinePr summaryBelow="1" summaryRight="1"/>
    <pageSetUpPr/>
  </sheetPr>
  <dimension ref="A1:V47"/>
  <sheetViews>
    <sheetView topLeftCell="L22" zoomScale="58" zoomScaleNormal="58" zoomScaleSheetLayoutView="70" workbookViewId="0">
      <selection activeCell="A2" sqref="A2"/>
    </sheetView>
  </sheetViews>
  <sheetFormatPr baseColWidth="8" defaultColWidth="8.81640625" defaultRowHeight="14.5"/>
  <cols>
    <col width="4.54296875" customWidth="1" style="579" min="1" max="1"/>
    <col width="11.81640625" bestFit="1" customWidth="1" style="579" min="2" max="2"/>
    <col width="13.54296875" customWidth="1" style="579" min="3" max="3"/>
    <col width="19.54296875" customWidth="1" style="579" min="4" max="4"/>
    <col width="14.7265625" bestFit="1" customWidth="1" style="579" min="5" max="5"/>
    <col width="13.54296875" bestFit="1" customWidth="1" style="579" min="6" max="6"/>
    <col width="10.1796875" customWidth="1" style="579" min="7" max="7"/>
    <col width="15.81640625" customWidth="1" style="579" min="8" max="8"/>
    <col width="11.453125" customWidth="1" style="579" min="9" max="9"/>
    <col width="17.7265625" customWidth="1" style="579" min="10" max="10"/>
    <col width="14.54296875" bestFit="1" customWidth="1" style="579" min="11" max="11"/>
    <col width="54.81640625" customWidth="1" style="579" min="12" max="12"/>
    <col width="37.1796875" bestFit="1" customWidth="1" style="579" min="13" max="13"/>
    <col width="37" customWidth="1" style="579" min="14" max="14"/>
    <col width="30" bestFit="1" customWidth="1" style="579" min="15" max="15"/>
    <col width="19.81640625" customWidth="1" style="579" min="16" max="17"/>
    <col width="22.54296875" customWidth="1" style="560" min="18" max="18"/>
    <col width="22.54296875" customWidth="1" style="579" min="19" max="19"/>
    <col width="21.6328125" customWidth="1" style="580" min="20" max="20"/>
    <col width="14.81640625" bestFit="1" customWidth="1" style="579" min="21" max="21"/>
    <col width="10.453125" bestFit="1" customWidth="1" style="579" min="22" max="22"/>
    <col width="8.81640625" customWidth="1" style="579" min="23" max="16384"/>
  </cols>
  <sheetData>
    <row r="1"/>
    <row r="2">
      <c r="A2" s="579" t="inlineStr">
        <is>
          <t>lei</t>
        </is>
      </c>
      <c r="B2" s="579" t="inlineStr">
        <is>
          <t>Contract</t>
        </is>
      </c>
      <c r="C2" s="579" t="inlineStr">
        <is>
          <t>PDS Status</t>
        </is>
      </c>
      <c r="D2" s="579" t="inlineStr">
        <is>
          <t>Stato ACN Tool</t>
        </is>
      </c>
      <c r="E2" s="579" t="inlineStr">
        <is>
          <t>MMS Status</t>
        </is>
      </c>
      <c r="F2" s="579" t="inlineStr">
        <is>
          <t>Close Date</t>
        </is>
      </c>
      <c r="G2" s="579" t="inlineStr">
        <is>
          <t>Close Date Quarter</t>
        </is>
      </c>
      <c r="H2" s="579" t="inlineStr">
        <is>
          <t>Opp ID MMS</t>
        </is>
      </c>
      <c r="I2" s="579" t="inlineStr">
        <is>
          <t>AlphaBank Contract (CCP)</t>
        </is>
      </c>
      <c r="J2" s="579" t="inlineStr">
        <is>
          <t>ODA ID</t>
        </is>
      </c>
      <c r="K2" s="579" t="inlineStr">
        <is>
          <t>WBS</t>
        </is>
      </c>
      <c r="L2" s="579" t="inlineStr">
        <is>
          <t>Project</t>
        </is>
      </c>
      <c r="M2" s="579" t="inlineStr">
        <is>
          <t>Ref Name</t>
        </is>
      </c>
      <c r="N2" s="579" t="inlineStr">
        <is>
          <t>Piano Fatturazione Concordato</t>
        </is>
      </c>
      <c r="O2" s="579" t="inlineStr">
        <is>
          <t>Revenues</t>
        </is>
      </c>
      <c r="P2" s="579" t="inlineStr">
        <is>
          <t>Billed</t>
        </is>
      </c>
      <c r="Q2" s="579" t="inlineStr">
        <is>
          <t>To be billed</t>
        </is>
      </c>
      <c r="R2" s="560" t="inlineStr">
        <is>
          <t>Nr. Fattura</t>
        </is>
      </c>
      <c r="S2" s="579" t="inlineStr">
        <is>
          <t>MMR Code</t>
        </is>
      </c>
      <c r="T2" s="580" t="inlineStr">
        <is>
          <t>Note</t>
        </is>
      </c>
    </row>
    <row r="3">
      <c r="B3" s="574" t="inlineStr">
        <is>
          <t>9997412455</t>
        </is>
      </c>
      <c r="C3" s="574" t="inlineStr">
        <is>
          <t>Approvata CVS</t>
        </is>
      </c>
      <c r="D3" s="574" t="inlineStr">
        <is>
          <t>Done</t>
        </is>
      </c>
      <c r="E3" s="574" t="inlineStr">
        <is>
          <t>CloseWon</t>
        </is>
      </c>
      <c r="F3" s="574" t="inlineStr">
        <is>
          <t>30/09/25</t>
        </is>
      </c>
      <c r="G3" s="574" t="inlineStr">
        <is>
          <t>Q1</t>
        </is>
      </c>
      <c r="H3" s="574" t="inlineStr">
        <is>
          <t>1801042394</t>
        </is>
      </c>
      <c r="I3" s="574" t="inlineStr">
        <is>
          <t>43030</t>
        </is>
      </c>
      <c r="J3" s="574" t="inlineStr">
        <is>
          <t>9946304548</t>
        </is>
      </c>
      <c r="K3" s="579" t="inlineStr">
        <is>
          <t>BGTY8001</t>
        </is>
      </c>
      <c r="L3" s="579" t="inlineStr">
        <is>
          <t>DR Test 2025 – extra effort Governance</t>
        </is>
      </c>
      <c r="M3" s="579" t="inlineStr">
        <is>
          <t>Andrea Leone</t>
        </is>
      </c>
      <c r="N3" s="580" t="inlineStr">
        <is>
          <t>Fatturazione ottobre 25</t>
        </is>
      </c>
      <c r="O3" s="596" t="n">
        <v>25015.72</v>
      </c>
      <c r="P3" s="596" t="n">
        <v>25015.72</v>
      </c>
      <c r="Q3" s="597" t="n">
        <v>0</v>
      </c>
      <c r="R3" s="560" t="n">
        <v>557205397</v>
      </c>
    </row>
    <row r="4" ht="72.5" customHeight="1" s="564">
      <c r="B4" s="574" t="inlineStr">
        <is>
          <t>9997412455</t>
        </is>
      </c>
      <c r="C4" s="574" t="inlineStr">
        <is>
          <t>Approvata CVS</t>
        </is>
      </c>
      <c r="D4" s="574" t="inlineStr">
        <is>
          <t>Done</t>
        </is>
      </c>
      <c r="E4" s="574" t="inlineStr">
        <is>
          <t>CloseWon</t>
        </is>
      </c>
      <c r="F4" s="574" t="inlineStr">
        <is>
          <t>30/09/25</t>
        </is>
      </c>
      <c r="G4" s="574" t="inlineStr">
        <is>
          <t>Q1</t>
        </is>
      </c>
      <c r="H4" s="574" t="inlineStr">
        <is>
          <t>5297628275</t>
        </is>
      </c>
      <c r="I4" s="574" t="inlineStr">
        <is>
          <t>29138</t>
        </is>
      </c>
      <c r="J4" s="574" t="inlineStr">
        <is>
          <t>4256619481</t>
        </is>
      </c>
      <c r="K4" s="579" t="inlineStr">
        <is>
          <t>BGTY8001</t>
        </is>
      </c>
      <c r="L4" s="579" t="inlineStr">
        <is>
          <t>DR Test Governance Support 2025 (DMZR, ICP etc)</t>
        </is>
      </c>
      <c r="M4" s="579" t="inlineStr">
        <is>
          <t>Andrea Leone</t>
        </is>
      </c>
      <c r="N4" s="580" t="inlineStr">
        <is>
          <t>Piano di fatturazione:
Settembre: €44.844,85
Novembre: €98.658,66
Dicembre: 14.348,89
Febbraio: €21527,58</t>
        </is>
      </c>
      <c r="O4" s="602" t="n">
        <v>145961</v>
      </c>
      <c r="P4" s="596" t="n">
        <v>145961</v>
      </c>
      <c r="Q4" s="597" t="n">
        <v>0</v>
      </c>
      <c r="R4" s="246" t="inlineStr">
        <is>
          <t>Fatt. 44.8k - 4499529963
Fatt. 98k - 4499536252
fatt. 14.3k - 4499544001
fatt. 21k - 4499605549</t>
        </is>
      </c>
      <c r="S4" s="580" t="n"/>
      <c r="U4" s="604" t="n"/>
      <c r="V4" s="604" t="n"/>
    </row>
    <row r="5" ht="29" customHeight="1" s="564">
      <c r="B5" s="574" t="inlineStr">
        <is>
          <t>9997412455</t>
        </is>
      </c>
      <c r="C5" s="574" t="inlineStr">
        <is>
          <t>Approvata CVS</t>
        </is>
      </c>
      <c r="D5" s="574" t="inlineStr">
        <is>
          <t>Done</t>
        </is>
      </c>
      <c r="E5" s="574" t="inlineStr">
        <is>
          <t>CloseWon</t>
        </is>
      </c>
      <c r="F5" s="574" t="inlineStr">
        <is>
          <t>31/12/25</t>
        </is>
      </c>
      <c r="G5" s="574" t="inlineStr">
        <is>
          <t>Q1</t>
        </is>
      </c>
      <c r="H5" s="129" t="inlineStr">
        <is>
          <t>4891161326</t>
        </is>
      </c>
      <c r="I5" s="574" t="inlineStr">
        <is>
          <t>75763</t>
        </is>
      </c>
      <c r="J5" s="574" t="inlineStr">
        <is>
          <t>6814774944</t>
        </is>
      </c>
      <c r="K5" s="579" t="inlineStr">
        <is>
          <t>BGTY8001</t>
        </is>
      </c>
      <c r="L5" s="579" t="inlineStr">
        <is>
          <t>ISPL Access Monitoring Support</t>
        </is>
      </c>
      <c r="M5" s="579" t="inlineStr">
        <is>
          <t>Stefano Rinaldi</t>
        </is>
      </c>
      <c r="N5" s="580" t="inlineStr">
        <is>
          <t>fatturazione novembre 20.489,45
fatturazione dicembre 20.489,45</t>
        </is>
      </c>
      <c r="O5" s="596" t="n">
        <v>33344.53</v>
      </c>
      <c r="P5" s="596" t="n">
        <v>33344.53</v>
      </c>
      <c r="Q5" s="597" t="n">
        <v>0</v>
      </c>
      <c r="R5" s="246" t="inlineStr">
        <is>
          <t>fatt. 20.4k - 4499539180
fatt. 20.4k - 4499544141</t>
        </is>
      </c>
      <c r="V5" s="604" t="n"/>
    </row>
    <row r="6">
      <c r="B6" s="574" t="inlineStr">
        <is>
          <t>9997412455</t>
        </is>
      </c>
      <c r="C6" s="574" t="inlineStr">
        <is>
          <t>Approvata CVS</t>
        </is>
      </c>
      <c r="D6" s="574" t="inlineStr">
        <is>
          <t>Done</t>
        </is>
      </c>
      <c r="E6" s="574" t="inlineStr">
        <is>
          <t>CloseWon</t>
        </is>
      </c>
      <c r="F6" s="574" t="inlineStr">
        <is>
          <t>28/02/26</t>
        </is>
      </c>
      <c r="G6" s="574" t="inlineStr">
        <is>
          <t>Q2</t>
        </is>
      </c>
      <c r="H6" s="129" t="inlineStr">
        <is>
          <t>3237356398</t>
        </is>
      </c>
      <c r="I6" s="574" t="inlineStr">
        <is>
          <t>70184</t>
        </is>
      </c>
      <c r="J6" s="574" t="inlineStr">
        <is>
          <t>4024449168</t>
        </is>
      </c>
      <c r="K6" s="579" t="inlineStr">
        <is>
          <t>BGTY8001</t>
        </is>
      </c>
      <c r="L6" s="579" t="inlineStr">
        <is>
          <t>IT230067 - Refactoring MyBiz - Nuovo JRF Cloud</t>
        </is>
      </c>
      <c r="M6" s="579" t="inlineStr">
        <is>
          <t>Antonio Leva/David Giorgi/Luca Labellarte</t>
        </is>
      </c>
      <c r="N6" s="580" t="inlineStr">
        <is>
          <t>fatturare a febbraio</t>
        </is>
      </c>
      <c r="O6" s="596" t="n">
        <v>2083.23</v>
      </c>
      <c r="P6" s="597" t="n">
        <v>2083.23</v>
      </c>
      <c r="Q6" s="597" t="n">
        <v>0</v>
      </c>
      <c r="R6" s="560" t="n">
        <v>8759694734</v>
      </c>
      <c r="S6" s="579" t="inlineStr">
        <is>
          <t>R26/15368</t>
        </is>
      </c>
    </row>
    <row r="7" ht="145" customHeight="1" s="564">
      <c r="B7" s="574" t="n">
        <v>9915583648</v>
      </c>
      <c r="C7" s="574" t="inlineStr">
        <is>
          <t>Approvata CVS</t>
        </is>
      </c>
      <c r="D7" s="574" t="inlineStr">
        <is>
          <t>Done</t>
        </is>
      </c>
      <c r="E7" s="574" t="inlineStr">
        <is>
          <t>CloseWon</t>
        </is>
      </c>
      <c r="F7" s="574" t="inlineStr">
        <is>
          <t>31/10/25</t>
        </is>
      </c>
      <c r="G7" s="574" t="inlineStr">
        <is>
          <t>Q1</t>
        </is>
      </c>
      <c r="H7" s="574" t="inlineStr">
        <is>
          <t>3938895291</t>
        </is>
      </c>
      <c r="I7" s="574" t="n"/>
      <c r="J7" s="574" t="inlineStr">
        <is>
          <t>Vedi file Lista Proposte in AlphaBank Security - General\Projects\BetaCredit\Application Security 4FTE</t>
        </is>
      </c>
      <c r="K7" s="579" t="inlineStr">
        <is>
          <t>BJRYD001</t>
        </is>
      </c>
      <c r="L7" s="579" t="inlineStr">
        <is>
          <t>BetaCredit - Application Security fase 2</t>
        </is>
      </c>
      <c r="M7" s="579" t="inlineStr">
        <is>
          <t>Riccardo Marino</t>
        </is>
      </c>
      <c r="N7" s="580" t="inlineStr">
        <is>
          <t>21595,13 (fatturati a ottobre)
39951,21 (fatturati a novembre)</t>
        </is>
      </c>
      <c r="O7" s="596" t="n">
        <v>50080.26</v>
      </c>
      <c r="P7" s="596" t="n">
        <v>50080.26</v>
      </c>
      <c r="Q7" s="597" t="n">
        <v>0</v>
      </c>
      <c r="R7" s="246" t="inlineStr">
        <is>
          <t>Fatt. 5k - 499534479
Fatt 6.7k- 4499534237
fatt. 4.8k - 4499534272
fatt. 4.6k - 4499534317
fatt. 6k - 4499536071
fatt. 10k - 4499536139 
fatt. 4k - 4499536244
fatt. 9k - 4499536242
fatt 5.1k - 4499536248
fatt. 4.3k - 4499536210</t>
        </is>
      </c>
      <c r="S7" s="580" t="n"/>
    </row>
    <row r="8" ht="29" customHeight="1" s="564">
      <c r="B8" s="574" t="inlineStr">
        <is>
          <t>9915583648</t>
        </is>
      </c>
      <c r="C8" s="574" t="inlineStr">
        <is>
          <t>Approvata CVS</t>
        </is>
      </c>
      <c r="D8" s="574" t="inlineStr">
        <is>
          <t>Done</t>
        </is>
      </c>
      <c r="E8" s="574" t="inlineStr">
        <is>
          <t>CloseWon</t>
        </is>
      </c>
      <c r="F8" s="223" t="inlineStr">
        <is>
          <t>31/01/26</t>
        </is>
      </c>
      <c r="G8" s="574" t="inlineStr">
        <is>
          <t>Q2</t>
        </is>
      </c>
      <c r="H8" s="574" t="inlineStr">
        <is>
          <t>2740871165</t>
        </is>
      </c>
      <c r="I8" s="129" t="n"/>
      <c r="J8" s="129" t="inlineStr">
        <is>
          <t>ORF / 1054 / 2025
ORF / 1049 / 2025</t>
        </is>
      </c>
      <c r="K8" s="579" t="inlineStr">
        <is>
          <t>BJRYD001</t>
        </is>
      </c>
      <c r="L8" s="579" t="inlineStr">
        <is>
          <t>BetaCredit - Cyber Security Assessment - fase 3</t>
        </is>
      </c>
      <c r="M8" s="579" t="inlineStr">
        <is>
          <t>Riccardo Marino</t>
        </is>
      </c>
      <c r="N8" s="580" t="inlineStr">
        <is>
          <t>fatturata a dicembre</t>
        </is>
      </c>
      <c r="O8" s="596" t="n">
        <v>9323.4</v>
      </c>
      <c r="P8" s="596" t="n">
        <v>9323.4</v>
      </c>
      <c r="Q8" s="597" t="n">
        <v>0</v>
      </c>
      <c r="R8" s="560" t="n">
        <v>5336033744</v>
      </c>
      <c r="S8" s="579" t="inlineStr">
        <is>
          <t>R25/164860</t>
        </is>
      </c>
    </row>
    <row r="9">
      <c r="B9" s="574" t="inlineStr">
        <is>
          <t>9915583648</t>
        </is>
      </c>
      <c r="C9" s="574" t="inlineStr">
        <is>
          <t>Approvata CVS</t>
        </is>
      </c>
      <c r="D9" s="574" t="inlineStr">
        <is>
          <t>Done</t>
        </is>
      </c>
      <c r="E9" s="574" t="inlineStr">
        <is>
          <t>CloseWon</t>
        </is>
      </c>
      <c r="F9" s="574" t="inlineStr">
        <is>
          <t>31/12/25</t>
        </is>
      </c>
      <c r="G9" s="574" t="inlineStr">
        <is>
          <t>Q2</t>
        </is>
      </c>
      <c r="H9" s="574" t="inlineStr">
        <is>
          <t>7133903486</t>
        </is>
      </c>
      <c r="I9" s="574" t="n"/>
      <c r="J9" t="inlineStr">
        <is>
          <t>ORF / 1102 / 2025</t>
        </is>
      </c>
      <c r="K9" s="579" t="inlineStr">
        <is>
          <t>BJRYD001</t>
        </is>
      </c>
      <c r="L9" t="inlineStr">
        <is>
          <t xml:space="preserve">BetaCredit - Antifrode </t>
        </is>
      </c>
      <c r="M9" s="579" t="inlineStr">
        <is>
          <t>Riccardo Romano</t>
        </is>
      </c>
      <c r="N9" s="580" t="inlineStr">
        <is>
          <t>fatturata a gennaio</t>
        </is>
      </c>
      <c r="O9" s="596" t="n">
        <v>43352.87</v>
      </c>
      <c r="P9" s="596" t="n">
        <v>43352.87</v>
      </c>
      <c r="Q9" s="597" t="n">
        <v>0</v>
      </c>
      <c r="R9" s="560" t="n">
        <v>8104424280</v>
      </c>
      <c r="S9" s="579" t="inlineStr">
        <is>
          <t>R26/2666</t>
        </is>
      </c>
    </row>
    <row r="10" ht="28" customHeight="1" s="564">
      <c r="B10" s="574" t="inlineStr">
        <is>
          <t>9997412455</t>
        </is>
      </c>
      <c r="C10" s="574" t="inlineStr">
        <is>
          <t>Approvata CVS</t>
        </is>
      </c>
      <c r="D10" s="574" t="inlineStr">
        <is>
          <t>Done</t>
        </is>
      </c>
      <c r="E10" s="574" t="inlineStr">
        <is>
          <t>CloseWon</t>
        </is>
      </c>
      <c r="F10" s="574" t="inlineStr">
        <is>
          <t>31/12/25</t>
        </is>
      </c>
      <c r="G10" s="574" t="inlineStr">
        <is>
          <t>Q2</t>
        </is>
      </c>
      <c r="H10" s="574" t="inlineStr">
        <is>
          <t>9015454092</t>
        </is>
      </c>
      <c r="I10" s="574" t="inlineStr">
        <is>
          <t>80517</t>
        </is>
      </c>
      <c r="J10" s="574" t="inlineStr">
        <is>
          <t>2334527279</t>
        </is>
      </c>
      <c r="K10" s="579" t="inlineStr">
        <is>
          <t>BGTY8001</t>
        </is>
      </c>
      <c r="L10" s="579" t="inlineStr">
        <is>
          <t xml:space="preserve">Microgmentation – AP Digital </t>
        </is>
      </c>
      <c r="M10" s="579" t="inlineStr">
        <is>
          <t>Simone Conti</t>
        </is>
      </c>
      <c r="N10" s="580" t="inlineStr">
        <is>
          <t>fatturata a maggio</t>
        </is>
      </c>
      <c r="O10" s="596" t="n">
        <v>109481.2</v>
      </c>
      <c r="P10" s="596" t="n">
        <v>109481.2</v>
      </c>
      <c r="Q10" s="597" t="n">
        <v>0</v>
      </c>
      <c r="R10" s="560" t="n">
        <v>8132294732</v>
      </c>
      <c r="S10" s="579" t="inlineStr">
        <is>
          <t>R25/168612</t>
        </is>
      </c>
    </row>
    <row r="11">
      <c r="B11" s="574" t="inlineStr">
        <is>
          <t>9997412455</t>
        </is>
      </c>
      <c r="C11" s="574" t="inlineStr">
        <is>
          <t>Approvata CVS</t>
        </is>
      </c>
      <c r="D11" s="574" t="inlineStr">
        <is>
          <t>Done</t>
        </is>
      </c>
      <c r="E11" s="574" t="inlineStr">
        <is>
          <t>CloseWon</t>
        </is>
      </c>
      <c r="F11" s="574" t="inlineStr">
        <is>
          <t>28/02/26</t>
        </is>
      </c>
      <c r="G11" s="574" t="inlineStr">
        <is>
          <t>Q2</t>
        </is>
      </c>
      <c r="H11" s="574" t="inlineStr">
        <is>
          <t>0357157007</t>
        </is>
      </c>
      <c r="I11" s="574" t="inlineStr">
        <is>
          <t>83293</t>
        </is>
      </c>
      <c r="J11" s="574" t="inlineStr">
        <is>
          <t>6928027502</t>
        </is>
      </c>
      <c r="K11" s="579" t="inlineStr">
        <is>
          <t>BGTY8001</t>
        </is>
      </c>
      <c r="L11" s="579" t="inlineStr">
        <is>
          <t>Microgmentation - CoreBanking</t>
        </is>
      </c>
      <c r="M11" s="579" t="inlineStr">
        <is>
          <t>Simone Conti</t>
        </is>
      </c>
      <c r="N11" s="580" t="inlineStr">
        <is>
          <t>fatturata a marzo</t>
        </is>
      </c>
      <c r="O11" s="596" t="n">
        <v>109481.2</v>
      </c>
      <c r="P11" s="596" t="n">
        <v>109481.2</v>
      </c>
      <c r="Q11" s="597" t="n">
        <v>0</v>
      </c>
      <c r="R11" s="560" t="n">
        <v>1666692281</v>
      </c>
      <c r="S11" s="579" t="inlineStr">
        <is>
          <t xml:space="preserve">R26/15370 </t>
        </is>
      </c>
    </row>
    <row r="12" ht="72.5" customHeight="1" s="564">
      <c r="B12" s="574" t="inlineStr">
        <is>
          <t>9997412455</t>
        </is>
      </c>
      <c r="C12" s="574" t="inlineStr">
        <is>
          <t>Approvata CVS</t>
        </is>
      </c>
      <c r="D12" s="574" t="inlineStr">
        <is>
          <t>Done</t>
        </is>
      </c>
      <c r="E12" s="574" t="inlineStr">
        <is>
          <t>CloseWon</t>
        </is>
      </c>
      <c r="F12" s="574" t="inlineStr">
        <is>
          <t>31/12/25</t>
        </is>
      </c>
      <c r="G12" s="574" t="inlineStr">
        <is>
          <t>Q1</t>
        </is>
      </c>
      <c r="H12" s="574" t="inlineStr">
        <is>
          <t>1925596695</t>
        </is>
      </c>
      <c r="I12" s="574" t="inlineStr">
        <is>
          <t>17743</t>
        </is>
      </c>
      <c r="J12" s="574" t="inlineStr">
        <is>
          <t>3812010921</t>
        </is>
      </c>
      <c r="K12" s="579" t="inlineStr">
        <is>
          <t>BGTY8001</t>
        </is>
      </c>
      <c r="L12" s="579" t="inlineStr">
        <is>
          <t>Microgmentation - ProdSec</t>
        </is>
      </c>
      <c r="M12" s="579" t="inlineStr">
        <is>
          <t>Stefano Rinaldi</t>
        </is>
      </c>
      <c r="N12" s="580" t="inlineStr">
        <is>
          <t>Fatturazione novembre 23.016,48
fatturato a novembre su telco 23.016,48 €
Ndc Interna da telco vs 9997412455 di
23.016,48 € a maggio
fatturazione delta maggio 69049,44</t>
        </is>
      </c>
      <c r="O12" s="596" t="n">
        <v>93642.55</v>
      </c>
      <c r="P12" s="596" t="n">
        <v>93642.55</v>
      </c>
      <c r="Q12" s="597" t="n">
        <v>0</v>
      </c>
      <c r="R12" s="246" t="inlineStr">
        <is>
          <t>fatt. 23k - 4499539129 
fatt. 69k - 4499613302</t>
        </is>
      </c>
    </row>
    <row r="13">
      <c r="B13" s="574" t="inlineStr">
        <is>
          <t>9997412455</t>
        </is>
      </c>
      <c r="C13" s="574" t="inlineStr">
        <is>
          <t>Approvata CVS</t>
        </is>
      </c>
      <c r="D13" s="574" t="inlineStr">
        <is>
          <t>Done</t>
        </is>
      </c>
      <c r="E13" s="574" t="inlineStr">
        <is>
          <t>CloseWon</t>
        </is>
      </c>
      <c r="F13" s="574" t="inlineStr">
        <is>
          <t>30/01/26</t>
        </is>
      </c>
      <c r="G13" s="574" t="inlineStr">
        <is>
          <t>Q2</t>
        </is>
      </c>
      <c r="H13" s="574" t="inlineStr">
        <is>
          <t>1866086755</t>
        </is>
      </c>
      <c r="I13" s="574" t="inlineStr">
        <is>
          <t>27066</t>
        </is>
      </c>
      <c r="J13" s="574" t="inlineStr">
        <is>
          <t>2501157490</t>
        </is>
      </c>
      <c r="K13" s="579" t="inlineStr">
        <is>
          <t>BGTY8001</t>
        </is>
      </c>
      <c r="L13" s="579" t="inlineStr">
        <is>
          <t>Siteminder OSR (2fte CL10)</t>
        </is>
      </c>
      <c r="M13" s="579" t="inlineStr">
        <is>
          <t>Luca Vitale</t>
        </is>
      </c>
      <c r="N13" s="580" t="inlineStr">
        <is>
          <t>fatturato completamente a dicembre</t>
        </is>
      </c>
      <c r="O13" s="602" t="n">
        <v>80582.61</v>
      </c>
      <c r="P13" s="596" t="n">
        <v>80582.61</v>
      </c>
      <c r="Q13" s="597" t="n">
        <v>0</v>
      </c>
      <c r="R13" s="560" t="n">
        <v>58689389</v>
      </c>
      <c r="S13" s="579" t="inlineStr">
        <is>
          <t>R25/164867</t>
        </is>
      </c>
    </row>
    <row r="14">
      <c r="B14" s="574" t="inlineStr">
        <is>
          <t>9915583648</t>
        </is>
      </c>
      <c r="C14" s="574" t="inlineStr">
        <is>
          <t>Approvata CVS</t>
        </is>
      </c>
      <c r="D14" s="574" t="inlineStr">
        <is>
          <t>Done</t>
        </is>
      </c>
      <c r="E14" s="574" t="inlineStr">
        <is>
          <t>CloseWon</t>
        </is>
      </c>
      <c r="F14" s="574" t="inlineStr">
        <is>
          <t>30/09/25</t>
        </is>
      </c>
      <c r="G14" s="574" t="inlineStr">
        <is>
          <t>Q1</t>
        </is>
      </c>
      <c r="H14" s="574" t="inlineStr">
        <is>
          <t>1897580354</t>
        </is>
      </c>
      <c r="I14" s="574" t="n"/>
      <c r="J14" s="574" t="inlineStr">
        <is>
          <t>Vedi file Lista Proposte in AlphaBank Security - General\Projects\BetaCredit\PM Tecnico_Supporto Sec Governance</t>
        </is>
      </c>
      <c r="K14" s="579" t="inlineStr">
        <is>
          <t>BJRYD001</t>
        </is>
      </c>
      <c r="L14" s="579" t="inlineStr">
        <is>
          <t>BetaCredit - Supporto IT Sec Gov 2025 Fase9</t>
        </is>
      </c>
      <c r="M14" s="579" t="inlineStr">
        <is>
          <t>Riccardo Marino</t>
        </is>
      </c>
      <c r="N14" s="580" t="inlineStr">
        <is>
          <t>fatturata a settembre 25</t>
        </is>
      </c>
      <c r="O14" s="596" t="n">
        <v>6521.28</v>
      </c>
      <c r="P14" s="597" t="n">
        <v>6521.28</v>
      </c>
      <c r="Q14" s="597" t="n">
        <v>0</v>
      </c>
      <c r="R14" s="560" t="n">
        <v>5554427912</v>
      </c>
    </row>
    <row r="15" ht="16" customHeight="1" s="564">
      <c r="B15" s="574" t="inlineStr">
        <is>
          <t>9915583648</t>
        </is>
      </c>
      <c r="C15" s="223" t="inlineStr">
        <is>
          <t>Approvata CVS</t>
        </is>
      </c>
      <c r="D15" s="225" t="inlineStr">
        <is>
          <t>Done</t>
        </is>
      </c>
      <c r="E15" s="225" t="inlineStr">
        <is>
          <t>CloseWon</t>
        </is>
      </c>
      <c r="F15" s="574" t="inlineStr">
        <is>
          <t>31/12/25</t>
        </is>
      </c>
      <c r="G15" s="574" t="inlineStr">
        <is>
          <t>Q1</t>
        </is>
      </c>
      <c r="H15" s="574" t="inlineStr">
        <is>
          <t>7740783100</t>
        </is>
      </c>
      <c r="I15" s="226" t="n"/>
      <c r="J15" s="574" t="inlineStr">
        <is>
          <t>Vedi file Lista Proposte in AlphaBank Security - General\Projects\BetaCredit\PM Tecnico_Supporto Sec Governance</t>
        </is>
      </c>
      <c r="K15" s="579" t="inlineStr">
        <is>
          <t>BJRYD001</t>
        </is>
      </c>
      <c r="L15" s="579" t="inlineStr">
        <is>
          <t>BetaCredit - Supporto IT Sec Gov 2025 Fase10</t>
        </is>
      </c>
      <c r="M15" s="579" t="inlineStr">
        <is>
          <t>Riccardo Marino</t>
        </is>
      </c>
      <c r="N15" s="580" t="inlineStr">
        <is>
          <t>fatturato a ottobre</t>
        </is>
      </c>
      <c r="O15" s="596" t="n">
        <v>5869.15</v>
      </c>
      <c r="P15" s="596" t="n">
        <v>5869.15</v>
      </c>
      <c r="Q15" s="597" t="n">
        <v>0</v>
      </c>
      <c r="R15" s="560" t="n">
        <v>8006291244</v>
      </c>
      <c r="T15" s="580" t="inlineStr">
        <is>
          <t xml:space="preserve">fatta NDC per 60€ </t>
        </is>
      </c>
    </row>
    <row r="16" ht="87" customHeight="1" s="564">
      <c r="B16" s="574" t="inlineStr">
        <is>
          <t>9915583648</t>
        </is>
      </c>
      <c r="C16" s="223" t="inlineStr">
        <is>
          <t>Approvata CVS</t>
        </is>
      </c>
      <c r="D16" s="579" t="inlineStr">
        <is>
          <t>Done</t>
        </is>
      </c>
      <c r="E16" s="574" t="inlineStr">
        <is>
          <t>CloseWon</t>
        </is>
      </c>
      <c r="F16" s="574" t="inlineStr">
        <is>
          <t>31/12/25</t>
        </is>
      </c>
      <c r="G16" s="579" t="inlineStr">
        <is>
          <t>Q2</t>
        </is>
      </c>
      <c r="H16" s="574" t="inlineStr">
        <is>
          <t>5540451391</t>
        </is>
      </c>
      <c r="J16" s="574" t="inlineStr">
        <is>
          <t>Vedi file Lista Proposte in AlphaBank Security - General\Projects\BetaCredit\Application Security 4FTE</t>
        </is>
      </c>
      <c r="K16" s="579" t="inlineStr">
        <is>
          <t>BJRYD001</t>
        </is>
      </c>
      <c r="L16" s="579" t="inlineStr">
        <is>
          <t>BetaCredit - App Security Fase 3</t>
        </is>
      </c>
      <c r="M16" s="579" t="inlineStr">
        <is>
          <t>Riccardo Marino</t>
        </is>
      </c>
      <c r="N16" s="580" t="inlineStr">
        <is>
          <t>fatturata a dicembre</t>
        </is>
      </c>
      <c r="O16" s="596" t="n">
        <v>33695.79</v>
      </c>
      <c r="P16" s="596" t="n">
        <v>33695.79</v>
      </c>
      <c r="Q16" s="597" t="n">
        <v>0</v>
      </c>
      <c r="R16" s="246" t="inlineStr">
        <is>
          <t>fatt. 11.8k - 4499543960
fatt. 1.8k - 4499544139
fatt. 5.78 - 4499543879 
fatt. 5854k - 4499544304
fatt. 10k - 4499543780
fatt. 5.876 - 4499543984</t>
        </is>
      </c>
      <c r="S16" s="579" t="inlineStr">
        <is>
          <t>R25/164856</t>
        </is>
      </c>
    </row>
    <row r="17">
      <c r="B17" s="574" t="inlineStr">
        <is>
          <t>9997412455</t>
        </is>
      </c>
      <c r="C17" s="223" t="inlineStr">
        <is>
          <t>Approvata CVS</t>
        </is>
      </c>
      <c r="D17" s="574" t="inlineStr">
        <is>
          <t>Done</t>
        </is>
      </c>
      <c r="E17" s="574" t="inlineStr">
        <is>
          <t>CloseWon</t>
        </is>
      </c>
      <c r="F17" s="223" t="inlineStr">
        <is>
          <t>31/01/26</t>
        </is>
      </c>
      <c r="G17" s="579" t="inlineStr">
        <is>
          <t>Q2</t>
        </is>
      </c>
      <c r="H17" s="574" t="inlineStr">
        <is>
          <t>8345938079</t>
        </is>
      </c>
      <c r="I17" s="574" t="inlineStr">
        <is>
          <t>10701</t>
        </is>
      </c>
      <c r="J17" s="560" t="n">
        <v>9148146546</v>
      </c>
      <c r="K17" s="579" t="inlineStr">
        <is>
          <t>BGTY8001</t>
        </is>
      </c>
      <c r="L17" s="560" t="inlineStr">
        <is>
          <t>Integrazione servizi Archibus</t>
        </is>
      </c>
      <c r="M17" s="579" t="inlineStr">
        <is>
          <t>D'Amico Valerio</t>
        </is>
      </c>
      <c r="N17" s="579" t="inlineStr">
        <is>
          <t>fatturata a marzo</t>
        </is>
      </c>
      <c r="O17" s="596" t="n">
        <v>4974.11</v>
      </c>
      <c r="P17" s="596" t="n">
        <v>4974.11</v>
      </c>
      <c r="Q17" s="597" t="n">
        <v>0</v>
      </c>
      <c r="R17" s="560" t="n">
        <v>3114453025</v>
      </c>
      <c r="S17" s="579" t="inlineStr">
        <is>
          <t>R26/3061</t>
        </is>
      </c>
    </row>
    <row r="18" ht="29" customHeight="1" s="564">
      <c r="B18" s="574" t="inlineStr">
        <is>
          <t>9915583648</t>
        </is>
      </c>
      <c r="C18" s="223" t="inlineStr">
        <is>
          <t>Approvata CVS</t>
        </is>
      </c>
      <c r="D18" s="579" t="inlineStr">
        <is>
          <t>Done</t>
        </is>
      </c>
      <c r="E18" s="574" t="inlineStr">
        <is>
          <t>CloseWon</t>
        </is>
      </c>
      <c r="F18" s="574" t="inlineStr">
        <is>
          <t>31/12/25</t>
        </is>
      </c>
      <c r="G18" s="579" t="inlineStr">
        <is>
          <t>Q2</t>
        </is>
      </c>
      <c r="H18" s="225" t="inlineStr">
        <is>
          <t>6180408985</t>
        </is>
      </c>
      <c r="I18" s="226" t="n"/>
      <c r="J18" s="574" t="inlineStr">
        <is>
          <t>Vedi file Lista Proposte in AlphaBank Security - General\Projects\BetaCredit\Application Security 4FTE</t>
        </is>
      </c>
      <c r="K18" s="579" t="inlineStr">
        <is>
          <t>BJRYD001</t>
        </is>
      </c>
      <c r="L18" s="579" t="inlineStr">
        <is>
          <t>BetaCredit - App Security Fase 4</t>
        </is>
      </c>
      <c r="M18" s="579" t="inlineStr">
        <is>
          <t>Riccardo Marino</t>
        </is>
      </c>
      <c r="N18" s="579" t="inlineStr">
        <is>
          <t>fatturata a dicembre</t>
        </is>
      </c>
      <c r="O18" s="596" t="n">
        <v>28468.82</v>
      </c>
      <c r="P18" s="596" t="n">
        <v>28468.82</v>
      </c>
      <c r="Q18" s="597" t="n">
        <v>0</v>
      </c>
      <c r="R18" s="246" t="inlineStr">
        <is>
          <t>fatt. 15k - 4499544426 
fatt. 19k - 4499544282</t>
        </is>
      </c>
      <c r="S18" s="579" t="inlineStr">
        <is>
          <t>R25/166245</t>
        </is>
      </c>
    </row>
    <row r="19" ht="16" customHeight="1" s="564">
      <c r="B19" s="574" t="inlineStr">
        <is>
          <t>9915583648</t>
        </is>
      </c>
      <c r="C19" s="223" t="inlineStr">
        <is>
          <t>Approvata CVS</t>
        </is>
      </c>
      <c r="D19" s="579" t="inlineStr">
        <is>
          <t>Done</t>
        </is>
      </c>
      <c r="E19" s="574" t="inlineStr">
        <is>
          <t>CloseWon</t>
        </is>
      </c>
      <c r="F19" s="574" t="inlineStr">
        <is>
          <t>28/02/26</t>
        </is>
      </c>
      <c r="G19" s="579" t="inlineStr">
        <is>
          <t>Q2</t>
        </is>
      </c>
      <c r="H19" s="225" t="inlineStr">
        <is>
          <t>2834029310</t>
        </is>
      </c>
      <c r="I19" s="226" t="n"/>
      <c r="J19" s="574" t="inlineStr">
        <is>
          <t>ORF / 1075 / 2025</t>
        </is>
      </c>
      <c r="K19" s="579" t="inlineStr">
        <is>
          <t>BJRYD001</t>
        </is>
      </c>
      <c r="L19" s="579" t="inlineStr">
        <is>
          <t>BetaCredit - Formazione</t>
        </is>
      </c>
      <c r="M19" s="579" t="inlineStr">
        <is>
          <t>Riccardo Marino</t>
        </is>
      </c>
      <c r="N19" s="579" t="inlineStr">
        <is>
          <t>fatturata a dicembre</t>
        </is>
      </c>
      <c r="O19" s="596" t="n">
        <v>7003.16</v>
      </c>
      <c r="P19" s="596" t="n">
        <v>7003.16</v>
      </c>
      <c r="Q19" s="597" t="n">
        <v>0</v>
      </c>
      <c r="R19" s="560" t="n">
        <v>2511817917</v>
      </c>
      <c r="S19" s="579" t="inlineStr">
        <is>
          <t>R25/166252</t>
        </is>
      </c>
    </row>
    <row r="20">
      <c r="B20" s="574" t="inlineStr">
        <is>
          <t>9915583648</t>
        </is>
      </c>
      <c r="C20" s="223" t="inlineStr">
        <is>
          <t>Approvata CVS</t>
        </is>
      </c>
      <c r="D20" s="574" t="inlineStr">
        <is>
          <t>Done</t>
        </is>
      </c>
      <c r="E20" s="574" t="inlineStr">
        <is>
          <t>CloseWon</t>
        </is>
      </c>
      <c r="F20" s="574" t="inlineStr">
        <is>
          <t>30/03/26</t>
        </is>
      </c>
      <c r="G20" s="579" t="inlineStr">
        <is>
          <t>Q3</t>
        </is>
      </c>
      <c r="H20" s="574" t="inlineStr">
        <is>
          <t>2717041428</t>
        </is>
      </c>
      <c r="I20" s="574" t="n"/>
      <c r="J20" s="574" t="inlineStr">
        <is>
          <t>Vedi file Lista Proposte in AlphaBank Security - General\Projects\BetaCredit\Application Security 4FTE</t>
        </is>
      </c>
      <c r="K20" s="579" t="inlineStr">
        <is>
          <t>BJRYD001</t>
        </is>
      </c>
      <c r="L20" s="579" t="inlineStr">
        <is>
          <t>BetaCredit - App Security Fase 5</t>
        </is>
      </c>
      <c r="M20" s="579" t="inlineStr">
        <is>
          <t>Riccardo Marino</t>
        </is>
      </c>
      <c r="N20" s="580" t="inlineStr">
        <is>
          <t>fatturata a marzo</t>
        </is>
      </c>
      <c r="O20" s="596" t="n">
        <v>22923.83</v>
      </c>
      <c r="P20" s="596" t="n">
        <v>22923.83</v>
      </c>
      <c r="Q20" s="597" t="n">
        <v>0</v>
      </c>
      <c r="R20" s="560" t="n">
        <v>4931490513</v>
      </c>
      <c r="S20" s="579" t="inlineStr">
        <is>
          <t>R26/33329</t>
        </is>
      </c>
    </row>
    <row r="21">
      <c r="B21" s="574" t="inlineStr">
        <is>
          <t>9997412455</t>
        </is>
      </c>
      <c r="C21" s="574" t="inlineStr">
        <is>
          <t>Approvata CVS</t>
        </is>
      </c>
      <c r="D21" s="574" t="inlineStr">
        <is>
          <t>Da Fatturare</t>
        </is>
      </c>
      <c r="E21" s="574" t="inlineStr">
        <is>
          <t>CloseWon</t>
        </is>
      </c>
      <c r="F21" s="574" t="inlineStr">
        <is>
          <t>30/04/26</t>
        </is>
      </c>
      <c r="G21" s="579" t="inlineStr">
        <is>
          <t>Q3</t>
        </is>
      </c>
      <c r="H21" s="574" t="inlineStr">
        <is>
          <t>5490916475</t>
        </is>
      </c>
      <c r="I21" s="574" t="inlineStr">
        <is>
          <t>47236</t>
        </is>
      </c>
      <c r="J21" s="574" t="inlineStr">
        <is>
          <t>9718669419</t>
        </is>
      </c>
      <c r="K21" s="579" t="inlineStr">
        <is>
          <t>BGTY8001</t>
        </is>
      </c>
      <c r="L21" s="579" t="inlineStr">
        <is>
          <t>Supporto alla robotica in ambito Ricertificazioni Utenze</t>
        </is>
      </c>
      <c r="M21" s="579" t="inlineStr">
        <is>
          <t>Stefano Rinaldi</t>
        </is>
      </c>
      <c r="N21" s="580" t="inlineStr">
        <is>
          <t>17k fatturati a maggio</t>
        </is>
      </c>
      <c r="O21" s="596" t="n">
        <v>29176.46</v>
      </c>
      <c r="P21" s="596" t="n">
        <v>14588.23</v>
      </c>
      <c r="Q21" s="597" t="n">
        <v>14588.23</v>
      </c>
      <c r="R21" s="560" t="inlineStr">
        <is>
          <t>fatt. 17k - 4499615227</t>
        </is>
      </c>
      <c r="S21" s="579" t="inlineStr">
        <is>
          <t>R26/49685</t>
        </is>
      </c>
    </row>
    <row r="22">
      <c r="B22" s="574" t="inlineStr">
        <is>
          <t>9997412455</t>
        </is>
      </c>
      <c r="C22" s="574" t="inlineStr">
        <is>
          <t>Approvata CVS</t>
        </is>
      </c>
      <c r="D22" s="574" t="inlineStr">
        <is>
          <t>Da Fatturare</t>
        </is>
      </c>
      <c r="E22" s="574" t="inlineStr">
        <is>
          <t>CloseWon</t>
        </is>
      </c>
      <c r="F22" s="574" t="inlineStr">
        <is>
          <t>30/04/26</t>
        </is>
      </c>
      <c r="G22" s="579" t="inlineStr">
        <is>
          <t>Q4</t>
        </is>
      </c>
      <c r="H22" s="574" t="inlineStr">
        <is>
          <t>2560984364</t>
        </is>
      </c>
      <c r="I22" s="574" t="inlineStr">
        <is>
          <t>35216</t>
        </is>
      </c>
      <c r="J22" s="574" t="inlineStr">
        <is>
          <t>1367835654</t>
        </is>
      </c>
      <c r="K22" s="579" t="inlineStr">
        <is>
          <t>BGTY8001</t>
        </is>
      </c>
      <c r="L22" s="579" t="inlineStr">
        <is>
          <t xml:space="preserve">Supporto ProdSec per campagna ricertificazione utenze 2026+ ispl </t>
        </is>
      </c>
      <c r="M22" s="579" t="inlineStr">
        <is>
          <t>Luca Gentile</t>
        </is>
      </c>
      <c r="N22" s="580" t="inlineStr">
        <is>
          <t>53k fatturati a giugno</t>
        </is>
      </c>
      <c r="O22" s="596" t="n">
        <v>47952.89</v>
      </c>
      <c r="P22" s="596" t="n">
        <v>43157.6</v>
      </c>
      <c r="Q22" s="597" t="n">
        <v>4795.29</v>
      </c>
      <c r="R22" s="560" t="inlineStr">
        <is>
          <t>fatt. 53k - 4499618375</t>
        </is>
      </c>
      <c r="S22" s="579" t="inlineStr">
        <is>
          <t>R26/75331</t>
        </is>
      </c>
    </row>
    <row r="23" ht="72.5" customHeight="1" s="564">
      <c r="B23" s="574" t="inlineStr">
        <is>
          <t>9997412455</t>
        </is>
      </c>
      <c r="C23" s="574" t="inlineStr">
        <is>
          <t>Inviata</t>
        </is>
      </c>
      <c r="D23" s="574" t="inlineStr">
        <is>
          <t>Done</t>
        </is>
      </c>
      <c r="E23" s="574" t="inlineStr">
        <is>
          <t>CloseWon</t>
        </is>
      </c>
      <c r="F23" s="574" t="inlineStr">
        <is>
          <t>30/04/26</t>
        </is>
      </c>
      <c r="G23" s="579" t="inlineStr">
        <is>
          <t>Q3</t>
        </is>
      </c>
      <c r="H23" s="574" t="inlineStr">
        <is>
          <t>9508732258</t>
        </is>
      </c>
      <c r="I23" s="574" t="inlineStr">
        <is>
          <t>25140</t>
        </is>
      </c>
      <c r="J23" s="574" t="inlineStr">
        <is>
          <t>1984341474</t>
        </is>
      </c>
      <c r="K23" s="579" t="inlineStr">
        <is>
          <t>BGTY8001</t>
        </is>
      </c>
      <c r="L23" s="579" t="inlineStr">
        <is>
          <t>DR - DMZR e Local Test 2026</t>
        </is>
      </c>
      <c r="M23" s="579" t="inlineStr">
        <is>
          <t>Andrea Leone</t>
        </is>
      </c>
      <c r="N23" s="580" t="inlineStr">
        <is>
          <t>Fatturazione 109k giugno
fatt. 4k luglio
copertura marzo/luglio 
+ quota team fusco (spazio costi 28.8 di fusco a giugno)</t>
        </is>
      </c>
      <c r="O23" s="605" t="n">
        <v>92517.17</v>
      </c>
      <c r="P23" s="597" t="n">
        <v>92517.17</v>
      </c>
      <c r="Q23" s="597" t="n">
        <v>0</v>
      </c>
      <c r="R23" s="246" t="inlineStr">
        <is>
          <t>fatt.109 - 4499617828
fatt. 4k - 4499621757</t>
        </is>
      </c>
      <c r="S23" s="579" t="inlineStr">
        <is>
          <t>R26/62041</t>
        </is>
      </c>
      <c r="T23" s="597" t="n"/>
    </row>
    <row r="24" ht="29" customHeight="1" s="564">
      <c r="B24" s="574" t="inlineStr">
        <is>
          <t>9997412455</t>
        </is>
      </c>
      <c r="C24" s="574" t="inlineStr">
        <is>
          <t>Approvata CVS</t>
        </is>
      </c>
      <c r="D24" s="574" t="inlineStr">
        <is>
          <t>Done</t>
        </is>
      </c>
      <c r="E24" s="574" t="inlineStr">
        <is>
          <t>CloseWon</t>
        </is>
      </c>
      <c r="F24" s="574" t="inlineStr">
        <is>
          <t>30/03/26</t>
        </is>
      </c>
      <c r="G24" s="579" t="inlineStr">
        <is>
          <t>Q3</t>
        </is>
      </c>
      <c r="H24" s="574" t="inlineStr">
        <is>
          <t>1636228661</t>
        </is>
      </c>
      <c r="I24" s="574" t="n"/>
      <c r="J24" s="574" t="inlineStr">
        <is>
          <t>Vedi file Lista Proposte in AlphaBank Security - General\Projects\BetaCredit\RDO2026</t>
        </is>
      </c>
      <c r="K24" s="579" t="inlineStr">
        <is>
          <t>BJRYD001</t>
        </is>
      </c>
      <c r="L24" s="579" t="inlineStr">
        <is>
          <t>BetaCredit Cyber Security - Antifrode 2026_fase1</t>
        </is>
      </c>
      <c r="M24" s="579" t="inlineStr">
        <is>
          <t>Riccardo Marino</t>
        </is>
      </c>
      <c r="N24" s="580" t="inlineStr">
        <is>
          <t>fatturazione ad aprile</t>
        </is>
      </c>
      <c r="O24" s="596" t="n">
        <v>37788.59</v>
      </c>
      <c r="P24" s="596" t="n">
        <v>37788.59</v>
      </c>
      <c r="Q24" s="597" t="n">
        <v>0</v>
      </c>
      <c r="R24" s="246" t="inlineStr">
        <is>
          <t>fatt. 25k - 4499611774
fatt. 21k - 4499611824</t>
        </is>
      </c>
      <c r="S24" s="579" t="inlineStr">
        <is>
          <t>R26/36609</t>
        </is>
      </c>
    </row>
    <row r="25" ht="29" customHeight="1" s="564">
      <c r="B25" s="574" t="inlineStr">
        <is>
          <t>9997412455</t>
        </is>
      </c>
      <c r="C25" s="574" t="inlineStr">
        <is>
          <t>Approvata CVS</t>
        </is>
      </c>
      <c r="D25" s="574" t="inlineStr">
        <is>
          <t>Da Fatturare</t>
        </is>
      </c>
      <c r="E25" s="574" t="inlineStr">
        <is>
          <t>CloseWon</t>
        </is>
      </c>
      <c r="F25" s="574" t="inlineStr">
        <is>
          <t>30/04/26</t>
        </is>
      </c>
      <c r="G25" s="579" t="inlineStr">
        <is>
          <t>Q3</t>
        </is>
      </c>
      <c r="H25" s="574" t="inlineStr">
        <is>
          <t>1771178594</t>
        </is>
      </c>
      <c r="I25" s="574" t="inlineStr">
        <is>
          <t>81428</t>
        </is>
      </c>
      <c r="J25" s="574" t="inlineStr">
        <is>
          <t>5572609612</t>
        </is>
      </c>
      <c r="K25" s="579" t="inlineStr">
        <is>
          <t>BGTY8001</t>
        </is>
      </c>
      <c r="L25" s="579" t="inlineStr">
        <is>
          <t>Microgmentation – ProdSec 2026</t>
        </is>
      </c>
      <c r="M25" s="579" t="inlineStr">
        <is>
          <t>Elisa Caruso</t>
        </is>
      </c>
      <c r="N25" s="580" t="inlineStr">
        <is>
          <t>43 k fatturati a maggio
5k fatturati a giugno</t>
        </is>
      </c>
      <c r="O25" s="602" t="n">
        <v>89461.17</v>
      </c>
      <c r="P25" s="596" t="n">
        <v>40257.54</v>
      </c>
      <c r="Q25" s="597" t="n">
        <v>49203.63</v>
      </c>
      <c r="R25" s="246" t="inlineStr">
        <is>
          <t>fatt. 43k - 4499614970
fatt. 5k - 4499617717</t>
        </is>
      </c>
      <c r="S25" s="579" t="inlineStr">
        <is>
          <t>R26/49994</t>
        </is>
      </c>
      <c r="T25" s="121" t="n"/>
    </row>
    <row r="26">
      <c r="B26" s="574" t="inlineStr">
        <is>
          <t>9997412455</t>
        </is>
      </c>
      <c r="C26" s="574" t="inlineStr">
        <is>
          <t>Approvata CVS</t>
        </is>
      </c>
      <c r="D26" s="574" t="inlineStr">
        <is>
          <t>Done</t>
        </is>
      </c>
      <c r="E26" s="574" t="inlineStr">
        <is>
          <t>CloseWon</t>
        </is>
      </c>
      <c r="F26" s="574" t="inlineStr">
        <is>
          <t>31/05/26</t>
        </is>
      </c>
      <c r="G26" s="579" t="inlineStr">
        <is>
          <t>Q3</t>
        </is>
      </c>
      <c r="H26" s="574" t="inlineStr">
        <is>
          <t>4678301026</t>
        </is>
      </c>
      <c r="I26" s="574" t="inlineStr">
        <is>
          <t>43301</t>
        </is>
      </c>
      <c r="J26" s="574" t="inlineStr">
        <is>
          <t>3107566952</t>
        </is>
      </c>
      <c r="K26" s="579" t="inlineStr">
        <is>
          <t>BGTY8001</t>
        </is>
      </c>
      <c r="L26" s="579" t="inlineStr">
        <is>
          <t>Add on servizio ZetaGroup</t>
        </is>
      </c>
      <c r="M26" s="579" t="inlineStr">
        <is>
          <t>Marco Esposito</t>
        </is>
      </c>
      <c r="N26" s="580" t="inlineStr">
        <is>
          <t>fatturato ad agosto</t>
        </is>
      </c>
      <c r="O26" s="601" t="n">
        <v>10832.84</v>
      </c>
      <c r="P26" s="596" t="n">
        <v>10832.84</v>
      </c>
      <c r="Q26" s="597" t="n">
        <v>0</v>
      </c>
      <c r="S26" s="579" t="inlineStr">
        <is>
          <t>R26/62043</t>
        </is>
      </c>
    </row>
    <row r="27">
      <c r="B27" s="574" t="inlineStr">
        <is>
          <t>9915583648</t>
        </is>
      </c>
      <c r="C27" s="574" t="inlineStr">
        <is>
          <t>Approvata CVS</t>
        </is>
      </c>
      <c r="D27" s="574" t="inlineStr">
        <is>
          <t>Done</t>
        </is>
      </c>
      <c r="E27" s="574" t="inlineStr">
        <is>
          <t>CloseWon</t>
        </is>
      </c>
      <c r="F27" s="574" t="inlineStr">
        <is>
          <t>31/05/26</t>
        </is>
      </c>
      <c r="G27" s="579" t="inlineStr">
        <is>
          <t>Q3</t>
        </is>
      </c>
      <c r="H27" s="574" t="inlineStr">
        <is>
          <t>1255351554</t>
        </is>
      </c>
      <c r="I27" s="574" t="n"/>
      <c r="J27" s="574" t="inlineStr">
        <is>
          <t>SCTASK7488840</t>
        </is>
      </c>
      <c r="K27" s="579" t="inlineStr">
        <is>
          <t>BJRYD001</t>
        </is>
      </c>
      <c r="L27" s="579" t="inlineStr">
        <is>
          <t>BetaCredit - Supporto Antifrode</t>
        </is>
      </c>
      <c r="M27" s="579" t="inlineStr">
        <is>
          <t>Riccardo Romano</t>
        </is>
      </c>
      <c r="N27" s="580" t="inlineStr">
        <is>
          <t xml:space="preserve">fatturazione ad aprile </t>
        </is>
      </c>
      <c r="O27" s="596" t="n">
        <v>100045</v>
      </c>
      <c r="P27" s="596" t="n">
        <v>100045</v>
      </c>
      <c r="Q27" s="597" t="n">
        <v>0</v>
      </c>
      <c r="R27" s="560" t="n">
        <v>6251433575</v>
      </c>
      <c r="S27" s="579" t="inlineStr">
        <is>
          <t>R26/49689</t>
        </is>
      </c>
    </row>
    <row r="28" ht="43.5" customHeight="1" s="564">
      <c r="B28" s="574" t="inlineStr">
        <is>
          <t>9915583648</t>
        </is>
      </c>
      <c r="C28" s="574" t="inlineStr">
        <is>
          <t>Inviata</t>
        </is>
      </c>
      <c r="D28" s="574" t="inlineStr">
        <is>
          <t>MMS</t>
        </is>
      </c>
      <c r="E28" s="574" t="inlineStr">
        <is>
          <t>CloseWon</t>
        </is>
      </c>
      <c r="F28" s="574" t="inlineStr">
        <is>
          <t>30/08/26</t>
        </is>
      </c>
      <c r="G28" s="574" t="inlineStr">
        <is>
          <t>Q4</t>
        </is>
      </c>
      <c r="H28" s="574" t="inlineStr">
        <is>
          <t>0143093331</t>
        </is>
      </c>
      <c r="I28" s="574" t="n"/>
      <c r="J28" s="574" t="inlineStr">
        <is>
          <t>ORF/527/2026</t>
        </is>
      </c>
      <c r="K28" s="579" t="inlineStr">
        <is>
          <t>BJRYD001</t>
        </is>
      </c>
      <c r="L28" s="579" t="inlineStr">
        <is>
          <t>BetaCredit - Cybersecurity Q1</t>
        </is>
      </c>
      <c r="M28" s="579" t="inlineStr">
        <is>
          <t>Riccardo Marino</t>
        </is>
      </c>
      <c r="N28" s="580" t="n"/>
      <c r="O28" s="596" t="n">
        <v>95029.92</v>
      </c>
      <c r="P28" s="596" t="n"/>
      <c r="Q28" s="597" t="n">
        <v>95029.92</v>
      </c>
      <c r="S28" s="579" t="inlineStr">
        <is>
          <t>R26/104519</t>
        </is>
      </c>
      <c r="T28" s="580" t="inlineStr">
        <is>
          <t>nuovo contratto fatturazione con pagamento a 60 gg</t>
        </is>
      </c>
    </row>
    <row r="29" ht="101.5" customHeight="1" s="564">
      <c r="B29" s="574" t="inlineStr">
        <is>
          <t>9915583648</t>
        </is>
      </c>
      <c r="C29" s="574" t="inlineStr">
        <is>
          <t>Approvata CVS</t>
        </is>
      </c>
      <c r="D29" s="574" t="inlineStr">
        <is>
          <t>Done</t>
        </is>
      </c>
      <c r="E29" s="574" t="inlineStr">
        <is>
          <t>CloseWon</t>
        </is>
      </c>
      <c r="F29" s="574" t="inlineStr">
        <is>
          <t>31/05/26</t>
        </is>
      </c>
      <c r="G29" s="579" t="inlineStr">
        <is>
          <t>Q3</t>
        </is>
      </c>
      <c r="H29" s="574" t="inlineStr">
        <is>
          <t>9872414804</t>
        </is>
      </c>
      <c r="I29" s="574" t="n"/>
      <c r="J29" s="574" t="inlineStr">
        <is>
          <t>Vedi file Lista Proposte in AlphaBank Security - General\Projects\BetaCredit\RDO2026</t>
        </is>
      </c>
      <c r="K29" s="579" t="inlineStr">
        <is>
          <t>BJRYD001</t>
        </is>
      </c>
      <c r="L29" s="579" t="inlineStr">
        <is>
          <t>BetaCredit Cyber Security 2026_fase3</t>
        </is>
      </c>
      <c r="M29" s="579" t="inlineStr">
        <is>
          <t>Riccardo Marino</t>
        </is>
      </c>
      <c r="N29" s="580" t="n"/>
      <c r="O29" s="596" t="n">
        <v>21813.14</v>
      </c>
      <c r="P29" s="596" t="n">
        <v>21813.14</v>
      </c>
      <c r="Q29" s="597" t="n">
        <v>0</v>
      </c>
      <c r="R29" s="246" t="inlineStr">
        <is>
          <t>fatt. 8k - 4499614226 
fatt. 600 - 4499614244 
fatt. 1k - 4499614295 
fatt. 6k - 4499614262 
fatt. 5k - 4499614243 
fatt. 2k - 4499614232 
fatt. 1k - 4499614893</t>
        </is>
      </c>
      <c r="S29" s="579" t="inlineStr">
        <is>
          <t>R26/65267</t>
        </is>
      </c>
    </row>
    <row r="30" ht="58" customHeight="1" s="564">
      <c r="B30" s="574" t="inlineStr">
        <is>
          <t>9915583648</t>
        </is>
      </c>
      <c r="C30" s="574" t="inlineStr">
        <is>
          <t>Approvata CVS</t>
        </is>
      </c>
      <c r="D30" s="574" t="inlineStr">
        <is>
          <t>Done</t>
        </is>
      </c>
      <c r="E30" s="574" t="inlineStr">
        <is>
          <t>CloseWon</t>
        </is>
      </c>
      <c r="F30" s="574" t="inlineStr">
        <is>
          <t>30/06/26</t>
        </is>
      </c>
      <c r="G30" s="574" t="inlineStr">
        <is>
          <t>Q4</t>
        </is>
      </c>
      <c r="H30" s="574" t="inlineStr">
        <is>
          <t>2179551770</t>
        </is>
      </c>
      <c r="I30" s="574" t="n"/>
      <c r="J30" s="574" t="n"/>
      <c r="K30" s="579" t="inlineStr">
        <is>
          <t>BJRYD001</t>
        </is>
      </c>
      <c r="L30" s="579" t="inlineStr">
        <is>
          <t>BetaCredit - CyberSec Assessment Fase4</t>
        </is>
      </c>
      <c r="M30" s="579" t="inlineStr">
        <is>
          <t>Riccardo Marino</t>
        </is>
      </c>
      <c r="N30" s="606" t="n"/>
      <c r="O30" s="596" t="n">
        <v>8377.540000000001</v>
      </c>
      <c r="P30" s="596" t="n">
        <v>8377.540000000001</v>
      </c>
      <c r="Q30" s="597" t="n">
        <v>0</v>
      </c>
      <c r="R30" s="246" t="inlineStr">
        <is>
          <t>fatt. 5k - 4499617104 
fatt. 2k - 4499617097 
fatt. 800 - 4499617078 
fatt. 2k - 4499617083</t>
        </is>
      </c>
      <c r="S30" s="579" t="inlineStr">
        <is>
          <t>R26/78444</t>
        </is>
      </c>
    </row>
    <row r="31" ht="43.5" customHeight="1" s="564">
      <c r="B31" s="574" t="inlineStr">
        <is>
          <t>9915583648</t>
        </is>
      </c>
      <c r="C31" s="574" t="inlineStr">
        <is>
          <t>Inviata</t>
        </is>
      </c>
      <c r="D31" s="574" t="inlineStr">
        <is>
          <t>MMS</t>
        </is>
      </c>
      <c r="E31" s="574" t="inlineStr">
        <is>
          <t>3B</t>
        </is>
      </c>
      <c r="F31" s="574" t="inlineStr">
        <is>
          <t>30/08/26</t>
        </is>
      </c>
      <c r="G31" s="574" t="inlineStr">
        <is>
          <t>Q4</t>
        </is>
      </c>
      <c r="H31" s="574" t="inlineStr">
        <is>
          <t>8498164406</t>
        </is>
      </c>
      <c r="I31" s="574" t="n"/>
      <c r="J31" s="574" t="n"/>
      <c r="K31" s="579" t="inlineStr">
        <is>
          <t>BJRYD001</t>
        </is>
      </c>
      <c r="L31" s="385" t="inlineStr">
        <is>
          <t>BetaCredit - Cybersecurity Q2</t>
        </is>
      </c>
      <c r="M31" s="579" t="inlineStr">
        <is>
          <t>Riccardo Marino</t>
        </is>
      </c>
      <c r="N31" s="606" t="n"/>
      <c r="O31" s="596" t="n">
        <v>117717.3</v>
      </c>
      <c r="P31" s="597" t="n"/>
      <c r="Q31" s="597" t="n">
        <v>117717.3</v>
      </c>
      <c r="T31" s="580" t="inlineStr">
        <is>
          <t>nuovo contratto fatturazione con pagamento a 60 gg</t>
        </is>
      </c>
    </row>
    <row r="32">
      <c r="L32" s="580" t="n"/>
      <c r="M32" s="607" t="n"/>
      <c r="N32" s="601" t="n"/>
      <c r="O32" s="597" t="n"/>
      <c r="Q32" s="597" t="n"/>
      <c r="U32" s="597" t="n"/>
    </row>
    <row r="33">
      <c r="L33" s="580" t="n"/>
      <c r="M33" s="607" t="n"/>
      <c r="N33" s="596" t="n"/>
      <c r="Q33" s="597" t="n"/>
    </row>
    <row r="34">
      <c r="N34" s="601" t="n"/>
      <c r="O34" s="601" t="n"/>
    </row>
    <row r="35">
      <c r="H35" s="574" t="n"/>
      <c r="N35" s="601" t="n"/>
      <c r="O35" s="601" t="n"/>
      <c r="R35" s="246" t="n"/>
      <c r="S35" s="608" t="n"/>
    </row>
    <row r="36">
      <c r="H36" s="574" t="n"/>
      <c r="N36" s="596" t="n"/>
      <c r="R36" s="246" t="n"/>
      <c r="S36" s="606" t="n"/>
    </row>
    <row r="37">
      <c r="M37" s="130" t="n"/>
    </row>
    <row r="38">
      <c r="M38" s="130" t="n"/>
    </row>
    <row r="39"/>
    <row r="40"/>
    <row r="41">
      <c r="R41" s="134" t="n"/>
      <c r="S41" s="134" t="n"/>
      <c r="T41" s="134" t="n"/>
      <c r="U41" s="134" t="n"/>
    </row>
    <row r="42">
      <c r="R42" s="609" t="n"/>
      <c r="S42" s="609" t="n"/>
      <c r="T42" s="610" t="n"/>
      <c r="U42" s="610" t="n"/>
    </row>
    <row r="43">
      <c r="R43" s="609" t="n"/>
      <c r="S43" s="609" t="n"/>
      <c r="T43" s="609" t="n"/>
      <c r="U43" s="609" t="n"/>
    </row>
    <row r="44">
      <c r="R44" s="609" t="n"/>
      <c r="S44" s="609" t="n"/>
      <c r="T44" s="609" t="n"/>
      <c r="U44" s="609" t="n"/>
    </row>
    <row r="45">
      <c r="R45" s="609" t="n"/>
      <c r="S45" s="609" t="n"/>
      <c r="T45" s="609" t="n"/>
      <c r="U45" s="609" t="n"/>
    </row>
    <row r="46">
      <c r="R46" s="610" t="n"/>
      <c r="S46" s="610" t="n"/>
      <c r="T46" s="610" t="n"/>
      <c r="U46" s="610" t="n"/>
    </row>
    <row r="47">
      <c r="R47" s="497" t="n"/>
      <c r="S47" s="497" t="n"/>
      <c r="T47" s="497" t="n"/>
      <c r="U47" s="497" t="n"/>
    </row>
  </sheetData>
  <conditionalFormatting sqref="D1:D1048576">
    <cfRule type="containsText" priority="6" operator="containsText" dxfId="61" text="Da Fatturare">
      <formula>NOT(ISERROR(SEARCH("Da Fatturare",D1)))</formula>
    </cfRule>
  </conditionalFormatting>
  <conditionalFormatting sqref="R47:U47">
    <cfRule type="dataBar" priority="1">
      <dataBar>
        <cfvo type="num" val="0"/>
        <cfvo type="num" val="1"/>
        <color rgb="FF638EC6"/>
      </dataBar>
    </cfRule>
    <cfRule type="dataBar" priority="2">
      <dataBar>
        <cfvo type="min"/>
        <cfvo type="max"/>
        <color rgb="FF638EC6"/>
      </dataBar>
    </cfRule>
    <cfRule type="dataBar" priority="3">
      <dataBar>
        <cfvo type="min"/>
        <cfvo type="max"/>
        <color rgb="FF638EC6"/>
      </dataBar>
    </cfRule>
    <cfRule type="dataBar" priority="4">
      <dataBar>
        <cfvo type="min"/>
        <cfvo type="max"/>
        <color rgb="FF638EC6"/>
      </dataBar>
    </cfRule>
  </conditionalFormatting>
  <dataValidations count="3">
    <dataValidation sqref="C3:C31" showDropDown="0" showInputMessage="1" showErrorMessage="1" allowBlank="1" type="list">
      <formula1>"Da Inviare,Inviata,Approvata CVS"</formula1>
    </dataValidation>
    <dataValidation sqref="E3:E31" showDropDown="0" showInputMessage="1" showErrorMessage="1" allowBlank="1" type="list">
      <formula1>"1,2,3,3B,CloseWon"</formula1>
    </dataValidation>
    <dataValidation sqref="D2:D31" showDropDown="0" showInputMessage="1" showErrorMessage="1" allowBlank="1" type="list">
      <formula1>"Da Processare,MMS,MMR,MME,Done,Da Fatturare"</formula1>
    </dataValidation>
  </dataValidations>
  <hyperlinks>
    <hyperlink xmlns:r="http://schemas.openxmlformats.org/officeDocument/2006/relationships" ref="R27" tooltip="Attached on 2026-04-29 09:35:54" display="https://support-close.accenture.com/sys_attachment.do?sys_id=364e4b25c36007d42bf11e5ce0013157" r:id="rId1"/>
  </hyperlinks>
  <pageMargins left="0.7" right="0.7" top="0.75" bottom="0.75" header="0.3" footer="0.3"/>
  <pageSetup orientation="portrait" paperSize="9"/>
  <tableParts count="1">
    <tablePart xmlns:r="http://schemas.openxmlformats.org/officeDocument/2006/relationships" r:id="rId2"/>
  </tableParts>
</worksheet>
</file>

<file path=xl/worksheets/sheet5.xml><?xml version="1.0" encoding="utf-8"?>
<worksheet xmlns="http://schemas.openxmlformats.org/spreadsheetml/2006/main">
  <sheetPr codeName="Sheet23">
    <outlinePr summaryBelow="1" summaryRight="1"/>
    <pageSetUpPr/>
  </sheetPr>
  <dimension ref="A1:U25"/>
  <sheetViews>
    <sheetView zoomScale="60" zoomScaleNormal="60" zoomScaleSheetLayoutView="70" workbookViewId="0">
      <selection activeCell="H23" activeCellId="1" sqref="L23 H23"/>
    </sheetView>
  </sheetViews>
  <sheetFormatPr baseColWidth="8" defaultColWidth="8.81640625" defaultRowHeight="14.5"/>
  <cols>
    <col width="4.54296875" customWidth="1" style="579" min="1" max="1"/>
    <col width="11.81640625" bestFit="1" customWidth="1" style="579" min="2" max="2"/>
    <col width="13.54296875" customWidth="1" style="579" min="3" max="3"/>
    <col width="19.54296875" customWidth="1" style="579" min="4" max="4"/>
    <col width="14.7265625" bestFit="1" customWidth="1" style="579" min="5" max="5"/>
    <col width="13.54296875" bestFit="1" customWidth="1" style="579" min="6" max="6"/>
    <col width="10.36328125" customWidth="1" style="579" min="7" max="7"/>
    <col width="15.81640625" customWidth="1" style="579" min="8" max="8"/>
    <col width="11.453125" customWidth="1" style="579" min="9" max="9"/>
    <col width="17.7265625" customWidth="1" style="579" min="10" max="10"/>
    <col width="14.54296875" bestFit="1" customWidth="1" style="579" min="11" max="11"/>
    <col width="54.81640625" customWidth="1" style="579" min="12" max="12"/>
    <col width="37.1796875" bestFit="1" customWidth="1" style="579" min="13" max="13"/>
    <col width="37" customWidth="1" style="579" min="14" max="14"/>
    <col width="19.81640625" customWidth="1" style="579" min="15" max="17"/>
    <col width="22.54296875" customWidth="1" style="560" min="18" max="18"/>
    <col width="22.54296875" customWidth="1" style="579" min="19" max="19"/>
    <col width="13.26953125" bestFit="1" customWidth="1" style="580" min="20" max="20"/>
    <col width="13.08984375" bestFit="1" customWidth="1" style="579" min="21" max="21"/>
    <col width="10.453125" bestFit="1" customWidth="1" style="579" min="22" max="22"/>
    <col width="8.81640625" customWidth="1" style="579" min="23" max="16384"/>
  </cols>
  <sheetData>
    <row r="1"/>
    <row r="2">
      <c r="B2" s="579" t="inlineStr">
        <is>
          <t>Contract</t>
        </is>
      </c>
      <c r="C2" s="579" t="inlineStr">
        <is>
          <t>PDS Status</t>
        </is>
      </c>
      <c r="D2" s="579" t="inlineStr">
        <is>
          <t>Stato ACN Tool</t>
        </is>
      </c>
      <c r="E2" s="579" t="inlineStr">
        <is>
          <t>MMS Status</t>
        </is>
      </c>
      <c r="F2" s="579" t="inlineStr">
        <is>
          <t>Close Date</t>
        </is>
      </c>
      <c r="G2" s="579" t="inlineStr">
        <is>
          <t>Close Date Quarter</t>
        </is>
      </c>
      <c r="H2" s="579" t="inlineStr">
        <is>
          <t>Opp ID MMS</t>
        </is>
      </c>
      <c r="I2" s="579" t="inlineStr">
        <is>
          <t>AlphaBank Contract (CCP)</t>
        </is>
      </c>
      <c r="J2" s="579" t="inlineStr">
        <is>
          <t>ODA ID</t>
        </is>
      </c>
      <c r="K2" s="579" t="inlineStr">
        <is>
          <t>WBS</t>
        </is>
      </c>
      <c r="L2" s="579" t="inlineStr">
        <is>
          <t>Project</t>
        </is>
      </c>
      <c r="M2" s="579" t="inlineStr">
        <is>
          <t>Ref Name</t>
        </is>
      </c>
      <c r="N2" s="579" t="inlineStr">
        <is>
          <t>Piano Fatturazione Concordato</t>
        </is>
      </c>
      <c r="O2" s="579" t="inlineStr">
        <is>
          <t>Revenues</t>
        </is>
      </c>
      <c r="P2" s="579" t="inlineStr">
        <is>
          <t>Billed</t>
        </is>
      </c>
      <c r="Q2" s="579" t="inlineStr">
        <is>
          <t>To be billed</t>
        </is>
      </c>
      <c r="R2" s="560" t="inlineStr">
        <is>
          <t>Nr. Fattura</t>
        </is>
      </c>
      <c r="S2" s="579" t="inlineStr">
        <is>
          <t>MMR Code</t>
        </is>
      </c>
      <c r="T2" s="580" t="inlineStr">
        <is>
          <t>Note</t>
        </is>
      </c>
    </row>
    <row r="3">
      <c r="B3" s="574" t="inlineStr">
        <is>
          <t>9997412455</t>
        </is>
      </c>
      <c r="C3" s="574" t="inlineStr">
        <is>
          <t>Inviata</t>
        </is>
      </c>
      <c r="D3" s="574" t="inlineStr">
        <is>
          <t>MMS</t>
        </is>
      </c>
      <c r="E3" s="574" t="inlineStr">
        <is>
          <t>1</t>
        </is>
      </c>
      <c r="F3" s="574" t="inlineStr">
        <is>
          <t>30/09/2026</t>
        </is>
      </c>
      <c r="G3" s="574" t="inlineStr">
        <is>
          <t>Q1</t>
        </is>
      </c>
      <c r="H3" s="574" t="inlineStr">
        <is>
          <t>3503132130</t>
        </is>
      </c>
      <c r="I3" s="574" t="inlineStr">
        <is>
          <t>01079</t>
        </is>
      </c>
      <c r="J3" s="574" t="n"/>
      <c r="K3" s="579" t="inlineStr">
        <is>
          <t>BGTY8001</t>
        </is>
      </c>
      <c r="L3" s="365" t="inlineStr">
        <is>
          <t>Add on servizio ZetaGroup 2 - Lateral Movement, revisione regole firewall di interconnessione e internet</t>
        </is>
      </c>
      <c r="M3" s="579" t="inlineStr">
        <is>
          <t>Marco Esposito</t>
        </is>
      </c>
      <c r="N3" s="580" t="n"/>
      <c r="O3" s="602" t="n">
        <v>26665.4</v>
      </c>
      <c r="Q3" s="601" t="n">
        <v>26665.4</v>
      </c>
    </row>
    <row r="4">
      <c r="B4" s="574" t="inlineStr">
        <is>
          <t>TBD</t>
        </is>
      </c>
      <c r="C4" s="574" t="inlineStr">
        <is>
          <t>Inviata</t>
        </is>
      </c>
      <c r="D4" s="574" t="inlineStr">
        <is>
          <t>MMS</t>
        </is>
      </c>
      <c r="E4" s="574" t="inlineStr">
        <is>
          <t>1</t>
        </is>
      </c>
      <c r="F4" s="574" t="inlineStr">
        <is>
          <t>31/10/2026</t>
        </is>
      </c>
      <c r="G4" s="574" t="inlineStr">
        <is>
          <t>Q1</t>
        </is>
      </c>
      <c r="H4" s="574" t="inlineStr">
        <is>
          <t>7162643012</t>
        </is>
      </c>
      <c r="I4" s="574" t="n"/>
      <c r="J4" s="574" t="n"/>
      <c r="L4" s="579" t="inlineStr">
        <is>
          <t>Production Security Support</t>
        </is>
      </c>
      <c r="M4" s="293" t="inlineStr">
        <is>
          <t>Antonio D'Auria</t>
        </is>
      </c>
      <c r="N4" s="484" t="inlineStr">
        <is>
          <t>da fine ottobre su q1</t>
        </is>
      </c>
      <c r="O4" s="602" t="n">
        <v>130192</v>
      </c>
      <c r="P4" s="293" t="n"/>
      <c r="Q4" s="601" t="n">
        <v>130192</v>
      </c>
    </row>
    <row r="5">
      <c r="B5" s="574" t="inlineStr">
        <is>
          <t>TBD</t>
        </is>
      </c>
      <c r="C5" s="574" t="inlineStr">
        <is>
          <t>Inviata</t>
        </is>
      </c>
      <c r="D5" s="574" t="inlineStr">
        <is>
          <t>MMS</t>
        </is>
      </c>
      <c r="E5" s="574" t="inlineStr">
        <is>
          <t>1</t>
        </is>
      </c>
      <c r="F5" s="574" t="inlineStr">
        <is>
          <t>31/12/2026</t>
        </is>
      </c>
      <c r="G5" s="574" t="inlineStr">
        <is>
          <t>Q2</t>
        </is>
      </c>
      <c r="H5" s="574" t="inlineStr">
        <is>
          <t>4510687035</t>
        </is>
      </c>
      <c r="I5" s="574" t="n"/>
      <c r="J5" s="574" t="n"/>
      <c r="L5" s="579" t="inlineStr">
        <is>
          <t>OmegaPay - Security Cloud Architect</t>
        </is>
      </c>
      <c r="M5" s="579" t="inlineStr">
        <is>
          <t>Anna Santoro</t>
        </is>
      </c>
      <c r="N5" s="606" t="n"/>
      <c r="O5" s="602" t="n">
        <v>56959</v>
      </c>
      <c r="Q5" s="601" t="n">
        <v>56959</v>
      </c>
    </row>
    <row r="6">
      <c r="B6" s="574" t="inlineStr">
        <is>
          <t>TBD</t>
        </is>
      </c>
      <c r="C6" s="574" t="inlineStr">
        <is>
          <t>Inviata</t>
        </is>
      </c>
      <c r="D6" s="574" t="inlineStr">
        <is>
          <t>MMS</t>
        </is>
      </c>
      <c r="E6" s="574" t="inlineStr">
        <is>
          <t>1</t>
        </is>
      </c>
      <c r="F6" s="574" t="inlineStr">
        <is>
          <t>31/12/2026</t>
        </is>
      </c>
      <c r="G6" s="574" t="inlineStr">
        <is>
          <t>Q2</t>
        </is>
      </c>
      <c r="H6" s="574" t="inlineStr">
        <is>
          <t>5975006777</t>
        </is>
      </c>
      <c r="I6" s="574" t="n"/>
      <c r="J6" s="574" t="n"/>
      <c r="L6" s="579" t="inlineStr">
        <is>
          <t>OmegaPay - TLPT</t>
        </is>
      </c>
      <c r="M6" s="579" t="inlineStr">
        <is>
          <t>Anna Santoro</t>
        </is>
      </c>
      <c r="N6" s="606" t="n"/>
      <c r="O6" s="602" t="n">
        <v>24411</v>
      </c>
      <c r="Q6" s="601" t="n">
        <v>24411</v>
      </c>
    </row>
    <row r="7">
      <c r="B7" s="574" t="inlineStr">
        <is>
          <t>9997412455</t>
        </is>
      </c>
      <c r="C7" s="574" t="inlineStr">
        <is>
          <t>Da Inviare</t>
        </is>
      </c>
      <c r="D7" s="574" t="inlineStr">
        <is>
          <t>MMS</t>
        </is>
      </c>
      <c r="E7" s="574" t="inlineStr">
        <is>
          <t>1</t>
        </is>
      </c>
      <c r="F7" s="574" t="inlineStr">
        <is>
          <t>30/11/2026</t>
        </is>
      </c>
      <c r="G7" s="574" t="inlineStr">
        <is>
          <t>Q1</t>
        </is>
      </c>
      <c r="H7" s="574" t="inlineStr">
        <is>
          <t>6482436275</t>
        </is>
      </c>
      <c r="I7" s="574" t="n"/>
      <c r="J7" s="574" t="n"/>
      <c r="K7" s="579" t="inlineStr">
        <is>
          <t>BGTY8001</t>
        </is>
      </c>
      <c r="L7" s="579" t="inlineStr">
        <is>
          <t>AlphaBank - Mythos Assessment Cyber.AI</t>
        </is>
      </c>
      <c r="N7" s="606" t="inlineStr">
        <is>
          <t>ottobre</t>
        </is>
      </c>
      <c r="O7" s="602" t="n">
        <v>122055</v>
      </c>
      <c r="P7" s="597" t="n"/>
      <c r="Q7" s="601" t="n">
        <v>122055</v>
      </c>
    </row>
    <row r="8">
      <c r="B8" s="574" t="inlineStr">
        <is>
          <t>9915583648</t>
        </is>
      </c>
      <c r="C8" s="574" t="inlineStr">
        <is>
          <t>Da Inviare</t>
        </is>
      </c>
      <c r="D8" s="574" t="inlineStr">
        <is>
          <t>MMS</t>
        </is>
      </c>
      <c r="E8" s="574" t="inlineStr">
        <is>
          <t>1</t>
        </is>
      </c>
      <c r="F8" s="574" t="inlineStr">
        <is>
          <t>30/11/2026</t>
        </is>
      </c>
      <c r="G8" s="574" t="inlineStr">
        <is>
          <t>Q1</t>
        </is>
      </c>
      <c r="H8" s="574" t="inlineStr">
        <is>
          <t>0169737361</t>
        </is>
      </c>
      <c r="I8" s="574" t="n"/>
      <c r="J8" s="574" t="n"/>
      <c r="L8" s="579" t="inlineStr">
        <is>
          <t>BetaCredit - Mythos Assessment Cyber.AI</t>
        </is>
      </c>
      <c r="N8" s="606" t="inlineStr">
        <is>
          <t>ottobre</t>
        </is>
      </c>
      <c r="O8" s="602" t="n">
        <v>122055</v>
      </c>
      <c r="P8" s="597" t="n"/>
      <c r="Q8" s="601" t="n">
        <v>122055</v>
      </c>
    </row>
    <row r="9" ht="29" customHeight="1" s="564">
      <c r="B9" s="574" t="inlineStr">
        <is>
          <t>9997412455</t>
        </is>
      </c>
      <c r="C9" s="574" t="inlineStr">
        <is>
          <t>Da Inviare</t>
        </is>
      </c>
      <c r="D9" s="574" t="inlineStr">
        <is>
          <t>MMS</t>
        </is>
      </c>
      <c r="E9" s="574" t="inlineStr">
        <is>
          <t>1</t>
        </is>
      </c>
      <c r="F9" s="574" t="inlineStr">
        <is>
          <t>31/10/2026</t>
        </is>
      </c>
      <c r="G9" s="574" t="inlineStr">
        <is>
          <t>Q1</t>
        </is>
      </c>
      <c r="H9" s="574" t="inlineStr">
        <is>
          <t>1641802166</t>
        </is>
      </c>
      <c r="I9" s="574" t="n"/>
      <c r="J9" s="574" t="n"/>
      <c r="K9" s="579" t="inlineStr">
        <is>
          <t>BGTY8001</t>
        </is>
      </c>
      <c r="L9" s="579" t="inlineStr">
        <is>
          <t>AlphaBank RFP - DR Local 2027-2029</t>
        </is>
      </c>
      <c r="N9" s="580" t="inlineStr">
        <is>
          <t>da ottobre IMS win 50% 100% sec - triennale ottobre 2026 ottobre 2029</t>
        </is>
      </c>
      <c r="O9" s="602" t="n">
        <v>325480</v>
      </c>
      <c r="P9" s="597" t="n"/>
      <c r="Q9" s="601" t="n">
        <v>325480</v>
      </c>
    </row>
    <row r="10">
      <c r="B10" s="574" t="inlineStr">
        <is>
          <t>9915583648</t>
        </is>
      </c>
      <c r="C10" s="574" t="inlineStr">
        <is>
          <t>Da Inviare</t>
        </is>
      </c>
      <c r="D10" s="574" t="inlineStr">
        <is>
          <t>MMS</t>
        </is>
      </c>
      <c r="E10" s="574" t="inlineStr">
        <is>
          <t>1</t>
        </is>
      </c>
      <c r="F10" s="574" t="inlineStr">
        <is>
          <t>31/12/2026</t>
        </is>
      </c>
      <c r="G10" s="574" t="inlineStr">
        <is>
          <t>Q2</t>
        </is>
      </c>
      <c r="H10" s="574" t="inlineStr">
        <is>
          <t>1374548316</t>
        </is>
      </c>
      <c r="I10" s="574" t="n"/>
      <c r="J10" s="574" t="n"/>
      <c r="K10" s="579" t="inlineStr">
        <is>
          <t>BJRYD001</t>
        </is>
      </c>
      <c r="L10" s="579" t="inlineStr">
        <is>
          <t>BetaCredit_PMO SAST</t>
        </is>
      </c>
      <c r="N10" s="606" t="inlineStr">
        <is>
          <t>da settembre pmo Oppi 50k ivati</t>
        </is>
      </c>
      <c r="O10" s="602" t="n">
        <v>33348.36</v>
      </c>
      <c r="Q10" s="601" t="n">
        <v>33348.36</v>
      </c>
      <c r="U10" s="597" t="n"/>
    </row>
    <row r="11" ht="29" customHeight="1" s="564">
      <c r="B11" s="574" t="inlineStr">
        <is>
          <t>9915583648</t>
        </is>
      </c>
      <c r="C11" s="574" t="inlineStr">
        <is>
          <t>Da Inviare</t>
        </is>
      </c>
      <c r="D11" s="574" t="inlineStr">
        <is>
          <t>MMS</t>
        </is>
      </c>
      <c r="E11" s="574" t="inlineStr">
        <is>
          <t>1</t>
        </is>
      </c>
      <c r="F11" s="574" t="inlineStr">
        <is>
          <t>30/09/26</t>
        </is>
      </c>
      <c r="G11" s="574" t="inlineStr">
        <is>
          <t>Q1</t>
        </is>
      </c>
      <c r="H11" s="574" t="inlineStr">
        <is>
          <t>5439965075</t>
        </is>
      </c>
      <c r="I11" s="574" t="n"/>
      <c r="J11" s="574" t="n"/>
      <c r="K11" s="579" t="inlineStr">
        <is>
          <t>BJRYD001</t>
        </is>
      </c>
      <c r="L11" s="579" t="inlineStr">
        <is>
          <t>Giorgio Conti</t>
        </is>
      </c>
      <c r="M11" s="579" t="inlineStr">
        <is>
          <t>Riccardo Romano</t>
        </is>
      </c>
      <c r="N11" s="580" t="inlineStr">
        <is>
          <t>40k sono di tomasina da sett e 7.2 nostri + 3k di bd x tomasina</t>
        </is>
      </c>
      <c r="O11" s="602" t="n">
        <v>60027</v>
      </c>
      <c r="Q11" s="601" t="n">
        <v>60027</v>
      </c>
    </row>
    <row r="12" ht="58" customHeight="1" s="564">
      <c r="B12" s="574" t="inlineStr">
        <is>
          <t>9997412455</t>
        </is>
      </c>
      <c r="C12" s="574" t="inlineStr">
        <is>
          <t>Da Inviare</t>
        </is>
      </c>
      <c r="D12" s="574" t="inlineStr">
        <is>
          <t>MMS</t>
        </is>
      </c>
      <c r="E12" s="574" t="inlineStr">
        <is>
          <t>1</t>
        </is>
      </c>
      <c r="F12" s="574" t="inlineStr">
        <is>
          <t>30/09/26</t>
        </is>
      </c>
      <c r="G12" s="574" t="inlineStr">
        <is>
          <t>Q1</t>
        </is>
      </c>
      <c r="H12" s="574" t="inlineStr">
        <is>
          <t>0298203211</t>
        </is>
      </c>
      <c r="I12" s="574" t="n"/>
      <c r="J12" s="574" t="n"/>
      <c r="L12" s="579" t="inlineStr">
        <is>
          <t>AlphaBank RFP - Microsegmentazione 2027</t>
        </is>
      </c>
      <c r="M12" s="579" t="inlineStr">
        <is>
          <t>Elisa Caruso</t>
        </is>
      </c>
      <c r="N12" s="580" t="inlineStr">
        <is>
          <t>IMS, RDE Security, 100% Marvardi, win prob 50%. cci 36%, la bookiamo a settembre se la vinciamo - delivery fino a febbraio</t>
        </is>
      </c>
      <c r="O12" s="602" t="n">
        <v>122055</v>
      </c>
      <c r="Q12" s="601" t="n">
        <v>122055</v>
      </c>
    </row>
    <row r="13">
      <c r="B13" s="574" t="inlineStr">
        <is>
          <t>TBD</t>
        </is>
      </c>
      <c r="C13" s="574" t="inlineStr">
        <is>
          <t>Da Inviare</t>
        </is>
      </c>
      <c r="D13" s="574" t="inlineStr">
        <is>
          <t>MMS</t>
        </is>
      </c>
      <c r="E13" s="574" t="inlineStr">
        <is>
          <t>1</t>
        </is>
      </c>
      <c r="F13" s="574" t="inlineStr">
        <is>
          <t>30/11/2026</t>
        </is>
      </c>
      <c r="G13" s="574" t="inlineStr">
        <is>
          <t>Q1</t>
        </is>
      </c>
      <c r="H13" s="574" t="inlineStr">
        <is>
          <t>0299151930</t>
        </is>
      </c>
      <c r="I13" s="574" t="n"/>
      <c r="J13" s="574" t="n"/>
      <c r="L13" s="579" t="inlineStr">
        <is>
          <t>Cardif - Logos</t>
        </is>
      </c>
      <c r="N13" s="580" t="n"/>
      <c r="O13" s="602" t="n">
        <v>81370</v>
      </c>
      <c r="Q13" s="601" t="n">
        <v>81370</v>
      </c>
    </row>
    <row r="14">
      <c r="B14" s="574" t="inlineStr">
        <is>
          <t>TBD</t>
        </is>
      </c>
      <c r="C14" s="574" t="inlineStr">
        <is>
          <t>Da Inviare</t>
        </is>
      </c>
      <c r="D14" s="574" t="inlineStr">
        <is>
          <t>MMS</t>
        </is>
      </c>
      <c r="E14" s="574" t="inlineStr">
        <is>
          <t>1</t>
        </is>
      </c>
      <c r="F14" s="574" t="inlineStr">
        <is>
          <t>30/11/2026</t>
        </is>
      </c>
      <c r="G14" s="574" t="inlineStr">
        <is>
          <t>Q1</t>
        </is>
      </c>
      <c r="H14" s="574" t="inlineStr">
        <is>
          <t>2330719642</t>
        </is>
      </c>
      <c r="I14" s="574" t="n"/>
      <c r="J14" s="574" t="n"/>
      <c r="L14" s="579" t="inlineStr">
        <is>
          <t>Cardif - Cyber.AI</t>
        </is>
      </c>
      <c r="N14" s="580" t="n"/>
      <c r="O14" s="602" t="n">
        <v>81370</v>
      </c>
      <c r="Q14" s="601" t="n">
        <v>81370</v>
      </c>
    </row>
    <row r="15">
      <c r="B15" s="574" t="n"/>
      <c r="C15" s="574" t="inlineStr">
        <is>
          <t>Da Inviare</t>
        </is>
      </c>
      <c r="D15" s="574" t="inlineStr">
        <is>
          <t>MMS</t>
        </is>
      </c>
      <c r="E15" s="574" t="inlineStr">
        <is>
          <t>1</t>
        </is>
      </c>
      <c r="F15" s="574" t="inlineStr">
        <is>
          <t>30/11/2026</t>
        </is>
      </c>
      <c r="G15" s="574" t="inlineStr">
        <is>
          <t>Q1</t>
        </is>
      </c>
      <c r="H15" s="574" t="inlineStr">
        <is>
          <t>7373647355</t>
        </is>
      </c>
      <c r="I15" s="574" t="n"/>
      <c r="J15" s="574" t="n"/>
      <c r="L15" s="579" t="inlineStr">
        <is>
          <t>AlphaBank - Logos</t>
        </is>
      </c>
      <c r="N15" s="580" t="n"/>
      <c r="O15" s="602" t="n">
        <v>81370</v>
      </c>
      <c r="Q15" s="601" t="n">
        <v>81370</v>
      </c>
    </row>
    <row r="16">
      <c r="B16" s="574" t="n"/>
      <c r="C16" s="574" t="inlineStr">
        <is>
          <t>Da Inviare</t>
        </is>
      </c>
      <c r="D16" s="574" t="inlineStr">
        <is>
          <t>MMS</t>
        </is>
      </c>
      <c r="E16" s="574" t="inlineStr">
        <is>
          <t>1</t>
        </is>
      </c>
      <c r="F16" s="574" t="inlineStr">
        <is>
          <t>30/11/2026</t>
        </is>
      </c>
      <c r="G16" s="574" t="inlineStr">
        <is>
          <t>Q1</t>
        </is>
      </c>
      <c r="H16" s="574" t="inlineStr">
        <is>
          <t>5387865071</t>
        </is>
      </c>
      <c r="I16" s="574" t="n"/>
      <c r="J16" s="574" t="n"/>
      <c r="L16" s="579" t="inlineStr">
        <is>
          <t>BetaCredit - Logos</t>
        </is>
      </c>
      <c r="N16" s="580" t="n"/>
      <c r="O16" s="602" t="n">
        <v>81370</v>
      </c>
      <c r="Q16" s="601" t="n">
        <v>81370</v>
      </c>
    </row>
    <row r="17">
      <c r="B17" s="574" t="inlineStr">
        <is>
          <t>9997412455</t>
        </is>
      </c>
      <c r="C17" s="574" t="inlineStr">
        <is>
          <t>Da Inviare</t>
        </is>
      </c>
      <c r="D17" s="574" t="inlineStr">
        <is>
          <t>MMS</t>
        </is>
      </c>
      <c r="E17" s="574" t="inlineStr">
        <is>
          <t>0</t>
        </is>
      </c>
      <c r="F17" s="574" t="inlineStr">
        <is>
          <t>30/11/2026</t>
        </is>
      </c>
      <c r="G17" s="574" t="inlineStr">
        <is>
          <t>Q1</t>
        </is>
      </c>
      <c r="H17" s="574" t="inlineStr">
        <is>
          <t>0788501877</t>
        </is>
      </c>
      <c r="I17" s="574" t="n"/>
      <c r="J17" s="574" t="n"/>
      <c r="K17" s="579" t="inlineStr">
        <is>
          <t>BGTY8001</t>
        </is>
      </c>
      <c r="L17" s="579" t="inlineStr">
        <is>
          <t>AlphaBank - AI PenTesting</t>
        </is>
      </c>
      <c r="M17" s="579" t="inlineStr">
        <is>
          <t>APRIRE E LASCIARE IN 0</t>
        </is>
      </c>
      <c r="N17" s="580" t="n"/>
      <c r="O17" s="602" t="n">
        <v>16274</v>
      </c>
      <c r="Q17" s="601" t="n">
        <v>16274</v>
      </c>
    </row>
    <row r="18">
      <c r="B18" s="574" t="inlineStr">
        <is>
          <t>9997412455</t>
        </is>
      </c>
      <c r="C18" s="574" t="inlineStr">
        <is>
          <t>Da Inviare</t>
        </is>
      </c>
      <c r="D18" s="574" t="inlineStr">
        <is>
          <t>MMS</t>
        </is>
      </c>
      <c r="E18" s="574" t="inlineStr">
        <is>
          <t>0</t>
        </is>
      </c>
      <c r="F18" s="574" t="inlineStr">
        <is>
          <t>31/12/2026</t>
        </is>
      </c>
      <c r="G18" s="574" t="inlineStr">
        <is>
          <t>Q2</t>
        </is>
      </c>
      <c r="H18" s="574" t="inlineStr">
        <is>
          <t>2593043529</t>
        </is>
      </c>
      <c r="I18" s="574" t="n"/>
      <c r="J18" s="574" t="n"/>
      <c r="K18" s="579" t="inlineStr">
        <is>
          <t>BGTY8001</t>
        </is>
      </c>
      <c r="L18" s="579" t="inlineStr">
        <is>
          <t>AlphaBank - AI SOC Automation</t>
        </is>
      </c>
      <c r="M18" s="579" t="inlineStr">
        <is>
          <t>APRIRE E LASCIARE IN 0</t>
        </is>
      </c>
      <c r="N18" s="580" t="n"/>
      <c r="O18" s="602" t="n">
        <v>40685</v>
      </c>
      <c r="Q18" s="601" t="n">
        <v>40685</v>
      </c>
    </row>
    <row r="19">
      <c r="B19" s="574" t="inlineStr">
        <is>
          <t>9997412455</t>
        </is>
      </c>
      <c r="C19" s="574" t="inlineStr">
        <is>
          <t>Da Inviare</t>
        </is>
      </c>
      <c r="D19" s="574" t="inlineStr">
        <is>
          <t>MMS</t>
        </is>
      </c>
      <c r="E19" s="574" t="inlineStr">
        <is>
          <t>0</t>
        </is>
      </c>
      <c r="F19" s="574" t="inlineStr">
        <is>
          <t>30/11/2026</t>
        </is>
      </c>
      <c r="G19" s="574" t="inlineStr">
        <is>
          <t>Q1</t>
        </is>
      </c>
      <c r="H19" s="574" t="inlineStr">
        <is>
          <t>2305502358</t>
        </is>
      </c>
      <c r="I19" s="574" t="n"/>
      <c r="J19" s="574" t="n"/>
      <c r="K19" s="579" t="inlineStr">
        <is>
          <t>BGTY8001</t>
        </is>
      </c>
      <c r="L19" s="579" t="inlineStr">
        <is>
          <t>AlphaBank - Vulnerability Mgmgt AI Assessment</t>
        </is>
      </c>
      <c r="M19" s="579" t="inlineStr">
        <is>
          <t>APRIRE E LASCIARE IN 0</t>
        </is>
      </c>
      <c r="N19" s="580" t="n"/>
      <c r="O19" s="602" t="n">
        <v>24411</v>
      </c>
      <c r="Q19" s="601" t="n">
        <v>24411</v>
      </c>
    </row>
    <row r="20">
      <c r="B20" s="574" t="inlineStr">
        <is>
          <t>9915583648</t>
        </is>
      </c>
      <c r="C20" s="574" t="inlineStr">
        <is>
          <t>Da Inviare</t>
        </is>
      </c>
      <c r="D20" s="574" t="inlineStr">
        <is>
          <t>MMS</t>
        </is>
      </c>
      <c r="E20" s="574" t="inlineStr">
        <is>
          <t>0</t>
        </is>
      </c>
      <c r="F20" s="574" t="inlineStr">
        <is>
          <t>30/11/2026</t>
        </is>
      </c>
      <c r="G20" s="574" t="inlineStr">
        <is>
          <t>Q1</t>
        </is>
      </c>
      <c r="H20" s="574" t="inlineStr">
        <is>
          <t>8673157334</t>
        </is>
      </c>
      <c r="I20" s="574" t="n"/>
      <c r="J20" s="574" t="n"/>
      <c r="K20" s="579" t="inlineStr">
        <is>
          <t>BJRYD001</t>
        </is>
      </c>
      <c r="L20" s="579" t="inlineStr">
        <is>
          <t>BetaCredit - Cybersecurity Q3</t>
        </is>
      </c>
      <c r="M20" s="579" t="inlineStr">
        <is>
          <t>aprile entrambe in stage 0 su su mms mettendone una sul Q1 fy27 ed una sul Q2 fy27</t>
        </is>
      </c>
      <c r="N20" s="580" t="n"/>
      <c r="O20" s="602" t="n">
        <v>140363</v>
      </c>
      <c r="Q20" s="601" t="n">
        <v>140363</v>
      </c>
    </row>
    <row r="21">
      <c r="B21" s="574" t="inlineStr">
        <is>
          <t>9915583648</t>
        </is>
      </c>
      <c r="C21" s="574" t="inlineStr">
        <is>
          <t>Da Inviare</t>
        </is>
      </c>
      <c r="D21" s="574" t="inlineStr">
        <is>
          <t>MMS</t>
        </is>
      </c>
      <c r="E21" s="574" t="inlineStr">
        <is>
          <t>0</t>
        </is>
      </c>
      <c r="F21" s="574" t="inlineStr">
        <is>
          <t>28/02/2027</t>
        </is>
      </c>
      <c r="G21" s="574" t="inlineStr">
        <is>
          <t>Q2</t>
        </is>
      </c>
      <c r="H21" s="574" t="inlineStr">
        <is>
          <t>8903137906</t>
        </is>
      </c>
      <c r="I21" s="574" t="n"/>
      <c r="J21" s="574" t="n"/>
      <c r="K21" s="579" t="inlineStr">
        <is>
          <t>BJRYD001</t>
        </is>
      </c>
      <c r="L21" s="579" t="inlineStr">
        <is>
          <t>BetaCredit - Cybersecurity Q4</t>
        </is>
      </c>
      <c r="M21" s="579" t="inlineStr">
        <is>
          <t>aprile entrambe in stage 0 su su mms mettendone una sul Q1 fy27 ed una sul Q2 fy27</t>
        </is>
      </c>
      <c r="N21" s="580" t="n"/>
      <c r="O21" s="602" t="n">
        <v>140363</v>
      </c>
      <c r="Q21" s="601" t="n">
        <v>140363</v>
      </c>
    </row>
    <row r="22">
      <c r="B22" s="574" t="inlineStr">
        <is>
          <t>9997412455</t>
        </is>
      </c>
      <c r="C22" s="574" t="inlineStr">
        <is>
          <t>Da Inviare</t>
        </is>
      </c>
      <c r="D22" s="574" t="inlineStr">
        <is>
          <t>MMS</t>
        </is>
      </c>
      <c r="E22" s="574" t="inlineStr">
        <is>
          <t>1</t>
        </is>
      </c>
      <c r="F22" s="574" t="inlineStr">
        <is>
          <t>31/12/2026</t>
        </is>
      </c>
      <c r="G22" s="574" t="inlineStr">
        <is>
          <t>Q2</t>
        </is>
      </c>
      <c r="H22" s="574" t="inlineStr">
        <is>
          <t>8281200275</t>
        </is>
      </c>
      <c r="I22" s="574" t="n"/>
      <c r="J22" s="574" t="n"/>
      <c r="K22" s="579" t="inlineStr">
        <is>
          <t>BGTY8001</t>
        </is>
      </c>
      <c r="L22" s="579" t="inlineStr">
        <is>
          <t>AlphaBank RFP - Business Continuity</t>
        </is>
      </c>
      <c r="M22" s="601" t="n"/>
      <c r="N22" s="580" t="n"/>
      <c r="O22" s="602" t="n">
        <v>406850</v>
      </c>
      <c r="Q22" s="601" t="n">
        <v>406850</v>
      </c>
    </row>
    <row r="23">
      <c r="B23" s="574" t="inlineStr">
        <is>
          <t>9997412455</t>
        </is>
      </c>
      <c r="C23" s="574" t="inlineStr">
        <is>
          <t>Da Inviare</t>
        </is>
      </c>
      <c r="D23" s="574" t="inlineStr">
        <is>
          <t>MMS</t>
        </is>
      </c>
      <c r="E23" s="574" t="inlineStr">
        <is>
          <t>0</t>
        </is>
      </c>
      <c r="F23" s="574" t="inlineStr">
        <is>
          <t>31/10/2026</t>
        </is>
      </c>
      <c r="G23" s="574" t="inlineStr">
        <is>
          <t>Q1</t>
        </is>
      </c>
      <c r="H23" s="574" t="n">
        <v>10290813</v>
      </c>
      <c r="I23" s="574" t="n"/>
      <c r="J23" s="574" t="n"/>
      <c r="K23" s="579" t="inlineStr">
        <is>
          <t>BGTY8001</t>
        </is>
      </c>
      <c r="L23" s="579" t="inlineStr">
        <is>
          <t>AlphaBank RFP - TLPT</t>
        </is>
      </c>
      <c r="M23" s="601" t="n"/>
      <c r="N23" s="606" t="n"/>
      <c r="O23" s="602" t="n">
        <v>81370</v>
      </c>
      <c r="P23" s="579" t="n"/>
      <c r="Q23" s="601" t="n">
        <v>81370</v>
      </c>
      <c r="R23" s="560" t="n"/>
      <c r="S23" s="579" t="n"/>
      <c r="T23" s="580" t="n"/>
    </row>
    <row r="24"/>
    <row r="25">
      <c r="O25" s="601" t="n">
        <v>52077</v>
      </c>
      <c r="P25" s="601" t="n"/>
    </row>
  </sheetData>
  <conditionalFormatting sqref="D1:D1048576">
    <cfRule type="containsText" priority="11" operator="containsText" dxfId="61" text="Da Fatturare">
      <formula>NOT(ISERROR(SEARCH("Da Fatturare",D1)))</formula>
    </cfRule>
  </conditionalFormatting>
  <dataValidations count="3">
    <dataValidation sqref="D2:D23" showDropDown="0" showInputMessage="1" showErrorMessage="1" allowBlank="1" type="list">
      <formula1>"Da Processare,MMS,MMR,MME,Done,Da Fatturare"</formula1>
    </dataValidation>
    <dataValidation sqref="C3:C23" showDropDown="0" showInputMessage="1" showErrorMessage="1" allowBlank="1" type="list">
      <formula1>"Da Inviare,Inviata,Approvata CVS"</formula1>
    </dataValidation>
    <dataValidation sqref="E1:E1048576" showDropDown="0" showInputMessage="1" showErrorMessage="1" allowBlank="1" type="list">
      <formula1>"0,1,2,3,3B,CloseWon"</formula1>
    </dataValidation>
  </dataValidations>
  <pageMargins left="0.7" right="0.7" top="0.75" bottom="0.75" header="0.3" footer="0.3"/>
  <pageSetup orientation="portrait" paperSize="9"/>
  <tableParts count="1">
    <tablePart xmlns:r="http://schemas.openxmlformats.org/officeDocument/2006/relationships" r:id="rId1"/>
  </tableParts>
</worksheet>
</file>

<file path=xl/worksheets/sheet6.xml><?xml version="1.0" encoding="utf-8"?>
<worksheet xmlns="http://schemas.openxmlformats.org/spreadsheetml/2006/main">
  <sheetPr codeName="Sheet1" filterMode="1">
    <outlinePr summaryBelow="1" summaryRight="1"/>
    <pageSetUpPr/>
  </sheetPr>
  <dimension ref="A1:Q86"/>
  <sheetViews>
    <sheetView tabSelected="1" zoomScale="56" zoomScaleNormal="56" workbookViewId="0">
      <pane xSplit="2" ySplit="3" topLeftCell="C71" activePane="bottomRight" state="frozen"/>
      <selection activeCell="N18" sqref="N18"/>
      <selection pane="topRight" activeCell="N18" sqref="N18"/>
      <selection pane="bottomLeft" activeCell="N18" sqref="N18"/>
      <selection pane="bottomRight" activeCell="M77" sqref="M77"/>
    </sheetView>
  </sheetViews>
  <sheetFormatPr baseColWidth="8" defaultColWidth="8.54296875" defaultRowHeight="14.5"/>
  <cols>
    <col width="3.453125" customWidth="1" style="579" min="1" max="1"/>
    <col width="19.81640625" customWidth="1" style="579" min="2" max="2"/>
    <col width="44" customWidth="1" style="579" min="3" max="3"/>
    <col width="14.54296875" bestFit="1" customWidth="1" style="579" min="4" max="4"/>
    <col width="16.1796875" customWidth="1" style="579" min="5" max="5"/>
    <col width="17.81640625" bestFit="1" customWidth="1" style="579" min="6" max="6"/>
    <col width="12.453125" customWidth="1" style="579" min="7" max="7"/>
    <col width="13.81640625" bestFit="1" customWidth="1" style="579" min="8" max="8"/>
    <col width="13.81640625" customWidth="1" style="579" min="9" max="9"/>
    <col width="55.1796875" customWidth="1" style="579" min="10" max="10"/>
    <col width="15" customWidth="1" style="579" min="11" max="11"/>
    <col width="28.26953125" customWidth="1" style="579" min="12" max="12"/>
    <col width="11.453125" customWidth="1" style="579" min="13" max="13"/>
    <col width="12.1796875" customWidth="1" style="579" min="14" max="14"/>
    <col width="21.54296875" bestFit="1" customWidth="1" style="579" min="15" max="15"/>
    <col width="20.1796875" customWidth="1" style="579" min="16" max="16"/>
    <col width="8.54296875" customWidth="1" style="579" min="17" max="16384"/>
  </cols>
  <sheetData>
    <row r="1"/>
    <row r="2">
      <c r="H2" s="596" t="n"/>
    </row>
    <row r="3">
      <c r="B3" s="10" t="inlineStr">
        <is>
          <t>Cliente</t>
        </is>
      </c>
      <c r="C3" s="10" t="inlineStr">
        <is>
          <t>Opp</t>
        </is>
      </c>
      <c r="D3" s="10" t="inlineStr">
        <is>
          <t>OppID</t>
        </is>
      </c>
      <c r="E3" s="10" t="inlineStr">
        <is>
          <t>WBS BD</t>
        </is>
      </c>
      <c r="F3" s="10" t="inlineStr">
        <is>
          <t>Totale</t>
        </is>
      </c>
      <c r="G3" s="10" t="inlineStr">
        <is>
          <t>Consumato</t>
        </is>
      </c>
      <c r="H3" s="10" t="inlineStr">
        <is>
          <t>Delta</t>
        </is>
      </c>
      <c r="I3" s="10" t="inlineStr">
        <is>
          <t>% di utilizzo</t>
        </is>
      </c>
      <c r="J3" s="10" t="inlineStr">
        <is>
          <t>Note</t>
        </is>
      </c>
      <c r="L3" s="579" t="inlineStr">
        <is>
          <t>NOTE</t>
        </is>
      </c>
    </row>
    <row r="4" hidden="1" s="564">
      <c r="B4" s="3" t="inlineStr">
        <is>
          <t>AlphaBank</t>
        </is>
      </c>
      <c r="C4" s="5" t="inlineStr">
        <is>
          <t>Supporto Studio Siteminder</t>
        </is>
      </c>
      <c r="D4" s="20" t="inlineStr">
        <is>
          <t>9060013876</t>
        </is>
      </c>
      <c r="E4" s="29" t="inlineStr">
        <is>
          <t>CC1K9001</t>
        </is>
      </c>
      <c r="F4" s="611" t="n">
        <v>1139</v>
      </c>
      <c r="G4" s="611" t="n">
        <v>1139</v>
      </c>
      <c r="H4" s="612" t="n">
        <v>0</v>
      </c>
      <c r="I4" s="612" t="n"/>
      <c r="J4" s="5" t="inlineStr">
        <is>
          <t>Caricato PDC + Fabio Colombo a Gennaio 2024</t>
        </is>
      </c>
      <c r="K4" s="5" t="n"/>
    </row>
    <row r="5" hidden="1" ht="29" customHeight="1" s="564">
      <c r="B5" s="3" t="inlineStr">
        <is>
          <t>AlphaBank</t>
        </is>
      </c>
      <c r="C5" s="5" t="inlineStr">
        <is>
          <t>Onboarding Fuori IAM_ Supporto RSB Fase1</t>
        </is>
      </c>
      <c r="D5" s="20" t="inlineStr">
        <is>
          <t>1056828813</t>
        </is>
      </c>
      <c r="E5" s="29" t="inlineStr">
        <is>
          <t>C9DK4001</t>
        </is>
      </c>
      <c r="F5" s="611" t="n">
        <v>3784</v>
      </c>
      <c r="G5" s="611" t="n">
        <v>3784</v>
      </c>
      <c r="H5" s="612" t="n">
        <v>0</v>
      </c>
      <c r="I5" s="612" t="n"/>
      <c r="J5" s="21" t="inlineStr">
        <is>
          <t>- Raccolta Seat Charge Assag e Contribuzione SeCAL
- Schinoppi e Soluri</t>
        </is>
      </c>
      <c r="K5" s="5" t="n"/>
    </row>
    <row r="6" hidden="1" s="564">
      <c r="B6" s="3" t="inlineStr">
        <is>
          <t>BetaCredit</t>
        </is>
      </c>
      <c r="C6" s="5" t="inlineStr">
        <is>
          <t>BetaCredit-Supporto IT Sec Gov 2023 Fase 3</t>
        </is>
      </c>
      <c r="D6" s="20" t="inlineStr">
        <is>
          <t>5783765539</t>
        </is>
      </c>
      <c r="E6" s="29" t="inlineStr">
        <is>
          <t>C7KAZ001</t>
        </is>
      </c>
      <c r="F6" s="611" t="n">
        <v>2132</v>
      </c>
      <c r="G6" s="611" t="n">
        <v>2132</v>
      </c>
      <c r="H6" s="612" t="n">
        <v>0</v>
      </c>
      <c r="I6" s="612" t="n"/>
      <c r="J6" s="5" t="n"/>
      <c r="K6" s="5" t="n"/>
    </row>
    <row r="7" hidden="1" s="564">
      <c r="B7" s="3" t="inlineStr">
        <is>
          <t>BetaCredit</t>
        </is>
      </c>
      <c r="C7" s="5" t="inlineStr">
        <is>
          <t>BetaCredit-Supporto IT Sec Gov 2024 Fase 1</t>
        </is>
      </c>
      <c r="D7" s="20" t="inlineStr">
        <is>
          <t>6276192693</t>
        </is>
      </c>
      <c r="E7" s="29" t="inlineStr">
        <is>
          <t>CUOVQ001</t>
        </is>
      </c>
      <c r="F7" s="611" t="n">
        <v>1720</v>
      </c>
      <c r="G7" s="611" t="n">
        <v>1720</v>
      </c>
      <c r="H7" s="612" t="n">
        <v>0</v>
      </c>
      <c r="I7" s="612" t="n"/>
      <c r="J7" s="5" t="inlineStr">
        <is>
          <t>caricato Fabio Colombo</t>
        </is>
      </c>
      <c r="K7" s="5" t="n"/>
    </row>
    <row r="8" hidden="1" ht="87" customHeight="1" s="564">
      <c r="B8" s="3" t="inlineStr">
        <is>
          <t>AlphaBank</t>
        </is>
      </c>
      <c r="C8" s="579" t="inlineStr">
        <is>
          <t>IT Continuity e BCM 2024</t>
        </is>
      </c>
      <c r="D8" s="20" t="inlineStr">
        <is>
          <t>6032068609</t>
        </is>
      </c>
      <c r="E8" s="29" t="inlineStr">
        <is>
          <t>CIB98001</t>
        </is>
      </c>
      <c r="F8" s="611" t="n">
        <v>9048</v>
      </c>
      <c r="G8" s="611" t="n">
        <v>5304.8</v>
      </c>
      <c r="H8" s="612" t="n">
        <v>0</v>
      </c>
      <c r="I8" s="612" t="n"/>
      <c r="J8" s="32" t="inlineStr">
        <is>
          <t>2Q Genn BD Schinoppi Lotito 
1Q Febb 400 euro Colombo
1Q Feb PDC
1Q feb 12 Schinoppi
2Q feb Schinoppi e Ligori
2Q Feb Colombo</t>
        </is>
      </c>
      <c r="K8" s="5" t="n"/>
    </row>
    <row r="9" hidden="1" s="564">
      <c r="B9" s="3" t="inlineStr">
        <is>
          <t>BetaCredit</t>
        </is>
      </c>
      <c r="C9" s="5" t="inlineStr">
        <is>
          <t>BetaCredit-Supporto IT Sec Gov 2024 Fase 2</t>
        </is>
      </c>
      <c r="D9" s="20" t="inlineStr">
        <is>
          <t>5397945729</t>
        </is>
      </c>
      <c r="E9" s="29" t="inlineStr">
        <is>
          <t>COK6F001</t>
        </is>
      </c>
      <c r="F9" s="611" t="n">
        <v>1058</v>
      </c>
      <c r="G9" s="611" t="n">
        <v>1058</v>
      </c>
      <c r="H9" s="612" t="n">
        <v>0</v>
      </c>
      <c r="I9" s="612" t="n"/>
      <c r="J9" s="32" t="inlineStr">
        <is>
          <t>Carichi Colombo e PDC</t>
        </is>
      </c>
      <c r="K9" s="5" t="n"/>
    </row>
    <row r="10" hidden="1" ht="29" customHeight="1" s="564">
      <c r="B10" s="3" t="inlineStr">
        <is>
          <t>AlphaBank</t>
        </is>
      </c>
      <c r="C10" s="5" t="inlineStr">
        <is>
          <t>Supporto RSB Fase 2</t>
        </is>
      </c>
      <c r="D10" s="20" t="inlineStr">
        <is>
          <t>7407719844</t>
        </is>
      </c>
      <c r="E10" s="29" t="inlineStr">
        <is>
          <t>C9MDI001</t>
        </is>
      </c>
      <c r="F10" s="611" t="n">
        <v>2034</v>
      </c>
      <c r="G10" s="611" t="n">
        <v>863</v>
      </c>
      <c r="H10" s="612" t="n">
        <v>1172</v>
      </c>
      <c r="I10" s="612" t="n"/>
      <c r="J10" s="34" t="inlineStr">
        <is>
          <t>1Q Aprile Colombo (285*0,2)
1000 euro Marvardi</t>
        </is>
      </c>
      <c r="K10" s="5" t="n"/>
    </row>
    <row r="11" hidden="1" s="564">
      <c r="B11" s="3" t="inlineStr">
        <is>
          <t>AlphaBank</t>
        </is>
      </c>
      <c r="C11" s="5" t="inlineStr">
        <is>
          <t>PMO Governance Production Security_2024</t>
        </is>
      </c>
      <c r="D11" s="20" t="inlineStr">
        <is>
          <t>3932613677</t>
        </is>
      </c>
      <c r="E11" s="29" t="inlineStr">
        <is>
          <t>CR6M0001</t>
        </is>
      </c>
      <c r="F11" s="611" t="n">
        <v>2929</v>
      </c>
      <c r="G11" s="611" t="n">
        <v>2929</v>
      </c>
      <c r="H11" s="612" t="n">
        <v>0</v>
      </c>
      <c r="I11" s="612" t="n"/>
      <c r="J11" s="5" t="n"/>
      <c r="K11" s="5" t="n"/>
    </row>
    <row r="12" hidden="1" s="564">
      <c r="B12" s="3" t="inlineStr">
        <is>
          <t>AlphaBank</t>
        </is>
      </c>
      <c r="C12" s="5" t="inlineStr">
        <is>
          <t>Supporto RSB alle abilitazioni DPAC</t>
        </is>
      </c>
      <c r="D12" s="20" t="inlineStr">
        <is>
          <t>9303560671</t>
        </is>
      </c>
      <c r="E12" s="29" t="inlineStr">
        <is>
          <t>CL5BK001</t>
        </is>
      </c>
      <c r="F12" s="611" t="n">
        <v>911</v>
      </c>
      <c r="G12" s="611" t="n">
        <v>230</v>
      </c>
      <c r="H12" s="612" t="n">
        <v>724</v>
      </c>
      <c r="I12" s="612" t="n"/>
      <c r="J12" s="5" t="n"/>
      <c r="K12" s="5" t="n"/>
    </row>
    <row r="13" hidden="1" ht="188.5" customHeight="1" s="564">
      <c r="B13" s="3" t="inlineStr">
        <is>
          <t>AlphaBank</t>
        </is>
      </c>
      <c r="C13" s="5" t="inlineStr">
        <is>
          <t>Data Securization for extra EU</t>
        </is>
      </c>
      <c r="D13" s="20" t="inlineStr">
        <is>
          <t>6543654323</t>
        </is>
      </c>
      <c r="E13" s="29" t="inlineStr">
        <is>
          <t>C5RFK001</t>
        </is>
      </c>
      <c r="F13" s="611" t="n">
        <v>6998</v>
      </c>
      <c r="G13" s="611" t="n">
        <v>6998</v>
      </c>
      <c r="H13" s="612" t="n">
        <v>0</v>
      </c>
      <c r="I13" s="612" t="n"/>
      <c r="J13" s="32" t="inlineStr">
        <is>
          <t>spese trasferta Lopez/Lotito per 02/05 (Lopez 1Q 418 2Q 500 euro)
1Q Maggio 140,52 euro Pagliardi
2Q Maggio 140,52 euro Pagliardi
Lotito 1Q Giugno 8 diarie 696 euro (87*8)
Senatra complessivo Giugno 1200
Lopez 1Q Giugno 179  euro AR Milano
Ambrosi: 549,7 euro
Marvardi complessivo Giugno 2811 euro
Lopez Madrid: 1800
Cesarano: 160
Lotito: 1 diaria luglio 1q
Raudino: 336 euro diarie giugno</t>
        </is>
      </c>
      <c r="K13" s="611" t="n">
        <v>6998</v>
      </c>
    </row>
    <row r="14" hidden="1" ht="203" customHeight="1" s="564">
      <c r="B14" s="3" t="inlineStr">
        <is>
          <t>AlphaBank</t>
        </is>
      </c>
      <c r="C14" s="5" t="inlineStr">
        <is>
          <t>IT Continuity Critical Asset Recovery</t>
        </is>
      </c>
      <c r="D14" s="20" t="inlineStr">
        <is>
          <t>2556642988</t>
        </is>
      </c>
      <c r="E14" s="29" t="inlineStr">
        <is>
          <t>CF5Z8001</t>
        </is>
      </c>
      <c r="F14" s="611" t="n">
        <v>33362</v>
      </c>
      <c r="G14" s="611" t="n">
        <v>23275.84</v>
      </c>
      <c r="H14" s="612" t="n">
        <v>10085.86</v>
      </c>
      <c r="I14" s="612" t="n"/>
      <c r="J14" s="32" t="inlineStr">
        <is>
          <t>1Q Luglio Ambrosi: 311,8 € + 228
1Q Luglio Raudino: 1366,94 €
Marvardi Luglio/Agosto: 13346 (già inseriti nel calcolo)+440
Lopez Milano Luglio 2Q 2 trasferte (consolidato): 1722
Lotito Milano: Luglio/Sett 2Q 2044
Schinoppi: Luglio/Ago/Sett 2Q 976+670
Trasferta Ambrosi 1Q 1553,6 + 2Q 900
Buonocore Settembre: 442 
Tasferta Raudino Settembre: 1902
Tasferta Bettacchi Settembre: 978
Trasferta Ciuna Settembre: 135,80
Trasferta Cesarano Settembre: 118,80
Trasferta Cesarano Ottobre: 400 €
Trasferta Ambrosi Ottobre: 1070€</t>
        </is>
      </c>
      <c r="K14" s="611" t="n">
        <v>23275.84</v>
      </c>
      <c r="L14" s="579" t="inlineStr">
        <is>
          <t>Recupero da UC su FY25 di 6200€</t>
        </is>
      </c>
    </row>
    <row r="15" hidden="1" ht="29" customHeight="1" s="564">
      <c r="B15" s="3" t="inlineStr">
        <is>
          <t>BetaCredit</t>
        </is>
      </c>
      <c r="C15" s="5" t="inlineStr">
        <is>
          <t>Supporto IT Sec Gov 2024 Fase 4</t>
        </is>
      </c>
      <c r="D15" s="20" t="inlineStr">
        <is>
          <t>1387621824</t>
        </is>
      </c>
      <c r="E15" s="29" t="inlineStr">
        <is>
          <t>CTEY8001</t>
        </is>
      </c>
      <c r="F15" s="611" t="n">
        <v>1058</v>
      </c>
      <c r="G15" s="611" t="n">
        <v>1051</v>
      </c>
      <c r="H15" s="612" t="n">
        <v>8</v>
      </c>
      <c r="I15" s="612" t="n"/>
      <c r="J15" s="32" t="inlineStr">
        <is>
          <t>trasferta davide luglio: 900
Spese team: 390 luglio 1q (7 diarie)</t>
        </is>
      </c>
      <c r="K15" s="611" t="n">
        <v>1051</v>
      </c>
    </row>
    <row r="16" hidden="1" s="564">
      <c r="B16" s="3" t="inlineStr">
        <is>
          <t>BetaCredit</t>
        </is>
      </c>
      <c r="C16" s="5" t="inlineStr">
        <is>
          <t>Supporto IT Sec Gov 2024 Fase 5</t>
        </is>
      </c>
      <c r="D16" s="20" t="n">
        <v>9904210</v>
      </c>
      <c r="E16" s="29" t="inlineStr">
        <is>
          <t>CMJCK001</t>
        </is>
      </c>
      <c r="F16" s="611" t="n">
        <v>732</v>
      </c>
      <c r="G16" s="611" t="n">
        <v>0</v>
      </c>
      <c r="H16" s="612" t="n">
        <v>732</v>
      </c>
      <c r="I16" s="612" t="n"/>
      <c r="J16" s="32" t="n"/>
      <c r="K16" s="611" t="n"/>
    </row>
    <row r="17" hidden="1" s="564">
      <c r="B17" s="3" t="inlineStr">
        <is>
          <t>AlphaBank</t>
        </is>
      </c>
      <c r="C17" s="5" t="inlineStr">
        <is>
          <t>IT Continuity e AIA - II semestre 2024</t>
        </is>
      </c>
      <c r="D17" s="20" t="inlineStr">
        <is>
          <t>38611269</t>
        </is>
      </c>
      <c r="E17" s="29" t="inlineStr">
        <is>
          <t>C42O001</t>
        </is>
      </c>
      <c r="F17" s="611" t="n">
        <v>2004</v>
      </c>
      <c r="G17" s="611" t="n">
        <v>0</v>
      </c>
      <c r="H17" s="612" t="n">
        <v>2004</v>
      </c>
      <c r="I17" s="612" t="n"/>
      <c r="J17" s="32" t="n"/>
      <c r="K17" s="611" t="n"/>
    </row>
    <row r="18" hidden="1" ht="29" customHeight="1" s="564">
      <c r="B18" s="3" t="inlineStr">
        <is>
          <t>AlphaBank</t>
        </is>
      </c>
      <c r="C18" s="5" t="inlineStr">
        <is>
          <t>Task Force IAM Pantheon/DeltaCorp e HQRE</t>
        </is>
      </c>
      <c r="D18" s="20" t="inlineStr">
        <is>
          <t>9731624752</t>
        </is>
      </c>
      <c r="E18" s="29" t="inlineStr">
        <is>
          <t>CJ33Z001</t>
        </is>
      </c>
      <c r="F18" s="611" t="n">
        <v>1783</v>
      </c>
      <c r="G18" s="611" t="n">
        <v>895</v>
      </c>
      <c r="H18" s="612" t="n">
        <v>888</v>
      </c>
      <c r="I18" s="612" t="n"/>
      <c r="J18" s="32" t="inlineStr">
        <is>
          <t>Trasferte Cesarano ottobre: 150
altre spese trasferta ottobre: 950</t>
        </is>
      </c>
      <c r="K18" s="3" t="n">
        <v>895</v>
      </c>
    </row>
    <row r="19" hidden="1" ht="304.5" customHeight="1" s="564">
      <c r="B19" s="3" t="inlineStr">
        <is>
          <t>AlphaBank</t>
        </is>
      </c>
      <c r="C19" s="5" t="inlineStr">
        <is>
          <t>DORA &amp; Cyber Risk Program</t>
        </is>
      </c>
      <c r="D19" s="20" t="inlineStr">
        <is>
          <t>5511672677</t>
        </is>
      </c>
      <c r="E19" s="29" t="inlineStr">
        <is>
          <t>CIE94001</t>
        </is>
      </c>
      <c r="F19" s="611" t="n">
        <v>17413</v>
      </c>
      <c r="G19" s="611" t="n">
        <v>17096.97</v>
      </c>
      <c r="H19" s="612" t="n">
        <v>316.21</v>
      </c>
      <c r="I19" s="612" t="n"/>
      <c r="J19" s="32" t="inlineStr">
        <is>
          <t>Trasferta Lopez: 450 settembre
Verga: 126,98 ottobre
Spanò: 79,10 ottobre
Trasferta Ambrosi: 533 ottobre
Trasferta Raudino: 616 ottobre
Trasferta Lotito: 250 ottobre
Trasferta recupero spese ottobre: 918
Trasferta Ambrosi: 553 novembre 1q
Trasferta Cesarano: 400 novembre 1q
Trasferta Mele: 77,80 novembre
Trasferta Orlando: 77,80 novembre
Trasferta Valitutto: 84,30 novembre 2q
Trasferta Di Napoli: 84,30 novembre 2q
PDC: 139,83 novembre
Paolo Colombo 12h: 3737,52 dicembre 1q
Paolo Colombo 8h: 2.491,68 dicembre 2q
Colombo: 1000 dicembre
Lopez FY24 Tele: 720
Marvardi gennaio: 1091,23
Lopez Gennaio 25: 1400
Alberto CIO: 400</t>
        </is>
      </c>
      <c r="K19" s="3" t="n">
        <v>17096.97</v>
      </c>
    </row>
    <row r="20" hidden="1" ht="130.5" customHeight="1" s="564">
      <c r="B20" s="3" t="inlineStr">
        <is>
          <t>AlphaBank</t>
        </is>
      </c>
      <c r="C20" s="5" t="inlineStr">
        <is>
          <t>CYBER DEFENSE - Validazione ZetaGroup</t>
        </is>
      </c>
      <c r="D20" s="20" t="inlineStr">
        <is>
          <t>7788760317</t>
        </is>
      </c>
      <c r="E20" s="29" t="inlineStr">
        <is>
          <t>C04IP001</t>
        </is>
      </c>
      <c r="F20" s="611" t="n">
        <v>3092</v>
      </c>
      <c r="G20" s="611" t="n">
        <v>3078.05</v>
      </c>
      <c r="H20" s="612" t="n">
        <v>14.01</v>
      </c>
      <c r="I20" s="612" t="n"/>
      <c r="J20" s="32" t="inlineStr">
        <is>
          <t>Ambrosi 156 dicembre 2q
Cesarano 350 gennaio 1q
Ambrosi 756.6 gennaio 1q
PDC: 139,83 - 0,1h gennaio 2q 
Raudino: 1380 gennaio+188,16
Albertan 126,39 gennaio (1,5)
Cesarano: 300 febbraio
Pappalardo: 117,8 febbraio
Ambrosi: 168 febbraio 2q</t>
        </is>
      </c>
      <c r="K20" s="3" t="n">
        <v>3078.05</v>
      </c>
    </row>
    <row r="21" hidden="1" ht="87" customHeight="1" s="564">
      <c r="B21" s="3" t="inlineStr">
        <is>
          <t>BetaCredit</t>
        </is>
      </c>
      <c r="C21" s="5" t="inlineStr">
        <is>
          <t>Supporto IT Sec Gov 2024 Fase 6</t>
        </is>
      </c>
      <c r="D21" s="20" t="inlineStr">
        <is>
          <t>3473395526</t>
        </is>
      </c>
      <c r="E21" s="29" t="inlineStr">
        <is>
          <t>C92BC001</t>
        </is>
      </c>
      <c r="F21" s="611" t="n">
        <v>814</v>
      </c>
      <c r="G21" s="611" t="n">
        <v>689.9299999999999</v>
      </c>
      <c r="H21" s="612" t="n">
        <v>123.77</v>
      </c>
      <c r="I21" s="612" t="n"/>
      <c r="J21" s="32" t="inlineStr">
        <is>
          <t xml:space="preserve">Anelli: 282,40 dicembre 2q
PDC: 139,83 - 0,1h febbario 1q
De Carlini: 20,37 - 1h - dicembre 1q
Ambrosi: 280 -1q novembre
CIO 43,29
</t>
        </is>
      </c>
      <c r="K21" s="3" t="n">
        <v>689.9299999999999</v>
      </c>
    </row>
    <row r="22" hidden="1" ht="29" customHeight="1" s="564">
      <c r="B22" s="3" t="inlineStr">
        <is>
          <t>AlphaBank</t>
        </is>
      </c>
      <c r="C22" s="5" t="inlineStr">
        <is>
          <t>Supporto RSB - Estensione 2024</t>
        </is>
      </c>
      <c r="D22" s="20" t="inlineStr">
        <is>
          <t>7300291503</t>
        </is>
      </c>
      <c r="E22" s="29" t="inlineStr">
        <is>
          <t>CYP64001</t>
        </is>
      </c>
      <c r="F22" s="611" t="n">
        <v>1697</v>
      </c>
      <c r="G22" s="611" t="n">
        <v>299</v>
      </c>
      <c r="H22" s="612" t="n">
        <v>1397</v>
      </c>
      <c r="I22" s="612" t="n"/>
      <c r="J22" s="32" t="inlineStr">
        <is>
          <t xml:space="preserve">Expenses Dec 174+194
</t>
        </is>
      </c>
      <c r="K22" s="3" t="n">
        <v>299</v>
      </c>
    </row>
    <row r="23" hidden="1" ht="87" customHeight="1" s="564">
      <c r="B23" s="3" t="inlineStr">
        <is>
          <t>AlphaBank</t>
        </is>
      </c>
      <c r="C23" s="5" t="inlineStr">
        <is>
          <t>IAM for the Whole Bank</t>
        </is>
      </c>
      <c r="D23" s="20" t="inlineStr">
        <is>
          <t>5770968277</t>
        </is>
      </c>
      <c r="E23" s="29" t="inlineStr">
        <is>
          <t>C3S4S001</t>
        </is>
      </c>
      <c r="F23" s="611" t="n">
        <v>3138</v>
      </c>
      <c r="G23" s="611" t="n">
        <v>2455.29</v>
      </c>
      <c r="H23" s="612" t="n">
        <v>682.34</v>
      </c>
      <c r="I23" s="612" t="n"/>
      <c r="J23" s="32" t="inlineStr">
        <is>
          <t>Trasferta Cesarano: 150 novembre 2q
Trasferta Raudino: 904  novembre 2q
Trasferta Ambrosi: 657,6 novembre 2q
Trasferta Raudino: 343,84 dicembre
Trasferta Cesarano 130 dicembre 1q
Lotito: 700</t>
        </is>
      </c>
      <c r="K23" s="3" t="n">
        <v>2455.29</v>
      </c>
    </row>
    <row r="24" hidden="1" s="564">
      <c r="B24" s="3" t="inlineStr">
        <is>
          <t>AlphaBank</t>
        </is>
      </c>
      <c r="C24" s="5" t="inlineStr">
        <is>
          <t>IT Continuity</t>
        </is>
      </c>
      <c r="D24" s="20" t="inlineStr">
        <is>
          <t>4554656210</t>
        </is>
      </c>
      <c r="E24" s="29" t="inlineStr">
        <is>
          <t>CX3M2001</t>
        </is>
      </c>
      <c r="F24" s="611" t="n">
        <v>1408</v>
      </c>
      <c r="G24" s="611" t="n">
        <v>0</v>
      </c>
      <c r="H24" s="612" t="n">
        <v>1408</v>
      </c>
      <c r="I24" s="612" t="n"/>
      <c r="J24" s="32" t="n"/>
      <c r="K24" s="3" t="n"/>
    </row>
    <row r="25" hidden="1" ht="179.15" customHeight="1" s="564">
      <c r="B25" s="3" t="inlineStr">
        <is>
          <t>Fndomestic</t>
        </is>
      </c>
      <c r="C25" s="32" t="inlineStr">
        <is>
          <t>BetaCredit - Cyber Secuirty Assessment - fase 1</t>
        </is>
      </c>
      <c r="D25" s="20" t="inlineStr">
        <is>
          <t>3739408314</t>
        </is>
      </c>
      <c r="E25" s="163" t="inlineStr">
        <is>
          <t>CPARB001
STOP UTILIZZO</t>
        </is>
      </c>
      <c r="F25" s="611" t="n">
        <v>22323</v>
      </c>
      <c r="G25" s="611" t="n">
        <v>21737.76</v>
      </c>
      <c r="H25" s="612" t="n">
        <v>585.29</v>
      </c>
      <c r="I25" s="612" t="n"/>
      <c r="J25" s="32" t="inlineStr">
        <is>
          <t>Loukas: 609 7h dicembre
Lotito: 348 gennaio
Lotito: 1561,50 gennaio 2q
Lopez: 1537,9 2q feb
Ambrosi: 607,70 febbraio 21
Raudino: 1626 feb + 560 Marzo 1q
Cesarano: 300 febbraio 2q
Lotito: 1081,20 febbraio 1q
Marvardi: 1161,4 febbraio
Pappalardo: febbraio 2q 143,9
Lopez marzo: 1266,8 + 204
Ambrosi marzo DR: 2695,86
Giordano marzo DR: 1049,60
Cesarano: 500 marzo 2q
Pappalardo: 138 marzo 2q
Senatra 1200 Aprile SNOW
Raudino: 280 marzo 2q
Lopez Audit Aprile: 2632 TBC
Ambrosi: 540 aprile 1q
PDC: aprile 1q 139,83 
Lopez: 400 aprile
Rec: 2618
Raudino: 560 aprile
cesarano: 600 aprile 1q
manfrè: 651,42 aprile 1q
pappalardo: 176 aprile 1q
Saracino: 1092,60 aprile traferta audit
CA aprile lopez: 434</t>
        </is>
      </c>
      <c r="K25" s="3" t="n">
        <v>21737.76</v>
      </c>
    </row>
    <row r="26" hidden="1" ht="58" customHeight="1" s="564">
      <c r="B26" s="3" t="inlineStr">
        <is>
          <t>Fndomestic</t>
        </is>
      </c>
      <c r="C26" s="32" t="inlineStr">
        <is>
          <t>Supporto IT Sec Gov 2024 Fase 8</t>
        </is>
      </c>
      <c r="D26" s="20" t="inlineStr">
        <is>
          <t>7870950732</t>
        </is>
      </c>
      <c r="E26" s="163" t="inlineStr">
        <is>
          <t>CQ9R2001</t>
        </is>
      </c>
      <c r="F26" s="611" t="n">
        <v>1523</v>
      </c>
      <c r="G26" s="611" t="n">
        <v>688.15</v>
      </c>
      <c r="H26" s="612" t="n">
        <v>835.1</v>
      </c>
      <c r="I26" s="612" t="n"/>
      <c r="J26" s="32" t="inlineStr">
        <is>
          <t>Cesarano: 409 1q marzo
Buonocore &amp; Ruggiero Trasferta: 205,6 1q marzo
Ambrosi: 203,1 marzo 1q
Lopez taxi 28</t>
        </is>
      </c>
      <c r="K26" s="3" t="n">
        <v>688.15</v>
      </c>
      <c r="N26" s="40" t="n"/>
    </row>
    <row r="27" hidden="1" ht="87" customHeight="1" s="564">
      <c r="B27" s="3" t="inlineStr">
        <is>
          <t>AlphaBank</t>
        </is>
      </c>
      <c r="C27" s="32" t="inlineStr">
        <is>
          <t>Siteminder PM Tecnico</t>
        </is>
      </c>
      <c r="D27" s="20" t="inlineStr">
        <is>
          <t>7869742930</t>
        </is>
      </c>
      <c r="E27" s="29" t="inlineStr">
        <is>
          <t>CQM22001</t>
        </is>
      </c>
      <c r="F27" s="611" t="n">
        <v>2441</v>
      </c>
      <c r="G27" s="611" t="n">
        <v>2429.76</v>
      </c>
      <c r="H27" s="612" t="n">
        <v>11.34</v>
      </c>
      <c r="I27" s="612" t="n"/>
      <c r="J27" s="32" t="inlineStr">
        <is>
          <t>Lopez maggio:749.30+1,5 (114,84)
Silvestri: 3,6 h di bd 279,82
Raudino recupero trasferta: 336+97,59 (3h)
Cesarano trasferta maggio: 450 (24,95)
Manfrè: trasferta aprile 871,04
De Carlini: 62,52 maggio 3h</t>
        </is>
      </c>
      <c r="K27" s="3" t="n">
        <v>2429.76</v>
      </c>
      <c r="N27" s="40" t="n"/>
    </row>
    <row r="28" hidden="1" s="564">
      <c r="B28" s="3" t="inlineStr">
        <is>
          <t>AlphaBank</t>
        </is>
      </c>
      <c r="C28" s="32" t="inlineStr">
        <is>
          <t>DR Test 2025 – extra effort Governance</t>
        </is>
      </c>
      <c r="D28" s="20" t="inlineStr">
        <is>
          <t>1801042394</t>
        </is>
      </c>
      <c r="E28" s="29" t="inlineStr">
        <is>
          <t>C5BLV001</t>
        </is>
      </c>
      <c r="F28" s="611" t="n">
        <v>1075</v>
      </c>
      <c r="G28" s="611" t="n">
        <v>1046.45</v>
      </c>
      <c r="H28" s="612" t="n">
        <v>28.45</v>
      </c>
      <c r="I28" s="612" t="n"/>
      <c r="J28" s="32" t="inlineStr">
        <is>
          <t>Gianmaria porta: 2h giugno 149,04</t>
        </is>
      </c>
      <c r="K28" s="3" t="n">
        <v>1046.45</v>
      </c>
    </row>
    <row r="29" hidden="1" ht="217.5" customHeight="1" s="564">
      <c r="B29" s="3" t="inlineStr">
        <is>
          <t>AlphaBank</t>
        </is>
      </c>
      <c r="C29" s="32" t="inlineStr">
        <is>
          <t>DR Test Governance Support 2025 (DMZR, ICP etc)</t>
        </is>
      </c>
      <c r="D29" s="20" t="inlineStr">
        <is>
          <t>5297628275</t>
        </is>
      </c>
      <c r="E29" s="29" t="inlineStr">
        <is>
          <t>C95ZM001</t>
        </is>
      </c>
      <c r="F29" s="611" t="n">
        <v>4707</v>
      </c>
      <c r="G29" s="611" t="n">
        <v>4600.53</v>
      </c>
      <c r="H29" s="612" t="n">
        <v>106.72</v>
      </c>
      <c r="I29" s="612" t="n"/>
      <c r="J29" s="32" t="inlineStr">
        <is>
          <t>Palombizio: maggio 1000
Silvestri: 7,6 giugno 590,74
Silvestri: 4,4h maggio 342,01
Cesarano: 200+ 0,5h(24,95)
Ambrosi: trasferta maggio 1h (61,94)+330
Lotito: 510 maggio
Lopez 1Q Giugno: 300
De Carlini: 2q giugno 199,95
pdc: 135,25 giugno
ambrosi 3h gugno 2a 92,91
Marvardi: giugno 676,65
Team application sec: 455,30 giugno
Marvardi: 400 giugno
DC: 56 luglio 1q
ambrosi: luglio 2q 130</t>
        </is>
      </c>
      <c r="K29" s="3" t="n">
        <v>4600.53</v>
      </c>
      <c r="L29" s="597" t="n"/>
      <c r="O29" s="580" t="n"/>
      <c r="P29" s="596" t="n"/>
      <c r="Q29" s="596" t="n"/>
    </row>
    <row r="30" hidden="1" ht="101.5" customHeight="1" s="564">
      <c r="B30" s="3" t="inlineStr">
        <is>
          <t>AlphaBank</t>
        </is>
      </c>
      <c r="C30" s="32" t="inlineStr">
        <is>
          <t>IAM for the whole Bank - Estensione</t>
        </is>
      </c>
      <c r="D30" s="20" t="inlineStr">
        <is>
          <t>0547629300</t>
        </is>
      </c>
      <c r="E30" s="29" t="inlineStr">
        <is>
          <t>CX65D001</t>
        </is>
      </c>
      <c r="F30" s="611" t="n">
        <v>2848</v>
      </c>
      <c r="G30" s="611" t="n">
        <v>2839.54</v>
      </c>
      <c r="H30" s="612" t="n">
        <v>8.41</v>
      </c>
      <c r="I30" s="612" t="n"/>
      <c r="J30" s="32" t="inlineStr">
        <is>
          <t>Lopez Aprile 500
PDC: 135,25 maggio
Marvardi: 3,9 h 914,43 aprile
Marvardi: 400 maggio
Davide: 1,5 h di BD (46,46)+ trasferta aprile 718
Marvardi: 200
de carlini: 1h maggio</t>
        </is>
      </c>
      <c r="K30" s="3" t="n">
        <v>2839.54</v>
      </c>
      <c r="L30" s="597" t="n"/>
      <c r="O30" s="580" t="n"/>
    </row>
    <row r="31" hidden="1" ht="58" customHeight="1" s="564">
      <c r="B31" s="3" t="inlineStr">
        <is>
          <t>AlphaBank</t>
        </is>
      </c>
      <c r="C31" s="32" t="inlineStr">
        <is>
          <t>ISPL Access Monitoring Support</t>
        </is>
      </c>
      <c r="D31" s="20" t="inlineStr">
        <is>
          <t>4891161326</t>
        </is>
      </c>
      <c r="E31" s="29" t="inlineStr">
        <is>
          <t>CSUTG001</t>
        </is>
      </c>
      <c r="F31" s="611" t="n">
        <v>1424</v>
      </c>
      <c r="G31" s="611" t="n">
        <v>1424</v>
      </c>
      <c r="H31" s="612" t="n">
        <v>0</v>
      </c>
      <c r="I31" s="612" t="n"/>
      <c r="J31" s="32" t="inlineStr">
        <is>
          <t>marvardi agost: 400
ambrosi: 130 luglio 1q
marvardi luglio: 676
marvardi agosto: 500</t>
        </is>
      </c>
      <c r="K31" s="3" t="n">
        <v>1424</v>
      </c>
      <c r="O31" s="580" t="n"/>
      <c r="P31" s="596" t="n"/>
    </row>
    <row r="32" hidden="1" ht="101.5" customHeight="1" s="564">
      <c r="B32" s="3" t="inlineStr">
        <is>
          <t>BetaCredit</t>
        </is>
      </c>
      <c r="C32" s="5" t="inlineStr">
        <is>
          <t>BetaCredit - Cyber Secuirty Assessment - fase 2</t>
        </is>
      </c>
      <c r="D32" s="20" t="inlineStr">
        <is>
          <t>0107302688</t>
        </is>
      </c>
      <c r="E32" s="29" t="inlineStr">
        <is>
          <t>C4WR4001</t>
        </is>
      </c>
      <c r="F32" s="611" t="n">
        <v>5126</v>
      </c>
      <c r="G32" s="611" t="n">
        <v>4781.81</v>
      </c>
      <c r="H32" s="612" t="n">
        <v>344.5</v>
      </c>
      <c r="I32" s="612" t="n"/>
      <c r="J32" s="613" t="inlineStr">
        <is>
          <t>lopez maggio: 1600+2h(153,12)
Marvardi: giugno 400
Lotito: 408 giugno 1q
Lopez: giugno 2000
Raudino: recupero trasferta 2,5h +280
Ambrosi: 1q giugno 736,94 
Cesarano: 1q giugno 204,8+0,5h (12,47)</t>
        </is>
      </c>
      <c r="K32" s="3" t="n">
        <v>4781.81</v>
      </c>
      <c r="O32" s="580" t="n"/>
      <c r="P32" s="596" t="n"/>
    </row>
    <row r="33" hidden="1" s="564">
      <c r="B33" s="3" t="inlineStr">
        <is>
          <t>AlphaBank</t>
        </is>
      </c>
      <c r="C33" s="5" t="inlineStr">
        <is>
          <t>Refactoring fase 1</t>
        </is>
      </c>
      <c r="D33" s="20" t="inlineStr">
        <is>
          <t>6710242013</t>
        </is>
      </c>
      <c r="E33" s="29" t="inlineStr">
        <is>
          <t>CF2L6001</t>
        </is>
      </c>
      <c r="F33" s="611" t="n">
        <v>141</v>
      </c>
      <c r="G33" s="611" t="n">
        <v>101.75</v>
      </c>
      <c r="H33" s="612" t="n">
        <v>12.99</v>
      </c>
      <c r="I33" s="612" t="n"/>
      <c r="J33" s="5" t="inlineStr">
        <is>
          <t>de carlini: 6h maggio</t>
        </is>
      </c>
      <c r="K33" s="3" t="n">
        <v>101.75</v>
      </c>
    </row>
    <row r="34" hidden="1" ht="87" customHeight="1" s="564">
      <c r="B34" s="3" t="inlineStr">
        <is>
          <t>EpsilonPay</t>
        </is>
      </c>
      <c r="C34" s="5" t="n"/>
      <c r="D34" s="5" t="n"/>
      <c r="E34" s="29" t="inlineStr">
        <is>
          <t>CYT32001</t>
        </is>
      </c>
      <c r="F34" s="611" t="n">
        <v>14240</v>
      </c>
      <c r="G34" s="611" t="n">
        <v>9532</v>
      </c>
      <c r="H34" s="612" t="n">
        <v>4708</v>
      </c>
      <c r="I34" s="612" t="n"/>
      <c r="J34" s="32" t="inlineStr">
        <is>
          <t>marvardi maggio: 1000
team Application Security trasferta maggio: 1077,10
AlphaBank PoV Blackout Nazionale 4506,16
muscara: giugno e luglio 855,15
Antonini: giugno 343
Redaelli e Lamberti 8h luglio: 1333,68</t>
        </is>
      </c>
      <c r="K34" s="3" t="n">
        <v>9532</v>
      </c>
      <c r="L34" s="614" t="n"/>
    </row>
    <row r="35" hidden="1" ht="130.5" customHeight="1" s="564">
      <c r="B35" s="3" t="inlineStr">
        <is>
          <t>AlphaBank</t>
        </is>
      </c>
      <c r="C35" s="5" t="inlineStr">
        <is>
          <t>AlphaBank - campagna utenze 2025</t>
        </is>
      </c>
      <c r="D35" s="20" t="inlineStr">
        <is>
          <t>3367936873</t>
        </is>
      </c>
      <c r="E35" s="29" t="inlineStr">
        <is>
          <t>C10QN001</t>
        </is>
      </c>
      <c r="F35" s="611" t="n">
        <v>2290</v>
      </c>
      <c r="G35" s="611" t="n">
        <v>2254.49</v>
      </c>
      <c r="H35" s="612" t="n">
        <v>35.26</v>
      </c>
      <c r="I35" s="612" t="n"/>
      <c r="J35" s="32" t="inlineStr">
        <is>
          <t>Lopez luglio 600
Raudino recupero trasferta: 280+2,5h (81,32)
Marvardi: luglio 400
Lopez: luglio 300
PDC: luglio 132,52
Silvestri: luglio 746,20 (9,6h)
D'Alessio: change luglio 1q 124,75
Cesarano: change luglio 1q 49,9 
Giordano luglio 56</t>
        </is>
      </c>
      <c r="K35" s="3" t="n">
        <v>2254.49</v>
      </c>
    </row>
    <row r="36" hidden="1" ht="58" customHeight="1" s="564">
      <c r="B36" s="3" t="inlineStr">
        <is>
          <t>BetaCredit</t>
        </is>
      </c>
      <c r="C36" s="5" t="inlineStr">
        <is>
          <t>BetaCredit - Application Security Fase 1</t>
        </is>
      </c>
      <c r="D36" s="20" t="inlineStr">
        <is>
          <t>2544658114</t>
        </is>
      </c>
      <c r="E36" s="29" t="inlineStr">
        <is>
          <t>C53Z5001</t>
        </is>
      </c>
      <c r="F36" s="611" t="n">
        <v>982</v>
      </c>
      <c r="G36" s="611" t="n">
        <v>982</v>
      </c>
      <c r="H36" s="612" t="n">
        <v>0</v>
      </c>
      <c r="I36" s="612" t="n"/>
      <c r="J36" s="32" t="inlineStr">
        <is>
          <t>Giordano 7 diarie luglio (2h 42,60)
bufacchi 415 luglio
de carlini 2 diarie luglio (1h 21,30)
silvestri 2,4h agosto : 185,59</t>
        </is>
      </c>
      <c r="K36" s="3" t="n">
        <v>982</v>
      </c>
    </row>
    <row r="37" hidden="1" ht="72.5" customHeight="1" s="564">
      <c r="B37" s="3" t="inlineStr">
        <is>
          <t>BetaCredit</t>
        </is>
      </c>
      <c r="C37" s="5" t="inlineStr">
        <is>
          <t>BetaCredit - Antifrode</t>
        </is>
      </c>
      <c r="D37" s="20" t="inlineStr">
        <is>
          <t>7133903486</t>
        </is>
      </c>
      <c r="E37" s="29" t="inlineStr">
        <is>
          <t>CPKV9001</t>
        </is>
      </c>
      <c r="F37" s="611" t="n">
        <v>2624</v>
      </c>
      <c r="G37" s="611" t="n">
        <v>2624.13</v>
      </c>
      <c r="H37" s="612" t="n">
        <v>0.05999999999994543</v>
      </c>
      <c r="I37" s="612" t="n"/>
      <c r="J37" s="32" t="inlineStr">
        <is>
          <t>silvestri luglio 2q 373,1
Marvardi agosto 600
Petrella 630,16 luglio/agosto
Silvestri settembre: 147,68 (1,9 h)
Marvardi settembre 2q 550</t>
        </is>
      </c>
      <c r="K37" s="3" t="n">
        <v>2624.13</v>
      </c>
    </row>
    <row r="38" hidden="1" ht="43.5" customHeight="1" s="564">
      <c r="B38" s="3" t="inlineStr">
        <is>
          <t>BetaCredit</t>
        </is>
      </c>
      <c r="C38" s="5" t="inlineStr">
        <is>
          <t>BetaCredit - Application Security Fase 2</t>
        </is>
      </c>
      <c r="D38" s="20" t="inlineStr">
        <is>
          <t>3938895291</t>
        </is>
      </c>
      <c r="E38" s="29" t="inlineStr">
        <is>
          <t>CLOXA001</t>
        </is>
      </c>
      <c r="F38" s="611" t="n">
        <v>2146</v>
      </c>
      <c r="G38" s="611" t="n">
        <v>1840.02</v>
      </c>
      <c r="H38" s="612" t="n">
        <v>305.71</v>
      </c>
      <c r="I38" s="612" t="n"/>
      <c r="J38" s="32" t="inlineStr">
        <is>
          <t>Marvardi 550 Settembre
Marvardi 400 Ottobre
Marvardi 1100 ottobre 1q</t>
        </is>
      </c>
      <c r="K38" s="3" t="n">
        <v>1840.02</v>
      </c>
    </row>
    <row r="39" hidden="1" ht="43.5" customHeight="1" s="564">
      <c r="B39" s="3" t="inlineStr">
        <is>
          <t>AlphaBank</t>
        </is>
      </c>
      <c r="C39" s="567" t="inlineStr">
        <is>
          <t xml:space="preserve">Microgmentation – AP Digital </t>
        </is>
      </c>
      <c r="D39" s="20" t="inlineStr">
        <is>
          <t>9015454092</t>
        </is>
      </c>
      <c r="E39" s="29" t="inlineStr">
        <is>
          <t>CFXUN001</t>
        </is>
      </c>
      <c r="F39" s="611" t="n">
        <v>4707</v>
      </c>
      <c r="G39" s="611" t="n">
        <v>4453</v>
      </c>
      <c r="H39" s="612" t="n">
        <v>313</v>
      </c>
      <c r="I39" s="612" t="n"/>
      <c r="J39" s="615" t="inlineStr">
        <is>
          <t>Lopez settembre 2000
Marvadi 550
CFC 503</t>
        </is>
      </c>
      <c r="K39" s="3" t="n">
        <v>4453</v>
      </c>
      <c r="L39" s="580" t="n"/>
    </row>
    <row r="40" hidden="1" s="564">
      <c r="B40" s="3" t="inlineStr">
        <is>
          <t>AlphaBank</t>
        </is>
      </c>
      <c r="C40" s="567" t="inlineStr">
        <is>
          <t>Microgmentation - CoreBanking</t>
        </is>
      </c>
      <c r="D40" s="20" t="inlineStr">
        <is>
          <t>0357157007</t>
        </is>
      </c>
      <c r="E40" s="29" t="inlineStr">
        <is>
          <t>CW9IF001</t>
        </is>
      </c>
      <c r="F40" s="611" t="n">
        <v>4707</v>
      </c>
      <c r="G40" s="611" t="n">
        <v>4707</v>
      </c>
      <c r="H40" s="612" t="n">
        <v>0</v>
      </c>
      <c r="I40" s="612" t="n"/>
      <c r="J40" s="5" t="n"/>
      <c r="K40" s="3" t="n">
        <v>4707</v>
      </c>
    </row>
    <row r="41" hidden="1" ht="87" customHeight="1" s="564">
      <c r="B41" s="3" t="inlineStr">
        <is>
          <t>AlphaBank</t>
        </is>
      </c>
      <c r="C41" s="567" t="inlineStr">
        <is>
          <t>Microgmentation – ProdSec</t>
        </is>
      </c>
      <c r="D41" s="20" t="inlineStr">
        <is>
          <t>1925596695</t>
        </is>
      </c>
      <c r="E41" s="29" t="inlineStr">
        <is>
          <t>C44VK001</t>
        </is>
      </c>
      <c r="F41" s="611" t="n">
        <v>2013</v>
      </c>
      <c r="G41" s="611" t="n">
        <v>1672.06</v>
      </c>
      <c r="H41" s="612" t="n">
        <v>341.04</v>
      </c>
      <c r="I41" s="612" t="n"/>
      <c r="J41" s="616" t="inlineStr">
        <is>
          <t>Cesarano settembre extratime 249,5 + (4 diarie)
510 Lotito settembre
Cortese trasferta settembre 120
Silvestri 7h ottobre 544,11
Cesarano trasferta ottobre 190
Trasfera Lotito-Tomasina</t>
        </is>
      </c>
      <c r="K41" s="3" t="n">
        <v>1672.06</v>
      </c>
    </row>
    <row r="42" hidden="1" s="564">
      <c r="B42" s="3" t="inlineStr">
        <is>
          <t>BetaCredit</t>
        </is>
      </c>
      <c r="C42" s="5" t="inlineStr">
        <is>
          <t>Supporto IT Sec Gov 2024 Fase 9</t>
        </is>
      </c>
      <c r="D42" s="20" t="inlineStr">
        <is>
          <t>1897580354</t>
        </is>
      </c>
      <c r="E42" s="29" t="inlineStr">
        <is>
          <t>CPB95001</t>
        </is>
      </c>
      <c r="F42" s="611" t="n">
        <v>345</v>
      </c>
      <c r="G42" s="611" t="n">
        <v>221.37</v>
      </c>
      <c r="H42" s="612" t="n">
        <v>59.36</v>
      </c>
      <c r="I42" s="612" t="n"/>
      <c r="J42" s="5" t="inlineStr">
        <is>
          <t>Silvestri settembre 2q</t>
        </is>
      </c>
      <c r="K42" s="3" t="n">
        <v>221.37</v>
      </c>
      <c r="M42" s="74" t="n"/>
      <c r="N42" s="74" t="n"/>
      <c r="O42" s="74" t="n"/>
      <c r="P42" s="74" t="n"/>
    </row>
    <row r="43" hidden="1" ht="261" customHeight="1" s="564">
      <c r="B43" s="3" t="inlineStr">
        <is>
          <t>Cardif</t>
        </is>
      </c>
      <c r="C43" s="5" t="inlineStr">
        <is>
          <t>Application Security Test Cardif</t>
        </is>
      </c>
      <c r="D43" s="20" t="inlineStr">
        <is>
          <t>87479316</t>
        </is>
      </c>
      <c r="E43" s="29" t="inlineStr">
        <is>
          <t>CO03S001</t>
        </is>
      </c>
      <c r="F43" s="611" t="n">
        <v>12206</v>
      </c>
      <c r="G43" s="611" t="n">
        <v>11917.02</v>
      </c>
      <c r="H43" s="612" t="n">
        <v>288.48</v>
      </c>
      <c r="I43" s="255" t="n">
        <v>0.9763646666666667</v>
      </c>
      <c r="J43" s="32" t="inlineStr">
        <is>
          <t>cfc 2994,99 
Ambrosi trasferte ottobre 217
Ambrosi trasferta ottobre 350
Lotito ottobre 510 + 2,5 
Cesarano trasferta ottobre 185 + 0,5h
550 Marvardi novembre
699,6 Lotito novembre 510 + 2,5
457 trasferta Guerra dicembre
2000 Burgo Dicembre
lotito 204+ 8h (602,72) dicembre
214,80 Ruggiero trasferta
1100 Marvardi dicembre
700 trasferta dicembre Cesarano
Procaccianti e Quines - RPF BetaCredit dicembre 1267,08
291,42 anticipati a valenzano da recuperare da fosson
2h Bd silvestri gennaio
marvardi 1100 gennaio
400 lotito gennaio</t>
        </is>
      </c>
      <c r="K43" s="3" t="n">
        <v>11917.02</v>
      </c>
      <c r="M43" s="40" t="n"/>
    </row>
    <row r="44" hidden="1" s="564">
      <c r="B44" s="3" t="inlineStr">
        <is>
          <t>BetaCredit</t>
        </is>
      </c>
      <c r="C44" s="5" t="inlineStr">
        <is>
          <t>Supporto IT Sec Gov 2024 Fase 10</t>
        </is>
      </c>
      <c r="D44" s="20" t="n">
        <v>10120571</v>
      </c>
      <c r="E44" s="29" t="inlineStr">
        <is>
          <t>C1R76001</t>
        </is>
      </c>
      <c r="F44" s="611" t="n">
        <v>310</v>
      </c>
      <c r="G44" s="611" t="n">
        <v>283</v>
      </c>
      <c r="H44" s="612" t="n">
        <v>27</v>
      </c>
      <c r="I44" s="255" t="n">
        <v>0.9129032258064517</v>
      </c>
      <c r="J44" s="5" t="inlineStr">
        <is>
          <t>Trasferta ambrosi ottobre 283</t>
        </is>
      </c>
      <c r="K44" s="3" t="n">
        <v>283</v>
      </c>
    </row>
    <row r="45" hidden="1" ht="87" customHeight="1" s="564">
      <c r="B45" s="3" t="inlineStr">
        <is>
          <t>AlphaBank</t>
        </is>
      </c>
      <c r="C45" s="5" t="inlineStr">
        <is>
          <t>Siteminder OSR</t>
        </is>
      </c>
      <c r="D45" s="20" t="inlineStr">
        <is>
          <t>1866086755</t>
        </is>
      </c>
      <c r="E45" s="29" t="inlineStr">
        <is>
          <t>CF8T6001</t>
        </is>
      </c>
      <c r="F45" s="611" t="n">
        <v>3465</v>
      </c>
      <c r="G45" s="611" t="n">
        <v>3296.92</v>
      </c>
      <c r="H45" s="612" t="n">
        <v>167.81</v>
      </c>
      <c r="I45" s="255" t="n">
        <v>0.9515652888680133</v>
      </c>
      <c r="J45" s="32" t="inlineStr">
        <is>
          <t>Marvardi 400 novembre
Silvestri novembre 3,2h 248,74
Sebastiano trasferta ottobe 372,4
Alberto novembre 1357,63
Ambrosi trasferta dicembre 1224
Marvardi 400 dicembre</t>
        </is>
      </c>
      <c r="K45" s="250" t="n">
        <v>3296.92</v>
      </c>
      <c r="M45" s="198" t="n"/>
    </row>
    <row r="46" hidden="1" ht="58" customHeight="1" s="564">
      <c r="B46" s="3" t="inlineStr">
        <is>
          <t>BetaCredit</t>
        </is>
      </c>
      <c r="C46" s="290" t="inlineStr">
        <is>
          <t>BetaCredit - Application Security Fase 3</t>
        </is>
      </c>
      <c r="D46" s="251" t="inlineStr">
        <is>
          <t>5540451391</t>
        </is>
      </c>
      <c r="E46" s="277" t="inlineStr">
        <is>
          <t>CLGNK001</t>
        </is>
      </c>
      <c r="F46" s="617" t="n">
        <v>1449</v>
      </c>
      <c r="G46" s="617" t="n">
        <v>1245.21</v>
      </c>
      <c r="H46" s="618" t="n">
        <v>203.99</v>
      </c>
      <c r="I46" s="255" t="n">
        <v>0.8592391914654689</v>
      </c>
      <c r="J46" s="260" t="inlineStr">
        <is>
          <t>Silvestri novembre 3,2h 248,74
550 Marvardi novembre
248,73 Silvestri dicembre 3,2h
350 Cesarano trasferta dicembre</t>
        </is>
      </c>
      <c r="K46" s="254" t="n">
        <v>1245.21</v>
      </c>
    </row>
    <row r="47" hidden="1" s="564">
      <c r="B47" s="3" t="inlineStr">
        <is>
          <t>AlphaBank</t>
        </is>
      </c>
      <c r="C47" s="5" t="inlineStr">
        <is>
          <t>IT230067 - Refactoring MyBiz - Nuovo JRF Cloud</t>
        </is>
      </c>
      <c r="D47" s="251" t="inlineStr">
        <is>
          <t>3237356398</t>
        </is>
      </c>
      <c r="E47" s="29" t="inlineStr">
        <is>
          <t>C9FWZ001</t>
        </is>
      </c>
      <c r="F47" s="611" t="n">
        <v>110</v>
      </c>
      <c r="G47" s="611" t="n">
        <v>84.72</v>
      </c>
      <c r="H47" s="612" t="n">
        <v>4.78</v>
      </c>
      <c r="I47" s="255" t="n">
        <v>0.9465454545454546</v>
      </c>
      <c r="J47" s="5" t="inlineStr">
        <is>
          <t>4h extratime cesarno dicembre 104,12</t>
        </is>
      </c>
      <c r="K47" s="254" t="n">
        <v>84.72</v>
      </c>
    </row>
    <row r="48" hidden="1" ht="29" customHeight="1" s="564">
      <c r="B48" s="3" t="inlineStr">
        <is>
          <t>AlphaBank</t>
        </is>
      </c>
      <c r="C48" s="5" t="inlineStr">
        <is>
          <t>Integrazione servizi Archibus</t>
        </is>
      </c>
      <c r="D48" s="251" t="inlineStr">
        <is>
          <t>8345938079</t>
        </is>
      </c>
      <c r="E48" s="29" t="inlineStr">
        <is>
          <t>CBBDS001</t>
        </is>
      </c>
      <c r="F48" s="611" t="n">
        <v>263</v>
      </c>
      <c r="G48" s="611" t="n">
        <v>204.66</v>
      </c>
      <c r="H48" s="612" t="n">
        <v>9.34</v>
      </c>
      <c r="I48" s="255" t="n">
        <v>0.9563498098859315</v>
      </c>
      <c r="J48" s="32" t="inlineStr">
        <is>
          <t>131,52 extratime dicembre ambrosi
120 cortese gennaio</t>
        </is>
      </c>
      <c r="K48" s="254" t="n">
        <v>204.66</v>
      </c>
      <c r="L48" s="249" t="n"/>
    </row>
    <row r="49" hidden="1" ht="29" customHeight="1" s="564">
      <c r="B49" s="3" t="inlineStr">
        <is>
          <t>BetaCredit</t>
        </is>
      </c>
      <c r="C49" s="5" t="inlineStr">
        <is>
          <t>BetaCredit - Application Security Fase 4</t>
        </is>
      </c>
      <c r="D49" s="251" t="inlineStr">
        <is>
          <t>6180408985</t>
        </is>
      </c>
      <c r="E49" s="163" t="inlineStr">
        <is>
          <t>CM6KW001</t>
        </is>
      </c>
      <c r="F49" s="611" t="n">
        <v>1224</v>
      </c>
      <c r="G49" s="611" t="n">
        <v>1052.86</v>
      </c>
      <c r="H49" s="612" t="n">
        <v>170.94</v>
      </c>
      <c r="I49" s="255" t="n">
        <v>0.8603191489361702</v>
      </c>
      <c r="J49" s="32" t="inlineStr">
        <is>
          <t>798,4 Cesarano extratime dicembre
495,52 Ambrosi extrarime dicembre</t>
        </is>
      </c>
      <c r="K49" s="254" t="n">
        <v>1052.86</v>
      </c>
    </row>
    <row r="50" hidden="1" ht="29" customHeight="1" s="564">
      <c r="B50" s="3" t="inlineStr">
        <is>
          <t>BetaCredit</t>
        </is>
      </c>
      <c r="C50" s="567" t="inlineStr">
        <is>
          <t>BetaCredit - Cyber Security Assessment fase 3</t>
        </is>
      </c>
      <c r="D50" s="251" t="inlineStr">
        <is>
          <t>2740871165</t>
        </is>
      </c>
      <c r="E50" s="29" t="inlineStr">
        <is>
          <t>CU47V001</t>
        </is>
      </c>
      <c r="F50" s="611" t="n">
        <v>401</v>
      </c>
      <c r="G50" s="611" t="n">
        <v>378.53</v>
      </c>
      <c r="H50" s="612" t="n">
        <v>22.62</v>
      </c>
      <c r="I50" s="255" t="n">
        <v>0.9436105476673428</v>
      </c>
      <c r="J50" s="32" t="inlineStr">
        <is>
          <t>399,2 Cesarano straordinari novembre
De Carlini dicembre 56</t>
        </is>
      </c>
      <c r="K50" s="254" t="n">
        <v>378.53</v>
      </c>
    </row>
    <row r="51" hidden="1" ht="43.5" customHeight="1" s="564">
      <c r="B51" s="3" t="inlineStr">
        <is>
          <t>BetaCredit</t>
        </is>
      </c>
      <c r="C51" s="567" t="inlineStr">
        <is>
          <t>BetaCredit - Formazione</t>
        </is>
      </c>
      <c r="D51" s="20" t="inlineStr">
        <is>
          <t>2834029310</t>
        </is>
      </c>
      <c r="E51" s="289" t="inlineStr">
        <is>
          <t>C2YLZ001</t>
        </is>
      </c>
      <c r="F51" s="611" t="n">
        <v>301</v>
      </c>
      <c r="G51" s="611" t="n">
        <v>225.42</v>
      </c>
      <c r="H51" s="612" t="n">
        <v>75.65000000000001</v>
      </c>
      <c r="I51" s="255" t="n">
        <v>0.7487297297297298</v>
      </c>
      <c r="J51" s="32" t="inlineStr">
        <is>
          <t>De Carlini dicembre 56
77,73 Silvestri dicembre 1h
Giordano 112 dicembre</t>
        </is>
      </c>
      <c r="K51" s="250" t="n">
        <v>225.42</v>
      </c>
    </row>
    <row r="52" hidden="1" ht="43.5" customHeight="1" s="564">
      <c r="B52" s="3" t="inlineStr">
        <is>
          <t>BetaCredit</t>
        </is>
      </c>
      <c r="C52" s="5" t="inlineStr">
        <is>
          <t>BetaCredit - Application Security Fase 5</t>
        </is>
      </c>
      <c r="D52" s="20" t="inlineStr">
        <is>
          <t>51865904</t>
        </is>
      </c>
      <c r="E52" s="29" t="inlineStr">
        <is>
          <t>C5WGU001</t>
        </is>
      </c>
      <c r="F52" s="611" t="n">
        <v>976</v>
      </c>
      <c r="G52" s="611" t="n">
        <v>936.3200000000001</v>
      </c>
      <c r="H52" s="612" t="n">
        <v>40.12</v>
      </c>
      <c r="I52" s="255" t="n">
        <v>0.9589166666666668</v>
      </c>
      <c r="J52" s="32" t="inlineStr">
        <is>
          <t>426,7Trasferta Guerra dicembre
400 marvardi dicembre
204 lotito dicembre</t>
        </is>
      </c>
      <c r="K52" s="250" t="n">
        <v>936.3200000000001</v>
      </c>
    </row>
    <row r="53" hidden="1" ht="203" customHeight="1" s="564">
      <c r="B53" s="3" t="inlineStr">
        <is>
          <t>BetaCredit</t>
        </is>
      </c>
      <c r="C53" s="5" t="inlineStr">
        <is>
          <t>25-140RFP F.U. RUN ProdSec &amp; Sistemi</t>
        </is>
      </c>
      <c r="D53" s="20" t="inlineStr">
        <is>
          <t>0782518148</t>
        </is>
      </c>
      <c r="E53" s="29" t="inlineStr">
        <is>
          <t>CX3N1001</t>
        </is>
      </c>
      <c r="F53" s="611" t="n">
        <v>17088</v>
      </c>
      <c r="G53" s="611" t="n">
        <v>5542.04</v>
      </c>
      <c r="H53" s="612" t="n">
        <v>11545.66</v>
      </c>
      <c r="I53" s="255" t="n">
        <v>0.3243292857142857</v>
      </c>
      <c r="J53" s="32" t="inlineStr">
        <is>
          <t>550 Marvardi gennaio
400 marvardi gennaio
272 silvestri gennaio
400 Marvardi febbraio
350 De Carlini Acclaim Points
350 Oppi Acclaim Points
485,46 Silvestri febbraio
155 Schinoppi
1100 Marvardi febbraio
1193 Lotito Marzo
250 Schinoppi Aprile
42 De Carlini - training
11000 Ambrosi trasferta aprile
163,4 Sebastiano trasferta aprile</t>
        </is>
      </c>
      <c r="K53" s="250" t="n">
        <v>5542.04</v>
      </c>
    </row>
    <row r="54" hidden="1" ht="58" customHeight="1" s="564">
      <c r="B54" s="3" t="inlineStr">
        <is>
          <t>AlphaBank</t>
        </is>
      </c>
      <c r="C54" s="5" t="inlineStr">
        <is>
          <t>Supporto alla robotica in ambito Ricertificazioni Utenze</t>
        </is>
      </c>
      <c r="D54" s="20" t="inlineStr">
        <is>
          <t>21652067</t>
        </is>
      </c>
      <c r="E54" s="29" t="inlineStr">
        <is>
          <t>C7O22001</t>
        </is>
      </c>
      <c r="F54" s="611" t="n">
        <v>876</v>
      </c>
      <c r="G54" s="611" t="n">
        <v>729.84</v>
      </c>
      <c r="H54" s="612" t="n">
        <v>145.7</v>
      </c>
      <c r="I54" s="255" t="n">
        <v>0.8335873605947955</v>
      </c>
      <c r="J54" s="32" t="inlineStr">
        <is>
          <t>131, 52 Ambrosi 4h gennaio rilasci siteminder
324,82 daniele guerra febbraio
272,60 Guerra Trasferta Feb + 112
56 Diaria trasferta Ruggiero marzo</t>
        </is>
      </c>
      <c r="K54" s="250" t="n">
        <v>729.84</v>
      </c>
    </row>
    <row r="55" hidden="1" ht="29" customHeight="1" s="564">
      <c r="B55" s="3" t="inlineStr">
        <is>
          <t>AlphaBank</t>
        </is>
      </c>
      <c r="C55" s="32" t="inlineStr">
        <is>
          <t>Supporto ProdSec per campagna ricertificazione utenze 2026</t>
        </is>
      </c>
      <c r="D55" s="20" t="inlineStr">
        <is>
          <t>34195032</t>
        </is>
      </c>
      <c r="E55" s="29" t="inlineStr">
        <is>
          <t>COWSJ001</t>
        </is>
      </c>
      <c r="F55" s="611" t="n">
        <v>1439</v>
      </c>
      <c r="G55" s="611" t="n">
        <v>1119</v>
      </c>
      <c r="H55" s="612" t="n">
        <v>320</v>
      </c>
      <c r="I55" s="255" t="n">
        <v>0.7777149321266968</v>
      </c>
      <c r="J55" s="32" t="inlineStr">
        <is>
          <t>975 trasferta ambrosi feb
400 Marvardi feb</t>
        </is>
      </c>
      <c r="K55" s="250" t="n">
        <v>1119</v>
      </c>
    </row>
    <row r="56" hidden="1" ht="72.5" customHeight="1" s="564">
      <c r="B56" s="3" t="inlineStr">
        <is>
          <t>AlphaBank</t>
        </is>
      </c>
      <c r="C56" s="32" t="inlineStr">
        <is>
          <t>DR - DMZR e Local Test 2026</t>
        </is>
      </c>
      <c r="D56" s="20" t="inlineStr">
        <is>
          <t>9508732258</t>
        </is>
      </c>
      <c r="E56" s="29" t="inlineStr">
        <is>
          <t>CQEH4001</t>
        </is>
      </c>
      <c r="F56" s="611" t="n">
        <v>2776</v>
      </c>
      <c r="G56" s="611" t="n">
        <v>1750.95</v>
      </c>
      <c r="H56" s="612" t="n">
        <v>1024.58</v>
      </c>
      <c r="I56" s="255" t="n">
        <v>0.6308531222515392</v>
      </c>
      <c r="J56" s="32" t="inlineStr">
        <is>
          <t>760 Ambrosi Febbraio trasferta+rilascio siteminder
Colombo marzo
400 marvardi marzo
591,84 Ambrosi 18h rilasci siteminder marzo
400 Marvardi aprile</t>
        </is>
      </c>
      <c r="K56" s="250" t="n">
        <v>1750.95</v>
      </c>
    </row>
    <row r="57" hidden="1" ht="72.5" customHeight="1" s="564">
      <c r="B57" s="3" t="inlineStr">
        <is>
          <t>AlphaBank</t>
        </is>
      </c>
      <c r="C57" s="567" t="inlineStr">
        <is>
          <t>Microgmentation – AP Digital 2026</t>
        </is>
      </c>
      <c r="D57" s="392" t="n">
        <v>10185569</v>
      </c>
      <c r="E57" s="29" t="inlineStr">
        <is>
          <t>CAXBL001</t>
        </is>
      </c>
      <c r="F57" s="611" t="n">
        <v>2684</v>
      </c>
      <c r="G57" s="611" t="n">
        <v>2607.71</v>
      </c>
      <c r="H57" s="612" t="n">
        <v>75.87</v>
      </c>
      <c r="I57" s="255" t="n">
        <v>0.9717283201940571</v>
      </c>
      <c r="J57" s="32" t="inlineStr">
        <is>
          <t>Lotito Marzo 800
Ore BD Silvesti giugno
1100 Marvardi giugno
500 lotito giugno
214,80 Trasferta giugno Ruggiero</t>
        </is>
      </c>
      <c r="K57" s="250" t="n">
        <v>2607.71</v>
      </c>
    </row>
    <row r="58" hidden="1" ht="43.5" customHeight="1" s="564">
      <c r="B58" s="3" t="inlineStr">
        <is>
          <t>AlphaBank</t>
        </is>
      </c>
      <c r="C58" s="567" t="inlineStr">
        <is>
          <t>Microgmentation – CoreBanking 2026</t>
        </is>
      </c>
      <c r="D58" s="3" t="n">
        <v>10185571</v>
      </c>
      <c r="E58" s="29" t="inlineStr">
        <is>
          <t>CMCJJ001</t>
        </is>
      </c>
      <c r="F58" s="611" t="n">
        <v>2684</v>
      </c>
      <c r="G58" s="611" t="n">
        <v>2531.26</v>
      </c>
      <c r="H58" s="612" t="n">
        <v>152.32</v>
      </c>
      <c r="I58" s="255" t="n">
        <v>0.9432383262583385</v>
      </c>
      <c r="J58" s="32" t="inlineStr">
        <is>
          <t>2500 Lotito Aprile
500 Tommasina giugno
110,8 Cortese trasferta giugno</t>
        </is>
      </c>
      <c r="K58" s="250" t="n">
        <v>2531.26</v>
      </c>
    </row>
    <row r="59" hidden="1" ht="72.5" customHeight="1" s="564">
      <c r="B59" s="3" t="inlineStr">
        <is>
          <t>AlphaBank</t>
        </is>
      </c>
      <c r="C59" s="5" t="inlineStr">
        <is>
          <t>Microgmentation – ProdSec 2026</t>
        </is>
      </c>
      <c r="D59" s="567" t="n">
        <v>10185573</v>
      </c>
      <c r="E59" s="29" t="inlineStr">
        <is>
          <t>CBROS001</t>
        </is>
      </c>
      <c r="F59" s="611" t="n">
        <v>2684</v>
      </c>
      <c r="G59" s="611" t="n">
        <v>1668.41</v>
      </c>
      <c r="H59" s="612" t="n">
        <v>1015.17</v>
      </c>
      <c r="I59" s="255" t="n">
        <v>0.621710127349909</v>
      </c>
      <c r="J59" s="32" t="inlineStr">
        <is>
          <t>430 Bufacchi trasferta marzo
190 cesarano trasferta aprile
372,4 Sebastiano trasferta aprile
640 Del Deo Trasferta aprile
418 Del Deo trasferta aprile</t>
        </is>
      </c>
      <c r="K59" s="250" t="n">
        <v>1668.41</v>
      </c>
    </row>
    <row r="60" hidden="1" ht="43.5" customHeight="1" s="564">
      <c r="B60" s="3" t="inlineStr">
        <is>
          <t>AlphaBank</t>
        </is>
      </c>
      <c r="C60" s="5" t="inlineStr">
        <is>
          <t>Siteminder Technical Lead_estensione 2026</t>
        </is>
      </c>
      <c r="D60" s="567" t="n">
        <v>10186216</v>
      </c>
      <c r="E60" s="29" t="inlineStr">
        <is>
          <t>C4D6I001</t>
        </is>
      </c>
      <c r="F60" s="611" t="n">
        <v>1350</v>
      </c>
      <c r="G60" s="611" t="n">
        <v>1313.19</v>
      </c>
      <c r="H60" s="612" t="n">
        <v>36.74</v>
      </c>
      <c r="I60" s="255" t="n">
        <v>0.9727823990355636</v>
      </c>
      <c r="J60" s="32" t="inlineStr">
        <is>
          <t>544,11 Silvestri bd marzo
821 Ambrosi trasferta marzo
3,2h Silvestri Maggio</t>
        </is>
      </c>
      <c r="K60" s="250" t="n">
        <v>1313.19</v>
      </c>
    </row>
    <row r="61" hidden="1" ht="29" customHeight="1" s="564">
      <c r="B61" s="3" t="inlineStr">
        <is>
          <t>BetaCredit</t>
        </is>
      </c>
      <c r="C61" s="5" t="inlineStr">
        <is>
          <t>BetaCredit Cyber Security - Antifrode 2026_fase1</t>
        </is>
      </c>
      <c r="D61" s="567" t="n">
        <v>10184092</v>
      </c>
      <c r="E61" s="29" t="inlineStr">
        <is>
          <t>CJROY001</t>
        </is>
      </c>
      <c r="F61" s="611" t="n">
        <v>988</v>
      </c>
      <c r="G61" s="611" t="n">
        <v>960.41</v>
      </c>
      <c r="H61" s="612" t="n">
        <v>27.42</v>
      </c>
      <c r="I61" s="255" t="n">
        <v>0.9722405271828665</v>
      </c>
      <c r="J61" s="32" t="inlineStr">
        <is>
          <t>1100 Marvardi Marzo
80,30 Ruggiero trasferta marzo</t>
        </is>
      </c>
      <c r="K61" s="250" t="n">
        <v>960.41</v>
      </c>
    </row>
    <row r="62" hidden="1" s="564">
      <c r="B62" s="3" t="inlineStr">
        <is>
          <t>AlphaBank</t>
        </is>
      </c>
      <c r="C62" s="5" t="inlineStr">
        <is>
          <t>Add on servizio ZetaGroup</t>
        </is>
      </c>
      <c r="D62" s="567" t="n">
        <v>10194129</v>
      </c>
      <c r="E62" s="29" t="inlineStr">
        <is>
          <t>CCU4A001</t>
        </is>
      </c>
      <c r="F62" s="611" t="n">
        <v>324</v>
      </c>
      <c r="G62" s="611" t="n">
        <v>309.91</v>
      </c>
      <c r="H62" s="612" t="n">
        <v>13.94</v>
      </c>
      <c r="I62" s="255" t="n">
        <v>0.9569597989949749</v>
      </c>
      <c r="J62" s="5" t="inlineStr">
        <is>
          <t>4,9 Silvestri bd Aprile</t>
        </is>
      </c>
      <c r="K62" s="250" t="n">
        <v>309.91</v>
      </c>
    </row>
    <row r="63" hidden="1" ht="29" customHeight="1" s="564">
      <c r="B63" s="3" t="inlineStr">
        <is>
          <t>AlphaBank</t>
        </is>
      </c>
      <c r="C63" s="5" t="inlineStr">
        <is>
          <t>DMZR Test 2026 – extra effort Governance</t>
        </is>
      </c>
      <c r="D63" s="567" t="n">
        <v>10194126</v>
      </c>
      <c r="E63" s="29" t="inlineStr">
        <is>
          <t>CUZO7001</t>
        </is>
      </c>
      <c r="F63" s="611" t="n">
        <v>750</v>
      </c>
      <c r="G63" s="611" t="n">
        <v>678</v>
      </c>
      <c r="H63" s="612" t="n">
        <v>89</v>
      </c>
      <c r="I63" s="255" t="n">
        <v>0.903470715835141</v>
      </c>
      <c r="J63" s="32" t="inlineStr">
        <is>
          <t>721 Del Deo maggio trasferta 
2 Diarie Buja rimborso taxi giugno</t>
        </is>
      </c>
      <c r="K63" s="250" t="n">
        <v>678</v>
      </c>
    </row>
    <row r="64" hidden="1" ht="58" customHeight="1" s="564">
      <c r="B64" s="3" t="inlineStr">
        <is>
          <t>BetaCredit</t>
        </is>
      </c>
      <c r="C64" s="5" t="inlineStr">
        <is>
          <t>BetaCredit - Supporto Antifrode</t>
        </is>
      </c>
      <c r="D64" s="567" t="n">
        <v>10197284</v>
      </c>
      <c r="E64" s="29" t="inlineStr">
        <is>
          <t>CZOFY001</t>
        </is>
      </c>
      <c r="F64" s="611" t="n">
        <v>3002</v>
      </c>
      <c r="G64" s="611" t="n">
        <v>2101.64</v>
      </c>
      <c r="H64" s="612" t="n">
        <v>900.1</v>
      </c>
      <c r="I64" s="255" t="n">
        <v>0.7001409596096504</v>
      </c>
      <c r="J64" s="32" t="inlineStr">
        <is>
          <t>SAP SSO proposal marzo 366,22
1000 Ambrosi Trasferta aprile
1100 Marvardi aprile
1,5 h Silvestri aprile</t>
        </is>
      </c>
      <c r="K64" s="250" t="n">
        <v>2101.64</v>
      </c>
    </row>
    <row r="65" hidden="1" ht="43.5" customHeight="1" s="564">
      <c r="B65" s="3" t="inlineStr">
        <is>
          <t>BetaCredit</t>
        </is>
      </c>
      <c r="C65" s="5" t="inlineStr">
        <is>
          <t>BetaCredit Cyber Security fase 2</t>
        </is>
      </c>
      <c r="D65" s="567" t="n">
        <v>10197843</v>
      </c>
      <c r="E65" s="29" t="inlineStr">
        <is>
          <t>CFSRW001</t>
        </is>
      </c>
      <c r="F65" s="611" t="n">
        <v>2851</v>
      </c>
      <c r="G65" s="611" t="n">
        <v>2848</v>
      </c>
      <c r="H65" s="612" t="n">
        <v>4</v>
      </c>
      <c r="I65" s="255" t="n">
        <v>0.9988584474885844</v>
      </c>
      <c r="J65" s="32" t="inlineStr">
        <is>
          <t>1100 Marvardi maggio
400 Marvardi giugno
Lotito maggio 2k</t>
        </is>
      </c>
      <c r="K65" s="250" t="n">
        <v>2848</v>
      </c>
      <c r="M65" s="601" t="n"/>
    </row>
    <row r="66" hidden="1" ht="43.5" customHeight="1" s="564">
      <c r="B66" s="3" t="inlineStr">
        <is>
          <t>AlphaBank</t>
        </is>
      </c>
      <c r="C66" s="567" t="inlineStr">
        <is>
          <t>Add on servizio ZetaGroup_2</t>
        </is>
      </c>
      <c r="D66" s="3" t="n">
        <v>10215715</v>
      </c>
      <c r="E66" s="29" t="inlineStr">
        <is>
          <t>CRAZV001</t>
        </is>
      </c>
      <c r="F66" s="611" t="n">
        <v>800</v>
      </c>
      <c r="G66" s="611" t="n">
        <v>602.11</v>
      </c>
      <c r="H66" s="612" t="n">
        <v>197.76</v>
      </c>
      <c r="I66" s="255" t="n">
        <v>0.7527568667344863</v>
      </c>
      <c r="J66" s="32" t="inlineStr">
        <is>
          <t>400 Marvardi Maggio
3,2 H Silvestri maggio
1h vincenzo conti maggio</t>
        </is>
      </c>
      <c r="K66" s="3" t="n">
        <v>602.11</v>
      </c>
      <c r="M66" s="601" t="n"/>
    </row>
    <row r="67" hidden="1" ht="29" customHeight="1" s="564">
      <c r="B67" s="3" t="inlineStr">
        <is>
          <t>Cardif</t>
        </is>
      </c>
      <c r="C67" s="5" t="inlineStr">
        <is>
          <t>IT Ops and Production Security Support</t>
        </is>
      </c>
      <c r="D67" s="567" t="n">
        <v>10217327</v>
      </c>
      <c r="E67" s="29" t="inlineStr">
        <is>
          <t>CGT5N001</t>
        </is>
      </c>
      <c r="F67" s="611" t="n">
        <v>5652</v>
      </c>
      <c r="G67" s="611" t="n">
        <v>5289</v>
      </c>
      <c r="H67" s="612" t="n">
        <v>363</v>
      </c>
      <c r="I67" s="255" t="n">
        <v>0.9357903829542182</v>
      </c>
      <c r="J67" s="32" t="inlineStr">
        <is>
          <t>CFC trasferta napoli giugno 3500 circa
3000 fabio colombo giugno</t>
        </is>
      </c>
      <c r="K67" s="3" t="n">
        <v>5289</v>
      </c>
      <c r="M67" s="601" t="n"/>
    </row>
    <row r="68" hidden="1" ht="29" customHeight="1" s="564">
      <c r="B68" s="3" t="inlineStr">
        <is>
          <t>OmegaPay</t>
        </is>
      </c>
      <c r="C68" s="567" t="inlineStr">
        <is>
          <t>OmegaPay - Security Cloud Architect</t>
        </is>
      </c>
      <c r="D68" s="3" t="n">
        <v>10227803</v>
      </c>
      <c r="E68" s="289" t="inlineStr">
        <is>
          <t>CECCK001</t>
        </is>
      </c>
      <c r="F68" s="611" t="n">
        <v>1709</v>
      </c>
      <c r="G68" s="611" t="n">
        <v>1474</v>
      </c>
      <c r="H68" s="612" t="n">
        <v>288</v>
      </c>
      <c r="I68" s="255" t="n">
        <v>0.8628571428571429</v>
      </c>
      <c r="J68" s="32" t="inlineStr">
        <is>
          <t>Alberto giugno 1q 1700
112 taxi dr</t>
        </is>
      </c>
      <c r="K68" s="3" t="n">
        <v>1474</v>
      </c>
      <c r="M68" s="601" t="n"/>
    </row>
    <row r="69" hidden="1" ht="58" customHeight="1" s="564">
      <c r="B69" s="3" t="inlineStr">
        <is>
          <t>AlphaBank</t>
        </is>
      </c>
      <c r="C69" s="567" t="inlineStr">
        <is>
          <t>AlphaBank - Mythos Assessment Cyber.AI</t>
        </is>
      </c>
      <c r="D69" s="3" t="n">
        <v>10245200</v>
      </c>
      <c r="E69" s="289" t="inlineStr">
        <is>
          <t>CY4PO001</t>
        </is>
      </c>
      <c r="F69" s="611" t="n">
        <v>3662</v>
      </c>
      <c r="G69" s="611" t="n">
        <v>2948.08</v>
      </c>
      <c r="H69" s="612" t="n">
        <v>713.5700000000001</v>
      </c>
      <c r="I69" s="255" t="n">
        <v>0.8051244444444444</v>
      </c>
      <c r="J69" s="32" t="inlineStr">
        <is>
          <t>Ambrosi trasferta DR giugno 2071.90 
Guerra trasgerta DR giugno 951,16
schinoppi trasferta napoli 150
Cesarano trasferta giugno 400</t>
        </is>
      </c>
      <c r="K69" s="3" t="n">
        <v>2948.08</v>
      </c>
    </row>
    <row r="70" hidden="1" ht="58" customHeight="1" s="564">
      <c r="B70" s="3" t="inlineStr">
        <is>
          <t>BetaCredit</t>
        </is>
      </c>
      <c r="C70" s="567" t="inlineStr">
        <is>
          <t>BetaCredit - CyberSec Assessment Fase5</t>
        </is>
      </c>
      <c r="D70" s="3" t="n">
        <v>10245151</v>
      </c>
      <c r="E70" s="289" t="inlineStr">
        <is>
          <t>CWBAC001</t>
        </is>
      </c>
      <c r="F70" s="611" t="n">
        <v>3531</v>
      </c>
      <c r="G70" s="611" t="n">
        <v>2685</v>
      </c>
      <c r="H70" s="612" t="n">
        <v>846</v>
      </c>
      <c r="I70" s="255" t="n">
        <v>0.7603686635944701</v>
      </c>
      <c r="J70" s="32" t="inlineStr">
        <is>
          <t>Alberto giugno 2q 1500
Antonio Rallo giuno 400 
1000 Tomasina
400 Marvardi luglio</t>
        </is>
      </c>
      <c r="K70" s="3" t="n">
        <v>2685</v>
      </c>
    </row>
    <row r="71">
      <c r="B71" s="3" t="inlineStr">
        <is>
          <t>BetaCredit</t>
        </is>
      </c>
      <c r="C71" s="567" t="inlineStr">
        <is>
          <t>BetaCredit - Mythos Assessment Cyber.AI</t>
        </is>
      </c>
      <c r="D71" s="3" t="n">
        <v>10245196</v>
      </c>
      <c r="E71" s="567" t="inlineStr">
        <is>
          <t>CGPPP001</t>
        </is>
      </c>
      <c r="F71" s="611" t="n">
        <v>3662</v>
      </c>
      <c r="G71" s="611" t="n">
        <v>395.02</v>
      </c>
      <c r="H71" s="612" t="n">
        <v>3266.63</v>
      </c>
      <c r="I71" s="255" t="n">
        <v>0.10788</v>
      </c>
      <c r="J71" s="5" t="inlineStr">
        <is>
          <t>6,2 H Silvestri giugno</t>
        </is>
      </c>
      <c r="K71" s="3" t="n">
        <v>395.02</v>
      </c>
    </row>
    <row r="72" ht="145" customHeight="1" s="564">
      <c r="B72" s="3" t="inlineStr">
        <is>
          <t>AlphaBank</t>
        </is>
      </c>
      <c r="C72" s="5" t="inlineStr">
        <is>
          <t>AlphaBank - DR Local 2027-2029</t>
        </is>
      </c>
      <c r="D72" s="3" t="n">
        <v>10253384</v>
      </c>
      <c r="E72" s="5" t="inlineStr">
        <is>
          <t>CM4V1001</t>
        </is>
      </c>
      <c r="F72" s="611" t="n">
        <v>9520</v>
      </c>
      <c r="G72" s="611" t="n">
        <v>6363.87</v>
      </c>
      <c r="H72" s="612" t="n">
        <v>3156.42</v>
      </c>
      <c r="I72" s="255" t="n">
        <v>0.6684529914529914</v>
      </c>
      <c r="J72" s="32" t="inlineStr">
        <is>
          <t>795,1 Straordinari DR 2q
Lotito 1q luglio 831
2k Ravenna luglio DR
400 Marvardi agosto
3,2h Silvestri agosto
1100 marvardi agosto
1100 marvardi luglio
lotito luglio 2q
1000 Carlomagno agosto
20 Ambrosi cyberai bootcamp</t>
        </is>
      </c>
      <c r="K72" s="3" t="n">
        <v>6363.87</v>
      </c>
    </row>
    <row r="73">
      <c r="B73" s="3" t="inlineStr">
        <is>
          <t>BetaCredit</t>
        </is>
      </c>
      <c r="C73" s="5" t="inlineStr">
        <is>
          <t>BetaCredit_PMO SAST</t>
        </is>
      </c>
      <c r="D73" s="3" t="n">
        <v>10264130</v>
      </c>
      <c r="E73" s="5" t="inlineStr">
        <is>
          <t>C2NAQ001</t>
        </is>
      </c>
      <c r="F73" s="611" t="n">
        <v>1001</v>
      </c>
      <c r="G73" s="611" t="n">
        <v>130</v>
      </c>
      <c r="H73" s="612" t="n">
        <v>895</v>
      </c>
      <c r="I73" s="255" t="n">
        <v>0.1056910569105691</v>
      </c>
      <c r="J73" s="5" t="inlineStr">
        <is>
          <t>130 Ambrosi certificzione</t>
        </is>
      </c>
      <c r="K73" s="3" t="n">
        <v>130</v>
      </c>
    </row>
    <row r="74">
      <c r="B74" s="3" t="inlineStr">
        <is>
          <t>BetaCredit</t>
        </is>
      </c>
      <c r="C74" s="5" t="inlineStr">
        <is>
          <t>Giorgio Conti</t>
        </is>
      </c>
      <c r="D74" s="3" t="n">
        <v>10266339</v>
      </c>
      <c r="E74" s="5" t="inlineStr">
        <is>
          <t>CB3L7001</t>
        </is>
      </c>
      <c r="F74" s="611" t="n">
        <v>3662</v>
      </c>
      <c r="G74" s="611" t="n">
        <v>0</v>
      </c>
      <c r="H74" s="612" t="n">
        <v>3662</v>
      </c>
      <c r="I74" s="255" t="n">
        <v>0</v>
      </c>
      <c r="J74" s="5" t="n"/>
      <c r="K74" s="5" t="n"/>
    </row>
    <row r="75">
      <c r="B75" s="3" t="inlineStr">
        <is>
          <t>AlphaBank</t>
        </is>
      </c>
      <c r="C75" s="5" t="inlineStr">
        <is>
          <t>AlphaBank RFP - Microsegmentazione 2027</t>
        </is>
      </c>
      <c r="D75" s="3" t="n">
        <v>10270636</v>
      </c>
      <c r="E75" s="5" t="inlineStr">
        <is>
          <t>CFRIU001</t>
        </is>
      </c>
      <c r="F75" s="611" t="n">
        <v>1801</v>
      </c>
      <c r="G75" s="611" t="n">
        <v>0</v>
      </c>
      <c r="H75" s="612" t="n">
        <v>1801</v>
      </c>
      <c r="I75" s="255" t="n">
        <v>0</v>
      </c>
      <c r="J75" s="5" t="n"/>
      <c r="K75" s="5" t="n"/>
    </row>
    <row r="76">
      <c r="B76" s="3" t="inlineStr">
        <is>
          <t>Cardif</t>
        </is>
      </c>
      <c r="C76" s="5" t="inlineStr">
        <is>
          <t>Cardif - Logos</t>
        </is>
      </c>
      <c r="D76" s="3" t="n">
        <v>10272855</v>
      </c>
      <c r="E76" s="5" t="inlineStr">
        <is>
          <t>C0CLX001</t>
        </is>
      </c>
      <c r="F76" s="611" t="n">
        <v>2441</v>
      </c>
      <c r="G76" s="611" t="n">
        <v>0</v>
      </c>
      <c r="H76" s="612" t="n">
        <v>2441</v>
      </c>
      <c r="I76" s="255" t="n">
        <v>0</v>
      </c>
      <c r="J76" s="5" t="n"/>
      <c r="K76" s="5" t="n"/>
    </row>
    <row r="77">
      <c r="B77" s="3" t="inlineStr">
        <is>
          <t>Cardif</t>
        </is>
      </c>
      <c r="C77" s="5" t="inlineStr">
        <is>
          <t>Cardif - Cyber.AI</t>
        </is>
      </c>
      <c r="D77" s="3" t="n">
        <v>10272860</v>
      </c>
      <c r="E77" s="5" t="inlineStr">
        <is>
          <t>CC8UA001</t>
        </is>
      </c>
      <c r="F77" s="611" t="n">
        <v>2441</v>
      </c>
      <c r="G77" s="611" t="n">
        <v>0</v>
      </c>
      <c r="H77" s="612" t="n">
        <v>2441</v>
      </c>
      <c r="I77" s="255" t="n">
        <v>0</v>
      </c>
      <c r="J77" s="5" t="n"/>
      <c r="K77" s="5" t="n"/>
    </row>
    <row r="78">
      <c r="B78" s="3" t="inlineStr">
        <is>
          <t>AlphaBank</t>
        </is>
      </c>
      <c r="C78" s="5" t="inlineStr">
        <is>
          <t>AlphaBank - Logos</t>
        </is>
      </c>
      <c r="D78" s="3" t="n">
        <v>10272871</v>
      </c>
      <c r="E78" s="5" t="inlineStr">
        <is>
          <t>C1OK5001</t>
        </is>
      </c>
      <c r="F78" s="611" t="n">
        <v>2441</v>
      </c>
      <c r="G78" s="611" t="n">
        <v>0</v>
      </c>
      <c r="H78" s="612" t="n">
        <v>2441</v>
      </c>
      <c r="I78" s="255" t="n">
        <v>0</v>
      </c>
      <c r="J78" s="5" t="n"/>
      <c r="K78" s="5" t="n"/>
    </row>
    <row r="79">
      <c r="B79" s="3" t="inlineStr">
        <is>
          <t>BetaCredit</t>
        </is>
      </c>
      <c r="C79" s="567" t="inlineStr">
        <is>
          <t>BetaCredit - Logos</t>
        </is>
      </c>
      <c r="D79" s="3" t="n">
        <v>10272876</v>
      </c>
      <c r="E79" s="567" t="inlineStr">
        <is>
          <t>CULU9001</t>
        </is>
      </c>
      <c r="F79" s="611" t="n">
        <v>2441</v>
      </c>
      <c r="G79" s="611" t="n">
        <v>0</v>
      </c>
      <c r="H79" s="612" t="n">
        <v>2441</v>
      </c>
      <c r="I79" s="255" t="n">
        <v>0</v>
      </c>
      <c r="J79" s="5" t="n"/>
      <c r="K79" s="5" t="n"/>
    </row>
    <row r="80">
      <c r="B80" s="3" t="inlineStr">
        <is>
          <t>AlphaBank</t>
        </is>
      </c>
      <c r="C80" s="567" t="inlineStr">
        <is>
          <t>AlphaBank - AI PenTesting</t>
        </is>
      </c>
      <c r="D80" s="3" t="n">
        <v>10278806</v>
      </c>
      <c r="E80" s="3" t="n"/>
      <c r="F80" s="611" t="n">
        <v>488</v>
      </c>
      <c r="G80" s="611" t="n">
        <v>0</v>
      </c>
      <c r="H80" s="612" t="n">
        <v>488</v>
      </c>
      <c r="I80" s="255" t="n">
        <v>0</v>
      </c>
      <c r="J80" s="5" t="n"/>
      <c r="K80" s="5" t="n"/>
    </row>
    <row r="81">
      <c r="B81" s="3" t="inlineStr">
        <is>
          <t>AlphaBank</t>
        </is>
      </c>
      <c r="C81" s="567" t="inlineStr">
        <is>
          <t>AlphaBank - AI SOC Automation</t>
        </is>
      </c>
      <c r="D81" s="3" t="n">
        <v>10278806</v>
      </c>
      <c r="E81" s="3" t="n"/>
      <c r="F81" s="611" t="n">
        <v>1221</v>
      </c>
      <c r="G81" s="611" t="n">
        <v>0</v>
      </c>
      <c r="H81" s="612" t="n">
        <v>1221</v>
      </c>
      <c r="I81" s="255" t="n">
        <v>0</v>
      </c>
      <c r="J81" s="5" t="n"/>
      <c r="K81" s="5" t="n"/>
    </row>
    <row r="82">
      <c r="B82" s="3" t="inlineStr">
        <is>
          <t>AlphaBank</t>
        </is>
      </c>
      <c r="C82" s="567" t="inlineStr">
        <is>
          <t>AlphaBank - Vulnerability Mgmgt AI Assessment</t>
        </is>
      </c>
      <c r="D82" s="3" t="n">
        <v>10278807</v>
      </c>
      <c r="E82" s="3" t="n"/>
      <c r="F82" s="611" t="n">
        <v>732</v>
      </c>
      <c r="G82" s="611" t="n">
        <v>0</v>
      </c>
      <c r="H82" s="612" t="n">
        <v>732</v>
      </c>
      <c r="I82" s="255" t="n">
        <v>0</v>
      </c>
      <c r="J82" s="5" t="n"/>
      <c r="K82" s="5" t="n"/>
    </row>
    <row r="83">
      <c r="B83" s="3" t="inlineStr">
        <is>
          <t>BetaCredit</t>
        </is>
      </c>
      <c r="C83" s="567" t="inlineStr">
        <is>
          <t>BetaCredit - Cybersecurity Q3</t>
        </is>
      </c>
      <c r="D83" s="3" t="n">
        <v>10282616</v>
      </c>
      <c r="E83" s="3" t="n"/>
      <c r="F83" s="611" t="n">
        <v>4211</v>
      </c>
      <c r="G83" s="611" t="n">
        <v>0</v>
      </c>
      <c r="H83" s="612" t="n">
        <v>4211</v>
      </c>
      <c r="I83" s="255" t="n">
        <v>0</v>
      </c>
      <c r="J83" s="3" t="n"/>
      <c r="K83" s="5" t="n"/>
    </row>
    <row r="84">
      <c r="B84" s="3" t="inlineStr">
        <is>
          <t>BetaCredit</t>
        </is>
      </c>
      <c r="C84" s="567" t="inlineStr">
        <is>
          <t>BetaCredit - Cybersecurity Q4</t>
        </is>
      </c>
      <c r="D84" s="3" t="n">
        <v>10282618</v>
      </c>
      <c r="E84" s="3" t="n"/>
      <c r="F84" s="611" t="n">
        <v>4211</v>
      </c>
      <c r="G84" s="611" t="n">
        <v>0</v>
      </c>
      <c r="H84" s="612" t="n">
        <v>4211</v>
      </c>
      <c r="I84" s="255" t="n">
        <v>0</v>
      </c>
      <c r="J84" s="3" t="n"/>
      <c r="K84" s="5" t="n"/>
    </row>
    <row r="85">
      <c r="B85" s="3" t="inlineStr">
        <is>
          <t>AlphaBank</t>
        </is>
      </c>
      <c r="C85" s="567" t="inlineStr">
        <is>
          <t>AlphaBank RFP - Business Continuity</t>
        </is>
      </c>
      <c r="D85" s="3" t="n">
        <v>10282311</v>
      </c>
      <c r="E85" s="567" t="inlineStr">
        <is>
          <t>CED4U001</t>
        </is>
      </c>
      <c r="F85" s="611" t="n">
        <v>10578</v>
      </c>
      <c r="G85" s="611" t="n">
        <v>0</v>
      </c>
      <c r="H85" s="612" t="n">
        <v>10578</v>
      </c>
      <c r="I85" s="255" t="n">
        <v>0</v>
      </c>
      <c r="J85" s="3" t="n"/>
      <c r="K85" s="5" t="n"/>
    </row>
    <row r="86">
      <c r="B86" s="3" t="inlineStr">
        <is>
          <t>AlphaBank</t>
        </is>
      </c>
      <c r="C86" s="567" t="inlineStr">
        <is>
          <t>AlphaBank RFP - TLPT</t>
        </is>
      </c>
      <c r="D86" s="3" t="n">
        <v>10290813</v>
      </c>
      <c r="E86" s="567" t="n"/>
      <c r="F86" s="611" t="n">
        <v>2441</v>
      </c>
      <c r="G86" s="611" t="n">
        <v>0</v>
      </c>
      <c r="H86" s="612" t="n">
        <v>2441</v>
      </c>
      <c r="I86" s="255" t="n">
        <v>0</v>
      </c>
      <c r="J86" s="3" t="n"/>
      <c r="K86" s="5" t="n"/>
    </row>
  </sheetData>
  <autoFilter ref="B3:J85">
    <filterColumn colId="3" hiddenButton="0" showButton="1">
      <colorFilter dxfId="86"/>
    </filterColumn>
  </autoFilter>
  <pageMargins left="0.7" right="0.7" top="0.75" bottom="0.75" header="0.3" footer="0.3"/>
  <pageSetup orientation="portrait" paperSize="9" horizontalDpi="300" verticalDpi="300"/>
  <legacyDrawing xmlns:r="http://schemas.openxmlformats.org/officeDocument/2006/relationships" r:id="anysvml"/>
</worksheet>
</file>

<file path=xl/worksheets/sheet7.xml><?xml version="1.0" encoding="utf-8"?>
<worksheet xmlns="http://schemas.openxmlformats.org/spreadsheetml/2006/main">
  <sheetPr codeName="Sheet16">
    <outlinePr summaryBelow="1" summaryRight="1"/>
    <pageSetUpPr/>
  </sheetPr>
  <dimension ref="A1:BX82"/>
  <sheetViews>
    <sheetView zoomScale="60" zoomScaleNormal="60" workbookViewId="0">
      <pane xSplit="4" ySplit="4" topLeftCell="E5" activePane="bottomRight" state="frozen"/>
      <selection activeCell="AF18" sqref="AF18"/>
      <selection pane="topRight" activeCell="AF18" sqref="AF18"/>
      <selection pane="bottomLeft" activeCell="AF18" sqref="AF18"/>
      <selection pane="bottomRight" activeCell="B37" sqref="B36:B37"/>
    </sheetView>
  </sheetViews>
  <sheetFormatPr baseColWidth="8" defaultRowHeight="14.5"/>
  <cols>
    <col width="3.54296875" customWidth="1" style="564" min="1" max="1"/>
    <col width="45" customWidth="1" style="564" min="2" max="2"/>
    <col width="18.54296875" bestFit="1" customWidth="1" style="564" min="3" max="3"/>
    <col width="14.54296875" bestFit="1" customWidth="1" style="564" min="4" max="4"/>
    <col hidden="1" width="6.26953125" customWidth="1" style="564" min="5" max="5"/>
    <col hidden="1" width="11.54296875" customWidth="1" style="564" min="6" max="6"/>
    <col hidden="1" width="6.26953125" customWidth="1" style="564" min="7" max="7"/>
    <col hidden="1" width="11.54296875" customWidth="1" style="564" min="8" max="8"/>
    <col hidden="1" width="6.26953125" customWidth="1" style="564" min="9" max="9"/>
    <col hidden="1" width="11.54296875" customWidth="1" style="564" min="10" max="10"/>
    <col hidden="1" width="6.26953125" customWidth="1" style="564" min="11" max="11"/>
    <col hidden="1" width="11.54296875" customWidth="1" style="564" min="12" max="12"/>
    <col hidden="1" width="6.26953125" customWidth="1" style="564" min="13" max="13"/>
    <col hidden="1" width="11.54296875" customWidth="1" style="564" min="14" max="14"/>
    <col hidden="1" width="6.26953125" customWidth="1" style="564" min="15" max="15"/>
    <col hidden="1" width="11.54296875" customWidth="1" style="564" min="16" max="16"/>
    <col hidden="1" width="5.453125" customWidth="1" style="564" min="17" max="17"/>
    <col hidden="1" width="11.54296875" customWidth="1" style="564" min="18" max="18"/>
    <col hidden="1" width="5.453125" customWidth="1" style="564" min="19" max="19"/>
    <col hidden="1" width="11.54296875" customWidth="1" style="564" min="20" max="20"/>
    <col hidden="1" width="5.453125" customWidth="1" style="564" min="21" max="21"/>
    <col hidden="1" width="11.54296875" customWidth="1" style="564" min="22" max="22"/>
    <col hidden="1" width="5.453125" customWidth="1" style="564" min="23" max="23"/>
    <col hidden="1" width="11.54296875" customWidth="1" style="564" min="24" max="24"/>
    <col hidden="1" width="5.453125" customWidth="1" style="564" min="25" max="25"/>
    <col hidden="1" width="13.54296875" customWidth="1" style="564" min="26" max="26"/>
    <col hidden="1" width="10.453125" customWidth="1" style="564" min="27" max="27"/>
    <col hidden="1" width="12" customWidth="1" style="564" min="28" max="28"/>
    <col hidden="1" width="5.453125" customWidth="1" style="564" min="29" max="29"/>
    <col hidden="1" width="11.54296875" customWidth="1" style="564" min="30" max="30"/>
    <col hidden="1" width="5.81640625" customWidth="1" style="564" min="31" max="31"/>
    <col hidden="1" width="11.54296875" customWidth="1" style="564" min="32" max="32"/>
    <col hidden="1" width="10.81640625" customWidth="1" style="564" min="33" max="33"/>
    <col hidden="1" width="13.1796875" customWidth="1" style="564" min="34" max="34"/>
    <col hidden="1" width="11.81640625" customWidth="1" style="564" min="35" max="35"/>
    <col hidden="1" width="12.7265625" customWidth="1" style="564" min="36" max="36"/>
    <col hidden="1" width="8.81640625" customWidth="1" style="564" min="37" max="37"/>
    <col hidden="1" width="11.54296875" customWidth="1" style="564" min="38" max="38"/>
    <col hidden="1" width="11.1796875" customWidth="1" style="564" min="39" max="39"/>
    <col hidden="1" width="13.1796875" customWidth="1" style="564" min="40" max="40"/>
    <col hidden="1" width="9.54296875" customWidth="1" style="582" min="41" max="41"/>
    <col hidden="1" width="18" customWidth="1" style="564" min="42" max="42"/>
    <col hidden="1" width="12.54296875" customWidth="1" style="564" min="43" max="43"/>
    <col hidden="1" width="12.6328125" customWidth="1" style="564" min="44" max="44"/>
    <col hidden="1" width="9.90625" customWidth="1" style="564" min="45" max="45"/>
    <col hidden="1" width="18" customWidth="1" style="564" min="46" max="46"/>
    <col hidden="1" width="9.1796875" customWidth="1" style="564" min="47" max="47"/>
    <col hidden="1" width="12.81640625" customWidth="1" style="564" min="48" max="48"/>
    <col width="12.81640625" bestFit="1" customWidth="1" style="564" min="49" max="50"/>
    <col width="11.81640625" bestFit="1" customWidth="1" style="564" min="51" max="51"/>
    <col width="13.36328125" customWidth="1" style="564" min="52" max="52"/>
    <col width="11.54296875" bestFit="1" customWidth="1" style="564" min="53" max="53"/>
    <col width="12.81640625" bestFit="1" customWidth="1" style="564" min="54" max="54"/>
    <col width="11.453125" customWidth="1" style="564" min="55" max="55"/>
    <col width="12.81640625" bestFit="1" customWidth="1" style="564" min="56" max="56"/>
    <col width="11.54296875" bestFit="1" customWidth="1" style="564" min="57" max="57"/>
    <col width="13.81640625" bestFit="1" customWidth="1" style="564" min="58" max="58"/>
    <col width="12.54296875" bestFit="1" customWidth="1" style="564" min="59" max="59"/>
    <col width="13.08984375" bestFit="1" customWidth="1" style="564" min="60" max="60"/>
    <col width="12" bestFit="1" customWidth="1" style="564" min="61" max="61"/>
    <col width="13.08984375" customWidth="1" style="564" min="62" max="62"/>
    <col width="12.1796875" customWidth="1" style="564" min="64" max="64"/>
    <col width="13.08984375" bestFit="1" customWidth="1" style="564" min="66" max="66"/>
    <col width="11" bestFit="1" customWidth="1" style="564" min="68" max="68"/>
    <col width="11" bestFit="1" customWidth="1" style="564" min="70" max="70"/>
    <col width="11" bestFit="1" customWidth="1" style="564" min="72" max="72"/>
    <col width="11" bestFit="1" customWidth="1" style="564" min="74" max="74"/>
    <col width="11" bestFit="1" customWidth="1" style="564" min="76" max="76"/>
  </cols>
  <sheetData>
    <row r="1">
      <c r="C1" s="586" t="n"/>
      <c r="E1" s="537" t="inlineStr">
        <is>
          <t>FY25</t>
        </is>
      </c>
      <c r="F1" s="333" t="n"/>
      <c r="G1" s="333" t="n"/>
      <c r="H1" s="333" t="n"/>
      <c r="I1" s="333" t="n"/>
      <c r="J1" s="333" t="n"/>
      <c r="K1" s="333" t="n"/>
      <c r="L1" s="333" t="n"/>
      <c r="M1" s="333" t="n"/>
      <c r="N1" s="333" t="n"/>
      <c r="O1" s="333" t="n"/>
      <c r="P1" s="333" t="n"/>
      <c r="Q1" s="333" t="n"/>
      <c r="R1" s="333" t="n"/>
      <c r="S1" s="333" t="n"/>
      <c r="T1" s="333" t="n"/>
      <c r="U1" s="333" t="n"/>
      <c r="V1" s="333" t="n"/>
      <c r="W1" s="333" t="n"/>
      <c r="X1" s="333" t="n"/>
      <c r="Y1" s="333" t="n"/>
      <c r="Z1" s="333" t="n"/>
      <c r="AA1" s="333" t="n"/>
      <c r="AB1" s="387" t="n"/>
      <c r="AC1" s="539" t="inlineStr">
        <is>
          <t>FY26</t>
        </is>
      </c>
      <c r="AD1" s="569" t="n"/>
      <c r="AE1" s="569" t="n"/>
      <c r="AF1" s="569" t="n"/>
      <c r="AG1" s="569" t="n"/>
      <c r="AH1" s="569" t="n"/>
      <c r="AI1" s="569" t="n"/>
      <c r="AJ1" s="569" t="n"/>
      <c r="AK1" s="569" t="n"/>
      <c r="AL1" s="569" t="n"/>
      <c r="AM1" s="569" t="n"/>
      <c r="AN1" s="569" t="n"/>
      <c r="AO1" s="569" t="n"/>
      <c r="AP1" s="569" t="n"/>
      <c r="AQ1" s="569" t="n"/>
      <c r="AR1" s="569" t="n"/>
      <c r="AS1" s="569" t="n"/>
      <c r="AT1" s="569" t="n"/>
      <c r="AU1" s="569" t="n"/>
      <c r="AV1" s="569" t="n"/>
      <c r="AW1" s="569" t="n"/>
      <c r="AX1" s="569" t="n"/>
      <c r="AY1" s="569" t="n"/>
      <c r="AZ1" s="569" t="n"/>
      <c r="BA1" s="541" t="inlineStr">
        <is>
          <t>FY27</t>
        </is>
      </c>
      <c r="BB1" s="569" t="n"/>
      <c r="BC1" s="569" t="n"/>
      <c r="BD1" s="569" t="n"/>
      <c r="BE1" s="569" t="n"/>
      <c r="BF1" s="569" t="n"/>
      <c r="BG1" s="569" t="n"/>
      <c r="BH1" s="569" t="n"/>
      <c r="BI1" s="569" t="n"/>
      <c r="BJ1" s="569" t="n"/>
      <c r="BK1" s="569" t="n"/>
      <c r="BL1" s="569" t="n"/>
      <c r="BM1" s="569" t="n"/>
      <c r="BN1" s="569" t="n"/>
      <c r="BO1" s="569" t="n"/>
      <c r="BP1" s="569" t="n"/>
      <c r="BQ1" s="569" t="n"/>
      <c r="BR1" s="569" t="n"/>
      <c r="BS1" s="569" t="n"/>
      <c r="BT1" s="569" t="n"/>
      <c r="BU1" s="569" t="n"/>
      <c r="BV1" s="569" t="n"/>
      <c r="BW1" s="569" t="n"/>
      <c r="BX1" s="569" t="n"/>
    </row>
    <row r="2">
      <c r="C2" s="586" t="n"/>
      <c r="D2" s="619" t="n"/>
      <c r="E2" s="534" t="inlineStr">
        <is>
          <t>sett</t>
        </is>
      </c>
      <c r="F2" s="581" t="n"/>
      <c r="G2" s="534" t="inlineStr">
        <is>
          <t>otto</t>
        </is>
      </c>
      <c r="H2" s="581" t="n"/>
      <c r="I2" s="534" t="inlineStr">
        <is>
          <t>nov</t>
        </is>
      </c>
      <c r="J2" s="581" t="n"/>
      <c r="K2" s="534" t="inlineStr">
        <is>
          <t>dic</t>
        </is>
      </c>
      <c r="L2" s="581" t="n"/>
      <c r="M2" s="534" t="inlineStr">
        <is>
          <t>gen</t>
        </is>
      </c>
      <c r="N2" s="534" t="n"/>
      <c r="O2" s="534" t="inlineStr">
        <is>
          <t>feb</t>
        </is>
      </c>
      <c r="P2" s="534" t="n"/>
      <c r="Q2" s="534" t="inlineStr">
        <is>
          <t>mar</t>
        </is>
      </c>
      <c r="R2" s="534" t="n"/>
      <c r="S2" s="534" t="inlineStr">
        <is>
          <t>apr</t>
        </is>
      </c>
      <c r="T2" s="204" t="n"/>
      <c r="U2" s="534" t="inlineStr">
        <is>
          <t>mag</t>
        </is>
      </c>
      <c r="V2" s="534" t="n"/>
      <c r="W2" s="534" t="inlineStr">
        <is>
          <t>giu</t>
        </is>
      </c>
      <c r="X2" s="581" t="n"/>
      <c r="Y2" s="534" t="inlineStr">
        <is>
          <t>lug</t>
        </is>
      </c>
      <c r="Z2" s="581" t="n"/>
      <c r="AA2" s="534" t="inlineStr">
        <is>
          <t>ago</t>
        </is>
      </c>
      <c r="AB2" s="581" t="n"/>
      <c r="AC2" s="534" t="inlineStr">
        <is>
          <t>set</t>
        </is>
      </c>
      <c r="AD2" s="581" t="n"/>
      <c r="AE2" s="534" t="inlineStr">
        <is>
          <t>ott</t>
        </is>
      </c>
      <c r="AF2" s="581" t="n"/>
      <c r="AG2" s="534" t="inlineStr">
        <is>
          <t>nov</t>
        </is>
      </c>
      <c r="AH2" s="581" t="n"/>
      <c r="AI2" s="534" t="inlineStr">
        <is>
          <t>dic</t>
        </is>
      </c>
      <c r="AJ2" s="581" t="n"/>
      <c r="AK2" s="534" t="inlineStr">
        <is>
          <t>gen</t>
        </is>
      </c>
      <c r="AL2" s="581" t="n"/>
      <c r="AM2" s="534" t="inlineStr">
        <is>
          <t>feb</t>
        </is>
      </c>
      <c r="AN2" s="581" t="n"/>
      <c r="AO2" s="534" t="inlineStr">
        <is>
          <t>mar</t>
        </is>
      </c>
      <c r="AP2" s="581" t="n"/>
      <c r="AQ2" s="534" t="inlineStr">
        <is>
          <t>apr</t>
        </is>
      </c>
      <c r="AR2" s="581" t="n"/>
      <c r="AS2" s="534" t="inlineStr">
        <is>
          <t>mag</t>
        </is>
      </c>
      <c r="AT2" s="581" t="n"/>
      <c r="AU2" s="534" t="inlineStr">
        <is>
          <t>giu</t>
        </is>
      </c>
      <c r="AV2" s="581" t="n"/>
      <c r="AW2" s="534" t="inlineStr">
        <is>
          <t>lug</t>
        </is>
      </c>
      <c r="AX2" s="581" t="n"/>
      <c r="AY2" s="534" t="inlineStr">
        <is>
          <t>ago</t>
        </is>
      </c>
      <c r="AZ2" s="581" t="n"/>
      <c r="BA2" s="534" t="inlineStr">
        <is>
          <t>set</t>
        </is>
      </c>
      <c r="BB2" s="581" t="n"/>
      <c r="BC2" s="534" t="inlineStr">
        <is>
          <t>ott</t>
        </is>
      </c>
      <c r="BD2" s="581" t="n"/>
      <c r="BE2" s="534" t="inlineStr">
        <is>
          <t>nov</t>
        </is>
      </c>
      <c r="BF2" s="581" t="n"/>
      <c r="BG2" s="534" t="inlineStr">
        <is>
          <t>dic</t>
        </is>
      </c>
      <c r="BH2" s="581" t="n"/>
      <c r="BI2" s="534" t="inlineStr">
        <is>
          <t>gen</t>
        </is>
      </c>
      <c r="BJ2" s="581" t="n"/>
      <c r="BK2" s="534" t="inlineStr">
        <is>
          <t>feb</t>
        </is>
      </c>
      <c r="BL2" s="581" t="n"/>
      <c r="BM2" s="534" t="inlineStr">
        <is>
          <t>mar</t>
        </is>
      </c>
      <c r="BN2" s="581" t="n"/>
      <c r="BO2" s="534" t="inlineStr">
        <is>
          <t>apr</t>
        </is>
      </c>
      <c r="BP2" s="581" t="n"/>
      <c r="BQ2" s="534" t="inlineStr">
        <is>
          <t>mag</t>
        </is>
      </c>
      <c r="BR2" s="581" t="n"/>
      <c r="BS2" s="534" t="inlineStr">
        <is>
          <t>giu</t>
        </is>
      </c>
      <c r="BT2" s="581" t="n"/>
      <c r="BU2" s="534" t="inlineStr">
        <is>
          <t>lug</t>
        </is>
      </c>
      <c r="BV2" s="581" t="n"/>
      <c r="BW2" s="534" t="inlineStr">
        <is>
          <t>ago</t>
        </is>
      </c>
      <c r="BX2" s="581" t="n"/>
    </row>
    <row r="3">
      <c r="C3" s="586" t="n"/>
      <c r="E3" s="79" t="n">
        <v>21</v>
      </c>
      <c r="F3" s="80" t="n"/>
      <c r="G3" s="79" t="n">
        <v>23</v>
      </c>
      <c r="H3" s="80" t="n"/>
      <c r="I3" s="79" t="n">
        <v>20</v>
      </c>
      <c r="J3" s="80" t="n"/>
      <c r="K3" s="79" t="n">
        <v>15</v>
      </c>
      <c r="L3" s="80" t="n"/>
      <c r="M3" s="79" t="n">
        <v>19</v>
      </c>
      <c r="N3" s="80" t="n"/>
      <c r="O3" t="n">
        <v>20</v>
      </c>
      <c r="Q3" t="n">
        <v>21</v>
      </c>
      <c r="S3" t="n">
        <v>19</v>
      </c>
      <c r="U3" t="n">
        <v>20</v>
      </c>
      <c r="W3" t="n">
        <v>20</v>
      </c>
      <c r="Y3" t="n">
        <v>23</v>
      </c>
      <c r="AA3" t="n">
        <v>11</v>
      </c>
      <c r="AC3" t="n">
        <v>22</v>
      </c>
      <c r="AE3" t="n">
        <v>23</v>
      </c>
      <c r="AG3" t="n">
        <v>20</v>
      </c>
      <c r="AI3" t="n">
        <v>16</v>
      </c>
      <c r="AK3" t="n">
        <v>18</v>
      </c>
      <c r="AM3" t="n">
        <v>20</v>
      </c>
      <c r="AO3" s="325" t="n">
        <v>22</v>
      </c>
      <c r="AP3" s="325" t="n"/>
      <c r="AQ3" s="325" t="n">
        <v>21</v>
      </c>
      <c r="AR3" s="325" t="n"/>
      <c r="AS3" s="325" t="n">
        <v>20</v>
      </c>
      <c r="AT3" s="325" t="n"/>
      <c r="AU3" s="325" t="n">
        <v>20</v>
      </c>
      <c r="AV3" s="325" t="n"/>
      <c r="AW3" s="325" t="n">
        <v>23</v>
      </c>
      <c r="AX3" s="325" t="n"/>
      <c r="AY3" s="325" t="n">
        <v>10</v>
      </c>
      <c r="AZ3" s="325" t="n"/>
      <c r="BA3" t="n">
        <v>22</v>
      </c>
      <c r="BC3" t="n">
        <v>22</v>
      </c>
      <c r="BE3" t="n">
        <v>21</v>
      </c>
      <c r="BG3" t="n">
        <v>16</v>
      </c>
      <c r="BI3" t="n">
        <v>21</v>
      </c>
      <c r="BK3" t="n">
        <v>20</v>
      </c>
      <c r="BM3" t="n">
        <v>23</v>
      </c>
      <c r="BO3" t="n">
        <v>21</v>
      </c>
      <c r="BQ3" t="n">
        <v>21</v>
      </c>
      <c r="BS3" t="n">
        <v>23</v>
      </c>
    </row>
    <row r="4">
      <c r="B4" s="122" t="inlineStr">
        <is>
          <t>Resource</t>
        </is>
      </c>
      <c r="C4" s="122" t="inlineStr">
        <is>
          <t>LC</t>
        </is>
      </c>
      <c r="D4" s="245" t="inlineStr">
        <is>
          <t>%Charg</t>
        </is>
      </c>
      <c r="E4" s="620" t="n">
        <v>168</v>
      </c>
      <c r="F4" s="621" t="inlineStr">
        <is>
          <t>costo €</t>
        </is>
      </c>
      <c r="G4" s="620" t="n">
        <v>184</v>
      </c>
      <c r="H4" s="621" t="inlineStr">
        <is>
          <t>costo €</t>
        </is>
      </c>
      <c r="I4" s="620" t="n">
        <v>160</v>
      </c>
      <c r="J4" s="621" t="inlineStr">
        <is>
          <t>costo €</t>
        </is>
      </c>
      <c r="K4" s="620" t="n">
        <v>120</v>
      </c>
      <c r="L4" s="621" t="inlineStr">
        <is>
          <t>costo €</t>
        </is>
      </c>
      <c r="M4" s="620" t="n">
        <v>152</v>
      </c>
      <c r="N4" s="621" t="inlineStr">
        <is>
          <t>costo €</t>
        </is>
      </c>
      <c r="O4" s="620" t="n">
        <v>160</v>
      </c>
      <c r="P4" s="621" t="inlineStr">
        <is>
          <t>costo €</t>
        </is>
      </c>
      <c r="Q4" s="620" t="n">
        <v>168</v>
      </c>
      <c r="R4" s="621" t="inlineStr">
        <is>
          <t>costo €</t>
        </is>
      </c>
      <c r="S4" s="620" t="n">
        <v>152</v>
      </c>
      <c r="T4" s="621" t="inlineStr">
        <is>
          <t>costo €</t>
        </is>
      </c>
      <c r="U4" s="583" t="n">
        <v>160</v>
      </c>
      <c r="V4" s="584" t="inlineStr">
        <is>
          <t>costo €</t>
        </is>
      </c>
      <c r="W4" s="622" t="n">
        <v>160</v>
      </c>
      <c r="X4" s="621" t="inlineStr">
        <is>
          <t>costo €</t>
        </is>
      </c>
      <c r="Y4" s="620" t="n">
        <v>184</v>
      </c>
      <c r="Z4" s="621" t="inlineStr">
        <is>
          <t>costo €</t>
        </is>
      </c>
      <c r="AA4" s="620" t="n">
        <v>88</v>
      </c>
      <c r="AB4" s="621" t="inlineStr">
        <is>
          <t>costo €</t>
        </is>
      </c>
      <c r="AC4" s="620" t="n">
        <v>176</v>
      </c>
      <c r="AD4" s="621" t="inlineStr">
        <is>
          <t>costo €</t>
        </is>
      </c>
      <c r="AE4" s="620" t="n">
        <v>184</v>
      </c>
      <c r="AF4" s="621" t="inlineStr">
        <is>
          <t>costo €</t>
        </is>
      </c>
      <c r="AG4" s="620" t="n">
        <v>160</v>
      </c>
      <c r="AH4" s="621" t="inlineStr">
        <is>
          <t>costo €</t>
        </is>
      </c>
      <c r="AI4" s="583" t="n">
        <v>128</v>
      </c>
      <c r="AJ4" s="584" t="inlineStr">
        <is>
          <t>costo €</t>
        </is>
      </c>
      <c r="AK4" s="583" t="n">
        <v>144</v>
      </c>
      <c r="AL4" s="584" t="inlineStr">
        <is>
          <t>costo €</t>
        </is>
      </c>
      <c r="AM4" s="583" t="n">
        <v>160</v>
      </c>
      <c r="AN4" s="584" t="inlineStr">
        <is>
          <t>costo €</t>
        </is>
      </c>
      <c r="AO4" s="583" t="n">
        <v>176</v>
      </c>
      <c r="AP4" s="584" t="inlineStr">
        <is>
          <t>costo €</t>
        </is>
      </c>
      <c r="AQ4" s="583" t="n">
        <v>168</v>
      </c>
      <c r="AR4" s="584" t="inlineStr">
        <is>
          <t>costo €</t>
        </is>
      </c>
      <c r="AS4" s="583" t="n">
        <v>160</v>
      </c>
      <c r="AT4" s="584" t="inlineStr">
        <is>
          <t>costo €</t>
        </is>
      </c>
      <c r="AU4" s="583" t="n">
        <v>160</v>
      </c>
      <c r="AV4" s="584" t="inlineStr">
        <is>
          <t>costo €</t>
        </is>
      </c>
      <c r="AW4" s="583" t="n">
        <v>184</v>
      </c>
      <c r="AX4" s="584" t="inlineStr">
        <is>
          <t>costo €</t>
        </is>
      </c>
      <c r="AY4" s="583" t="n">
        <v>80</v>
      </c>
      <c r="AZ4" s="584" t="inlineStr">
        <is>
          <t>costo €</t>
        </is>
      </c>
      <c r="BA4" s="583" t="n">
        <v>176</v>
      </c>
      <c r="BB4" s="584" t="inlineStr">
        <is>
          <t>costo €</t>
        </is>
      </c>
      <c r="BC4" s="583" t="n">
        <v>176</v>
      </c>
      <c r="BD4" s="584" t="inlineStr">
        <is>
          <t>costo €</t>
        </is>
      </c>
      <c r="BE4" s="583" t="n">
        <v>168</v>
      </c>
      <c r="BF4" s="584" t="inlineStr">
        <is>
          <t>costo €</t>
        </is>
      </c>
      <c r="BG4" s="583" t="n">
        <v>128</v>
      </c>
      <c r="BH4" s="584" t="inlineStr">
        <is>
          <t>costo €</t>
        </is>
      </c>
      <c r="BI4" s="583" t="n">
        <v>168</v>
      </c>
      <c r="BJ4" s="584" t="inlineStr">
        <is>
          <t>costo €</t>
        </is>
      </c>
      <c r="BK4" s="583" t="n">
        <v>160</v>
      </c>
      <c r="BL4" s="584" t="inlineStr">
        <is>
          <t>costo €</t>
        </is>
      </c>
      <c r="BM4" s="583" t="n">
        <v>184</v>
      </c>
      <c r="BN4" s="584" t="inlineStr">
        <is>
          <t>costo €</t>
        </is>
      </c>
      <c r="BO4" s="583" t="n">
        <v>168</v>
      </c>
      <c r="BP4" s="584" t="inlineStr">
        <is>
          <t>costo €</t>
        </is>
      </c>
      <c r="BQ4" s="583" t="n">
        <v>168</v>
      </c>
      <c r="BR4" s="584" t="inlineStr">
        <is>
          <t>costo €</t>
        </is>
      </c>
      <c r="BS4" s="583" t="n">
        <v>184</v>
      </c>
      <c r="BT4" s="584" t="inlineStr">
        <is>
          <t>costo €</t>
        </is>
      </c>
      <c r="BU4" s="583" t="n">
        <v>0</v>
      </c>
      <c r="BV4" s="584" t="inlineStr">
        <is>
          <t>costo €</t>
        </is>
      </c>
      <c r="BW4" s="583" t="n">
        <v>0</v>
      </c>
      <c r="BX4" s="584" t="inlineStr">
        <is>
          <t>costo €</t>
        </is>
      </c>
    </row>
    <row r="5">
      <c r="B5" s="22" t="inlineStr">
        <is>
          <t>martina.costa</t>
        </is>
      </c>
      <c r="C5" s="3" t="n">
        <v>88.64</v>
      </c>
      <c r="D5" s="85" t="n">
        <v>0.8100000000000001</v>
      </c>
      <c r="E5" s="585" t="n">
        <v>110.73</v>
      </c>
      <c r="F5" s="586" t="n">
        <v>12062.74</v>
      </c>
      <c r="G5" s="585" t="n">
        <v>121.27</v>
      </c>
      <c r="H5" s="586" t="n">
        <v>13211.57</v>
      </c>
      <c r="I5" s="585" t="n">
        <v>105.46</v>
      </c>
      <c r="J5" s="91" t="n">
        <v>11488.32</v>
      </c>
      <c r="K5" s="585" t="n"/>
      <c r="L5" s="586" t="n"/>
      <c r="M5" s="585" t="n"/>
      <c r="N5" s="586" t="n"/>
      <c r="O5" s="585" t="n"/>
      <c r="P5" s="586" t="n"/>
      <c r="Q5" s="585" t="n"/>
      <c r="R5" s="586" t="n"/>
      <c r="S5" s="585" t="n"/>
      <c r="T5" s="586" t="n"/>
      <c r="U5" s="585" t="n"/>
      <c r="V5" s="586" t="n"/>
      <c r="W5" s="623" t="n"/>
      <c r="X5" s="624" t="n"/>
      <c r="Y5" s="625" t="n"/>
      <c r="Z5" s="624" t="n"/>
      <c r="AA5" s="625" t="n"/>
      <c r="AB5" s="624" t="n"/>
      <c r="AC5" s="625" t="n"/>
      <c r="AD5" s="90" t="n"/>
      <c r="AE5" s="625" t="n"/>
      <c r="AF5" s="624" t="n"/>
      <c r="AG5" s="625" t="n"/>
      <c r="AH5" s="624" t="n"/>
      <c r="AI5" s="625" t="n"/>
      <c r="AJ5" s="90" t="n"/>
      <c r="AK5" s="582" t="n">
        <v>94.91</v>
      </c>
      <c r="AL5" s="586" t="n">
        <v>10339.49</v>
      </c>
      <c r="AM5" s="585" t="n">
        <v>105.46</v>
      </c>
      <c r="AN5" s="586" t="n">
        <v>11488.32</v>
      </c>
      <c r="AO5" s="585" t="n">
        <v>89.95999999999999</v>
      </c>
      <c r="AP5" s="91" t="n">
        <v>9800.530000000001</v>
      </c>
      <c r="AQ5" s="585" t="n">
        <v>92.44</v>
      </c>
      <c r="AR5" s="586" t="n">
        <v>10070.01</v>
      </c>
      <c r="AS5" s="585" t="n">
        <v>89.18000000000001</v>
      </c>
      <c r="AT5" s="586" t="n">
        <v>8700.549999999999</v>
      </c>
      <c r="AU5" s="585" t="n">
        <v>36.78</v>
      </c>
      <c r="AV5" s="626" t="n">
        <v>4006.73</v>
      </c>
      <c r="AW5" s="585" t="n">
        <v>56.54</v>
      </c>
      <c r="AX5" s="586" t="n">
        <v>6159.02</v>
      </c>
      <c r="AY5" s="330" t="n">
        <v>34</v>
      </c>
      <c r="AZ5" s="586" t="n"/>
      <c r="BA5" s="582" t="n">
        <v>116</v>
      </c>
      <c r="BB5" s="627" t="n">
        <v>7592.22</v>
      </c>
      <c r="BC5" s="625" t="n">
        <v>116</v>
      </c>
      <c r="BD5" s="90" t="n">
        <v>12637.16</v>
      </c>
      <c r="BE5" s="585" t="n">
        <v>110.73</v>
      </c>
      <c r="BF5" s="135" t="n">
        <v>12062.74</v>
      </c>
      <c r="BG5" s="625" t="n">
        <v>84.36</v>
      </c>
      <c r="BH5" s="624" t="n">
        <v>9190.66</v>
      </c>
      <c r="BI5" s="625" t="n">
        <v>110.73</v>
      </c>
      <c r="BJ5" s="624" t="n">
        <v>12062.74</v>
      </c>
      <c r="BK5" s="625" t="n">
        <v>105.46</v>
      </c>
      <c r="BL5" s="624" t="n">
        <v>11488.32</v>
      </c>
      <c r="BM5" s="625" t="n">
        <v>121.27</v>
      </c>
      <c r="BN5" s="624" t="n">
        <v>13211.57</v>
      </c>
      <c r="BO5" s="388" t="n"/>
      <c r="BP5" s="389" t="n"/>
      <c r="BQ5" s="388" t="n"/>
      <c r="BR5" s="389" t="n"/>
      <c r="BS5" s="388" t="n"/>
      <c r="BT5" s="389" t="n"/>
      <c r="BU5" s="388" t="n"/>
      <c r="BV5" s="389" t="n"/>
      <c r="BW5" s="388" t="n"/>
      <c r="BX5" s="389" t="n"/>
    </row>
    <row r="6">
      <c r="B6" s="22" t="inlineStr">
        <is>
          <t>matteo.costa</t>
        </is>
      </c>
      <c r="C6" s="3" t="n">
        <v>34.61</v>
      </c>
      <c r="D6" s="85" t="n">
        <v>0.9</v>
      </c>
      <c r="E6" s="585" t="n">
        <v>123.03</v>
      </c>
      <c r="F6" s="586" t="n">
        <v>5232.53</v>
      </c>
      <c r="G6" s="585" t="n">
        <v>115.71</v>
      </c>
      <c r="H6" s="586" t="n">
        <v>4921.07</v>
      </c>
      <c r="I6" s="585" t="n">
        <v>111.31</v>
      </c>
      <c r="J6" s="91" t="n">
        <v>4734.19</v>
      </c>
      <c r="K6" s="585" t="n">
        <v>96</v>
      </c>
      <c r="L6" s="91" t="n">
        <v>3515</v>
      </c>
      <c r="M6" s="137" t="n">
        <v>106.92</v>
      </c>
      <c r="N6" s="91" t="n">
        <v>4547.32</v>
      </c>
      <c r="O6" s="585" t="n">
        <v>128</v>
      </c>
      <c r="P6" s="586" t="n">
        <v>4715.03</v>
      </c>
      <c r="Q6" s="585" t="n">
        <v>108.71</v>
      </c>
      <c r="R6" s="586" t="n">
        <v>4921.32</v>
      </c>
      <c r="S6" s="585" t="n">
        <v>99.59999999999999</v>
      </c>
      <c r="T6" s="586" t="n">
        <v>4827.46</v>
      </c>
      <c r="U6" s="585" t="n">
        <v>108.71</v>
      </c>
      <c r="V6" s="586" t="n">
        <v>4921.32</v>
      </c>
      <c r="W6" s="582" t="n">
        <v>128</v>
      </c>
      <c r="X6" s="586" t="n">
        <v>4715.03</v>
      </c>
      <c r="Y6" s="585" t="n">
        <v>111.31</v>
      </c>
      <c r="Z6" s="586" t="n">
        <v>3471.89</v>
      </c>
      <c r="AA6" s="585" t="n">
        <v>68</v>
      </c>
      <c r="AB6" s="586" t="n">
        <v>2504.86</v>
      </c>
      <c r="AC6" s="585" t="n">
        <v>121.57</v>
      </c>
      <c r="AD6" s="586" t="n">
        <v>5170.24</v>
      </c>
      <c r="AE6" s="585" t="n">
        <v>162</v>
      </c>
      <c r="AF6" s="586" t="n">
        <v>5606.28</v>
      </c>
      <c r="AG6" s="585" t="n">
        <v>70.3</v>
      </c>
      <c r="AH6" s="586" t="n">
        <v>2990.02</v>
      </c>
      <c r="AI6" s="585" t="n">
        <v>32.22</v>
      </c>
      <c r="AJ6" s="586" t="n">
        <v>1370.42</v>
      </c>
      <c r="AK6" s="585" t="n">
        <v>113.51</v>
      </c>
      <c r="AL6" s="586" t="n">
        <v>4827.63</v>
      </c>
      <c r="AM6" s="585" t="n">
        <v>114.61</v>
      </c>
      <c r="AN6" s="586" t="n">
        <v>4874.35</v>
      </c>
      <c r="AO6" s="585" t="n">
        <v>123.03</v>
      </c>
      <c r="AP6" s="91" t="n">
        <v>5232.53</v>
      </c>
      <c r="AQ6" s="585" t="n">
        <v>122.3</v>
      </c>
      <c r="AR6" s="586" t="n">
        <v>5201.38</v>
      </c>
      <c r="AS6" s="79" t="n">
        <v>111.31</v>
      </c>
      <c r="AT6" s="586" t="n">
        <v>4734.19</v>
      </c>
      <c r="AU6" s="585" t="n">
        <v>111.31</v>
      </c>
      <c r="AV6" s="586" t="n">
        <v>4734.19</v>
      </c>
      <c r="AW6" s="585" t="n">
        <v>162</v>
      </c>
      <c r="AX6" s="586" t="n">
        <v>5606.28</v>
      </c>
      <c r="AY6" s="330" t="n">
        <v>64.45</v>
      </c>
      <c r="AZ6" s="586" t="n">
        <v>2740.85</v>
      </c>
      <c r="BA6" s="582" t="n">
        <v>128.89</v>
      </c>
      <c r="BB6" s="582" t="n">
        <v>5481.7</v>
      </c>
      <c r="BC6" s="585" t="n">
        <v>128.89</v>
      </c>
      <c r="BD6" s="91" t="n">
        <v>5481.7</v>
      </c>
      <c r="BE6" s="585" t="n">
        <v>123.03</v>
      </c>
      <c r="BF6" s="135" t="n">
        <v>5232.53</v>
      </c>
      <c r="BG6" s="585" t="n">
        <v>93.73999999999999</v>
      </c>
      <c r="BH6" s="586" t="n">
        <v>3986.69</v>
      </c>
      <c r="BI6" s="585" t="n">
        <v>123.03</v>
      </c>
      <c r="BJ6" s="586" t="n">
        <v>5232.53</v>
      </c>
      <c r="BK6" s="585" t="n">
        <v>144</v>
      </c>
      <c r="BL6" s="586" t="n">
        <v>4983.36</v>
      </c>
      <c r="BM6" s="585" t="n">
        <v>134.75</v>
      </c>
      <c r="BN6" s="586" t="n">
        <v>5730.86</v>
      </c>
      <c r="BO6" s="79" t="n"/>
      <c r="BP6" s="80" t="n"/>
      <c r="BQ6" s="79" t="n"/>
      <c r="BR6" s="80" t="n"/>
      <c r="BS6" s="79" t="n"/>
      <c r="BT6" s="80" t="n"/>
      <c r="BU6" s="79" t="n"/>
      <c r="BV6" s="80" t="n"/>
      <c r="BW6" s="79" t="n"/>
      <c r="BX6" s="80" t="n"/>
    </row>
    <row r="7" ht="14.15" customHeight="1" s="564">
      <c r="B7" s="22" t="inlineStr">
        <is>
          <t>nicola.fontana</t>
        </is>
      </c>
      <c r="C7" s="3" t="n">
        <v>29.14</v>
      </c>
      <c r="D7" s="85" t="n">
        <v>0.89</v>
      </c>
      <c r="E7" s="628" t="n">
        <v>92.7</v>
      </c>
      <c r="F7" s="629" t="n">
        <v>3319.47</v>
      </c>
      <c r="G7" s="585" t="n">
        <v>133.25</v>
      </c>
      <c r="H7" s="586" t="n">
        <v>4771.74</v>
      </c>
      <c r="I7" s="585" t="n">
        <v>109.36</v>
      </c>
      <c r="J7" s="91" t="n">
        <v>3916.23</v>
      </c>
      <c r="K7" s="585" t="n">
        <v>81.01000000000001</v>
      </c>
      <c r="L7" s="91" t="n">
        <v>2558.36</v>
      </c>
      <c r="M7" s="137" t="n">
        <v>127.46</v>
      </c>
      <c r="N7" s="586" t="n">
        <v>4564.27</v>
      </c>
      <c r="O7" s="585" t="n">
        <v>115.87</v>
      </c>
      <c r="P7" s="586" t="n">
        <v>3614.01</v>
      </c>
      <c r="Q7" s="585" t="n">
        <v>125.72</v>
      </c>
      <c r="R7" s="586" t="n">
        <v>3921.1</v>
      </c>
      <c r="S7" s="585" t="n">
        <v>101.39</v>
      </c>
      <c r="T7" s="586" t="n">
        <v>3162.26</v>
      </c>
      <c r="U7" s="585" t="n">
        <v>86.90000000000001</v>
      </c>
      <c r="V7" s="586" t="n">
        <v>2710.51</v>
      </c>
      <c r="W7" s="582" t="n">
        <v>115.87</v>
      </c>
      <c r="X7" s="586" t="n">
        <v>3614.01</v>
      </c>
      <c r="Y7" s="585" t="n">
        <v>133.25</v>
      </c>
      <c r="Z7" s="586" t="n">
        <v>4156.11</v>
      </c>
      <c r="AA7" s="585" t="n">
        <v>87.55</v>
      </c>
      <c r="AB7" s="586" t="n">
        <v>2730.81</v>
      </c>
      <c r="AC7" s="585" t="n">
        <v>98.48999999999999</v>
      </c>
      <c r="AD7" s="586" t="n">
        <v>3526.94</v>
      </c>
      <c r="AE7" s="585" t="n">
        <v>34.74</v>
      </c>
      <c r="AF7" s="586" t="n">
        <v>1244.22</v>
      </c>
      <c r="AG7" s="585" t="n">
        <v>115.87</v>
      </c>
      <c r="AH7" s="586" t="n">
        <v>4149.34</v>
      </c>
      <c r="AI7" s="585" t="n">
        <v>92.7</v>
      </c>
      <c r="AJ7" s="586" t="n">
        <v>3319.47</v>
      </c>
      <c r="AK7" s="585" t="n">
        <v>57.94</v>
      </c>
      <c r="AL7" s="586" t="n">
        <v>2074.67</v>
      </c>
      <c r="AM7" s="585" t="n">
        <v>92.7</v>
      </c>
      <c r="AN7" s="586" t="n">
        <v>3319.47</v>
      </c>
      <c r="AO7" s="585" t="n">
        <v>127.46</v>
      </c>
      <c r="AP7" s="91" t="n">
        <v>4564.27</v>
      </c>
      <c r="AQ7" s="585" t="n">
        <v>86.90000000000001</v>
      </c>
      <c r="AR7" s="586" t="n">
        <v>3112</v>
      </c>
      <c r="AS7" s="585" t="n">
        <v>86.90000000000001</v>
      </c>
      <c r="AT7" s="586" t="n">
        <v>2827.83</v>
      </c>
      <c r="AU7" s="585" t="n">
        <v>115.87</v>
      </c>
      <c r="AV7" s="586" t="n">
        <v>4149.34</v>
      </c>
      <c r="AW7" s="585" t="n">
        <v>133.25</v>
      </c>
      <c r="AX7" s="586" t="n">
        <v>4771.74</v>
      </c>
      <c r="AY7" s="330" t="n">
        <v>115.87</v>
      </c>
      <c r="AZ7" s="586" t="n">
        <v>4149.34</v>
      </c>
      <c r="BA7" s="630" t="n">
        <v>104.28</v>
      </c>
      <c r="BB7" s="582" t="n">
        <v>3734.4</v>
      </c>
      <c r="BC7" s="585" t="n">
        <v>127.46</v>
      </c>
      <c r="BD7" s="91" t="n">
        <v>4564.27</v>
      </c>
      <c r="BE7" s="585" t="n">
        <v>121.66</v>
      </c>
      <c r="BF7" s="135" t="n">
        <v>4356.8</v>
      </c>
      <c r="BG7" s="585" t="n">
        <v>92.7</v>
      </c>
      <c r="BH7" s="586" t="n">
        <v>3319.47</v>
      </c>
      <c r="BI7" s="585" t="n">
        <v>121.66</v>
      </c>
      <c r="BJ7" s="586" t="n">
        <v>4356.8</v>
      </c>
      <c r="BK7" s="585" t="n">
        <v>115.87</v>
      </c>
      <c r="BL7" s="586" t="n">
        <v>4149.34</v>
      </c>
      <c r="BM7" s="585" t="n">
        <v>133.25</v>
      </c>
      <c r="BN7" s="586" t="n">
        <v>4771.74</v>
      </c>
      <c r="BO7" s="585" t="n"/>
      <c r="BP7" s="80" t="n"/>
      <c r="BQ7" s="585" t="n"/>
      <c r="BR7" s="80" t="n"/>
      <c r="BS7" s="585" t="n"/>
      <c r="BT7" s="80" t="n"/>
      <c r="BU7" s="585" t="n"/>
      <c r="BV7" s="80" t="n"/>
      <c r="BW7" s="585" t="n"/>
      <c r="BX7" s="80" t="n"/>
    </row>
    <row r="8">
      <c r="B8" s="22" t="inlineStr">
        <is>
          <t>luca.leone</t>
        </is>
      </c>
      <c r="C8" s="3" t="n">
        <v>227.98</v>
      </c>
      <c r="D8" s="85" t="n"/>
      <c r="E8" s="585" t="n">
        <v>8</v>
      </c>
      <c r="F8" s="586" t="n">
        <v>1823.86</v>
      </c>
      <c r="G8" s="585" t="n">
        <v>9</v>
      </c>
      <c r="H8" s="586" t="n">
        <v>2051.84</v>
      </c>
      <c r="I8" s="585" t="n">
        <v>9</v>
      </c>
      <c r="J8" s="91" t="n">
        <v>2051.84</v>
      </c>
      <c r="K8" s="585" t="n">
        <v>9</v>
      </c>
      <c r="L8" s="91" t="n">
        <v>1772.39</v>
      </c>
      <c r="M8" s="137" t="n">
        <v>9</v>
      </c>
      <c r="N8" s="586" t="n">
        <v>2051.84</v>
      </c>
      <c r="O8" s="585" t="n">
        <v>9</v>
      </c>
      <c r="P8" s="586" t="n">
        <v>1717.09</v>
      </c>
      <c r="Q8" s="585" t="n"/>
      <c r="R8" s="586" t="n"/>
      <c r="S8" s="585" t="n"/>
      <c r="T8" s="586" t="n"/>
      <c r="U8" s="585" t="n">
        <v>18</v>
      </c>
      <c r="V8" s="586" t="n">
        <v>3434.19</v>
      </c>
      <c r="W8" s="582" t="n">
        <v>9</v>
      </c>
      <c r="X8" s="586" t="n">
        <v>1717.09</v>
      </c>
      <c r="Y8" s="585" t="n">
        <v>9</v>
      </c>
      <c r="Z8" s="586" t="n">
        <v>1717.09</v>
      </c>
      <c r="AA8" s="585" t="n">
        <v>9</v>
      </c>
      <c r="AB8" s="586" t="n">
        <v>1717.09</v>
      </c>
      <c r="AC8" s="585" t="n">
        <v>9</v>
      </c>
      <c r="AD8" s="586" t="n">
        <v>2051.84</v>
      </c>
      <c r="AE8" s="585" t="n">
        <v>9</v>
      </c>
      <c r="AF8" s="586" t="n">
        <v>2051.84</v>
      </c>
      <c r="AG8" s="585" t="n">
        <v>11.8</v>
      </c>
      <c r="AH8" s="586" t="n">
        <v>3305.75</v>
      </c>
      <c r="AI8" s="585" t="n">
        <v>9</v>
      </c>
      <c r="AJ8" s="586" t="n">
        <v>2051.84</v>
      </c>
      <c r="AK8" s="585" t="n">
        <v>9</v>
      </c>
      <c r="AL8" s="586" t="n">
        <v>2051.84</v>
      </c>
      <c r="AM8" s="585" t="n">
        <v>9</v>
      </c>
      <c r="AN8" s="586" t="n">
        <v>2051.84</v>
      </c>
      <c r="AO8" s="585" t="n">
        <v>9</v>
      </c>
      <c r="AP8" s="91" t="n">
        <v>2051.84</v>
      </c>
      <c r="AQ8" s="585" t="n">
        <v>9</v>
      </c>
      <c r="AR8" s="586" t="n">
        <v>2051.84</v>
      </c>
      <c r="AS8" s="79" t="n">
        <v>9</v>
      </c>
      <c r="AT8" s="586" t="n">
        <v>1704.06</v>
      </c>
      <c r="AU8" s="585" t="n">
        <v>9</v>
      </c>
      <c r="AV8" s="586" t="n">
        <v>2051.84</v>
      </c>
      <c r="AW8" s="585" t="n">
        <v>9</v>
      </c>
      <c r="AX8" s="586" t="n">
        <v>2051.84</v>
      </c>
      <c r="AY8" s="79" t="n">
        <v>9</v>
      </c>
      <c r="AZ8" s="586" t="n">
        <v>2051.84</v>
      </c>
      <c r="BA8" s="582" t="n">
        <v>9</v>
      </c>
      <c r="BB8" s="582" t="n">
        <v>2051.84</v>
      </c>
      <c r="BC8" s="585" t="n">
        <v>9</v>
      </c>
      <c r="BD8" s="91" t="n">
        <v>2051.84</v>
      </c>
      <c r="BE8" s="585" t="n">
        <v>9</v>
      </c>
      <c r="BF8" s="135" t="n">
        <v>2051.84</v>
      </c>
      <c r="BG8" s="585" t="n">
        <v>9</v>
      </c>
      <c r="BH8" s="586" t="n">
        <v>2051.84</v>
      </c>
      <c r="BI8" s="585" t="n">
        <v>9</v>
      </c>
      <c r="BJ8" s="586" t="n">
        <v>2051.84</v>
      </c>
      <c r="BK8" s="585" t="n">
        <v>9</v>
      </c>
      <c r="BL8" s="586" t="n">
        <v>2051.84</v>
      </c>
      <c r="BM8" s="585" t="n">
        <v>9</v>
      </c>
      <c r="BN8" s="586" t="n">
        <v>2051.84</v>
      </c>
      <c r="BO8" s="79" t="n"/>
      <c r="BP8" s="80" t="n"/>
      <c r="BQ8" s="79" t="n"/>
      <c r="BR8" s="80" t="n"/>
      <c r="BS8" s="79" t="n"/>
      <c r="BT8" s="80" t="n"/>
      <c r="BU8" s="79" t="n"/>
      <c r="BV8" s="80" t="n"/>
      <c r="BW8" s="79" t="n"/>
      <c r="BX8" s="80" t="n"/>
    </row>
    <row r="9">
      <c r="B9" s="22" t="inlineStr">
        <is>
          <t>alberto lotito</t>
        </is>
      </c>
      <c r="C9" s="3" t="n">
        <v>91.34999999999999</v>
      </c>
      <c r="D9" s="85" t="n">
        <v>0.7</v>
      </c>
      <c r="E9" s="585" t="n">
        <v>95.69</v>
      </c>
      <c r="F9" s="586" t="n">
        <v>10742.29</v>
      </c>
      <c r="G9" s="585" t="n">
        <v>82.02</v>
      </c>
      <c r="H9" s="586" t="n">
        <v>9207.67</v>
      </c>
      <c r="I9" s="585" t="n">
        <v>60.6</v>
      </c>
      <c r="J9" s="91" t="n">
        <v>6803.45</v>
      </c>
      <c r="K9" s="585" t="n">
        <v>51.04</v>
      </c>
      <c r="L9" s="135" t="n">
        <v>5890.49</v>
      </c>
      <c r="M9" s="137" t="n">
        <v>50.53</v>
      </c>
      <c r="N9" s="586" t="n">
        <v>5672.58</v>
      </c>
      <c r="O9" s="585" t="n">
        <v>19.37</v>
      </c>
      <c r="P9" s="586" t="n">
        <v>2427.88</v>
      </c>
      <c r="Q9" s="585" t="n">
        <v>76.33</v>
      </c>
      <c r="R9" s="586" t="n">
        <v>8707.16</v>
      </c>
      <c r="S9" s="585" t="n">
        <v>54.68</v>
      </c>
      <c r="T9" s="586" t="n">
        <v>6237.97</v>
      </c>
      <c r="U9" s="585" t="n">
        <v>60.78</v>
      </c>
      <c r="V9" s="586" t="n">
        <v>6934.17</v>
      </c>
      <c r="W9" s="582" t="n">
        <v>73.97</v>
      </c>
      <c r="X9" s="586" t="n">
        <v>8437.959999999999</v>
      </c>
      <c r="Y9" s="585" t="n">
        <v>104.8</v>
      </c>
      <c r="Z9" s="586" t="n">
        <v>11956.1</v>
      </c>
      <c r="AA9" s="585" t="n">
        <v>0</v>
      </c>
      <c r="AB9" s="586" t="n">
        <v>0</v>
      </c>
      <c r="AC9" s="585" t="n">
        <v>79.66</v>
      </c>
      <c r="AD9" s="586" t="n">
        <v>8942.77</v>
      </c>
      <c r="AE9" s="585" t="n">
        <v>76.55</v>
      </c>
      <c r="AF9" s="586" t="n">
        <v>8593.83</v>
      </c>
      <c r="AG9" s="585" t="n">
        <v>67.44</v>
      </c>
      <c r="AH9" s="586" t="n">
        <v>7570.75</v>
      </c>
      <c r="AI9" s="585" t="n">
        <v>53.3</v>
      </c>
      <c r="AJ9" s="586" t="n">
        <v>5983.16</v>
      </c>
      <c r="AK9" s="585" t="n">
        <v>65.62</v>
      </c>
      <c r="AL9" s="586" t="n">
        <v>7366.14</v>
      </c>
      <c r="AM9" s="585" t="n">
        <v>72.91</v>
      </c>
      <c r="AN9" s="586" t="n">
        <v>8184.6</v>
      </c>
      <c r="AO9" s="585" t="n">
        <v>61.97</v>
      </c>
      <c r="AP9" s="91" t="n">
        <v>6956.91</v>
      </c>
      <c r="AQ9" s="585" t="n">
        <v>72.91</v>
      </c>
      <c r="AR9" s="586" t="n">
        <v>8184.6</v>
      </c>
      <c r="AS9" s="585" t="n">
        <v>72.91</v>
      </c>
      <c r="AT9" s="586" t="n">
        <v>8184.6</v>
      </c>
      <c r="AU9" s="585" t="n">
        <v>62</v>
      </c>
      <c r="AV9" s="586" t="n">
        <v>6960.56</v>
      </c>
      <c r="AW9" s="585" t="n">
        <v>83.84</v>
      </c>
      <c r="AX9" s="586" t="n">
        <v>9412.290000000001</v>
      </c>
      <c r="AY9" s="587" t="n">
        <v>3.65</v>
      </c>
      <c r="AZ9" s="586" t="n">
        <v>409.23</v>
      </c>
      <c r="BA9" s="582" t="n">
        <v>80.2</v>
      </c>
      <c r="BB9" s="582" t="n">
        <v>9003.059999999999</v>
      </c>
      <c r="BC9" s="585" t="n">
        <v>80.2</v>
      </c>
      <c r="BD9" s="91" t="n">
        <v>9003.059999999999</v>
      </c>
      <c r="BE9" s="585" t="n">
        <v>76.55</v>
      </c>
      <c r="BF9" s="135" t="n">
        <v>8593.83</v>
      </c>
      <c r="BG9" s="585" t="n">
        <v>58.33</v>
      </c>
      <c r="BH9" s="586" t="n">
        <v>6547.68</v>
      </c>
      <c r="BI9" s="585" t="n">
        <v>76.55</v>
      </c>
      <c r="BJ9" s="586" t="n">
        <v>8593.83</v>
      </c>
      <c r="BK9" s="585" t="n">
        <v>72.91</v>
      </c>
      <c r="BL9" s="586" t="n">
        <v>8184.6</v>
      </c>
      <c r="BM9" s="585" t="n">
        <v>83.84</v>
      </c>
      <c r="BN9" s="586" t="n">
        <v>9412.290000000001</v>
      </c>
      <c r="BO9" s="79" t="n"/>
      <c r="BP9" s="80" t="n"/>
      <c r="BQ9" s="79" t="n"/>
      <c r="BR9" s="80" t="n"/>
      <c r="BS9" s="79" t="n"/>
      <c r="BT9" s="80" t="n"/>
      <c r="BU9" s="79" t="n"/>
      <c r="BV9" s="80" t="n"/>
      <c r="BW9" s="79" t="n"/>
      <c r="BX9" s="80" t="n"/>
    </row>
    <row r="10" ht="13.5" customHeight="1" s="564">
      <c r="B10" s="22" t="inlineStr">
        <is>
          <t>serena.rossi</t>
        </is>
      </c>
      <c r="C10" s="3" t="n">
        <v>43.5</v>
      </c>
      <c r="D10" s="603" t="n">
        <v>0.875</v>
      </c>
      <c r="E10" s="585" t="n">
        <v>112</v>
      </c>
      <c r="F10" s="586" t="n">
        <v>4872.05</v>
      </c>
      <c r="G10" s="585" t="n">
        <v>128.16</v>
      </c>
      <c r="H10" s="586" t="n">
        <v>6851.31</v>
      </c>
      <c r="I10" s="585" t="n">
        <v>105</v>
      </c>
      <c r="J10" s="91" t="n">
        <v>4567.54</v>
      </c>
      <c r="K10" s="585" t="n">
        <v>84.01000000000001</v>
      </c>
      <c r="L10" s="91" t="n">
        <v>3849.55</v>
      </c>
      <c r="M10" s="137" t="n">
        <v>133</v>
      </c>
      <c r="N10" s="586" t="n">
        <v>4994</v>
      </c>
      <c r="O10" s="585" t="n">
        <v>112.45</v>
      </c>
      <c r="P10" s="586" t="n">
        <v>5188.6</v>
      </c>
      <c r="Q10" s="585" t="n">
        <v>111.07</v>
      </c>
      <c r="R10" s="586" t="n">
        <v>5124.77</v>
      </c>
      <c r="S10" s="585" t="n">
        <v>112</v>
      </c>
      <c r="T10" s="586" t="n">
        <v>4204.94</v>
      </c>
      <c r="U10" s="585" t="n">
        <v>123</v>
      </c>
      <c r="V10" s="586" t="n">
        <v>4617.93</v>
      </c>
      <c r="W10" s="582" t="n">
        <v>140</v>
      </c>
      <c r="X10" s="586" t="n">
        <v>5256.18</v>
      </c>
      <c r="Y10" s="585" t="n">
        <v>118.19</v>
      </c>
      <c r="Z10" s="586" t="n">
        <v>5453.28</v>
      </c>
      <c r="AA10" s="585" t="n">
        <v>48.42</v>
      </c>
      <c r="AB10" s="586" t="n">
        <v>2233.88</v>
      </c>
      <c r="AC10" s="585" t="n">
        <v>77</v>
      </c>
      <c r="AD10" s="586" t="n">
        <v>3349.53</v>
      </c>
      <c r="AE10" s="585" t="n">
        <v>65.5</v>
      </c>
      <c r="AF10" s="586" t="n">
        <v>3501.78</v>
      </c>
      <c r="AG10" s="585" t="n">
        <v>44.14</v>
      </c>
      <c r="AH10" s="586" t="n">
        <v>2359.9</v>
      </c>
      <c r="AI10" s="585" t="n">
        <v>44.83</v>
      </c>
      <c r="AJ10" s="586" t="n">
        <v>2396.87</v>
      </c>
      <c r="AK10" s="585" t="n">
        <v>63</v>
      </c>
      <c r="AL10" s="586" t="n">
        <v>2740.53</v>
      </c>
      <c r="AM10" s="585" t="n">
        <v>70</v>
      </c>
      <c r="AN10" s="586" t="n">
        <v>3045.03</v>
      </c>
      <c r="AO10" s="585" t="n">
        <v>75</v>
      </c>
      <c r="AP10" s="91" t="n">
        <v>3262.53</v>
      </c>
      <c r="AQ10" s="585" t="n">
        <v>70</v>
      </c>
      <c r="AR10" s="586" t="n">
        <v>3045.03</v>
      </c>
      <c r="AS10" s="585" t="n">
        <v>51.98</v>
      </c>
      <c r="AT10" s="586" t="n">
        <v>2546.26</v>
      </c>
      <c r="AU10" s="585" t="n">
        <v>70</v>
      </c>
      <c r="AV10" s="586" t="n">
        <v>3045.03</v>
      </c>
      <c r="AW10" s="585" t="n">
        <v>64.79000000000001</v>
      </c>
      <c r="AX10" s="586" t="n">
        <v>3463.72</v>
      </c>
      <c r="AY10" s="330" t="n">
        <v>35</v>
      </c>
      <c r="AZ10" s="586" t="n">
        <v>1522.51</v>
      </c>
      <c r="BA10" s="582" t="n">
        <v>61</v>
      </c>
      <c r="BB10" s="582" t="n">
        <v>2653.52</v>
      </c>
      <c r="BC10" s="585" t="n">
        <v>77</v>
      </c>
      <c r="BD10" s="91" t="n">
        <v>3349.53</v>
      </c>
      <c r="BE10" s="585" t="n">
        <v>59.81</v>
      </c>
      <c r="BF10" s="135" t="n">
        <v>3197.28</v>
      </c>
      <c r="BG10" s="585" t="n">
        <v>56</v>
      </c>
      <c r="BH10" s="586" t="n">
        <v>2436.02</v>
      </c>
      <c r="BI10" s="585" t="n">
        <v>59.81</v>
      </c>
      <c r="BJ10" s="586" t="n">
        <v>3197.28</v>
      </c>
      <c r="BK10" s="585" t="n">
        <v>70</v>
      </c>
      <c r="BL10" s="586" t="n">
        <v>3045.03</v>
      </c>
      <c r="BM10" s="585" t="n">
        <v>65.5</v>
      </c>
      <c r="BN10" s="586" t="n">
        <v>3501.78</v>
      </c>
      <c r="BO10" s="79" t="n"/>
      <c r="BP10" s="80" t="n"/>
      <c r="BQ10" s="79" t="n"/>
      <c r="BR10" s="80" t="n"/>
      <c r="BS10" s="79" t="n"/>
      <c r="BT10" s="80" t="n"/>
      <c r="BU10" s="79" t="n"/>
      <c r="BV10" s="80" t="n"/>
      <c r="BW10" s="79" t="n"/>
      <c r="BX10" s="80" t="n"/>
    </row>
    <row r="11" ht="15" customHeight="1" s="564">
      <c r="B11" s="22" t="inlineStr">
        <is>
          <t>sara.colombo</t>
        </is>
      </c>
      <c r="C11" s="3" t="n">
        <v>33.35</v>
      </c>
      <c r="D11" s="85" t="n">
        <v>0.89</v>
      </c>
      <c r="E11" s="585" t="n">
        <v>104.28</v>
      </c>
      <c r="F11" s="586" t="n">
        <v>4273.55</v>
      </c>
      <c r="G11" s="585" t="n">
        <v>131.8</v>
      </c>
      <c r="H11" s="586" t="n">
        <v>5401.29</v>
      </c>
      <c r="I11" s="585" t="n">
        <v>107.18</v>
      </c>
      <c r="J11" s="91" t="n">
        <v>4392.26</v>
      </c>
      <c r="K11" s="585" t="n">
        <v>80.39</v>
      </c>
      <c r="L11" s="135" t="n">
        <v>2439.94</v>
      </c>
      <c r="M11" s="137" t="n">
        <v>95.90000000000001</v>
      </c>
      <c r="N11" s="586" t="n">
        <v>3930.09</v>
      </c>
      <c r="O11" s="585" t="n">
        <v>115.87</v>
      </c>
      <c r="P11" s="586" t="n">
        <v>3597.79</v>
      </c>
      <c r="Q11" s="585" t="n">
        <v>100.25</v>
      </c>
      <c r="R11" s="586" t="n">
        <v>3112.7</v>
      </c>
      <c r="S11" s="585" t="n">
        <v>98.48999999999999</v>
      </c>
      <c r="T11" s="586" t="n">
        <v>3058.12</v>
      </c>
      <c r="U11" s="585" t="n">
        <v>113.7</v>
      </c>
      <c r="V11" s="586" t="n">
        <v>3530.33</v>
      </c>
      <c r="W11" s="582" t="n">
        <v>112.97</v>
      </c>
      <c r="X11" s="586" t="n">
        <v>3585.8</v>
      </c>
      <c r="Y11" s="585" t="n">
        <v>132.47</v>
      </c>
      <c r="Z11" s="586" t="n">
        <v>4204.61</v>
      </c>
      <c r="AA11" s="585" t="n">
        <v>34.76</v>
      </c>
      <c r="AB11" s="586" t="n">
        <v>1103.32</v>
      </c>
      <c r="AC11" s="585" t="n">
        <v>53.59</v>
      </c>
      <c r="AD11" s="586" t="n">
        <v>2196.13</v>
      </c>
      <c r="AE11" s="585" t="n">
        <v>36.5</v>
      </c>
      <c r="AF11" s="586" t="n">
        <v>1495.74</v>
      </c>
      <c r="AG11" s="585" t="n">
        <v>42</v>
      </c>
      <c r="AH11" s="586" t="n">
        <v>1400.51</v>
      </c>
      <c r="AI11" s="585" t="n">
        <v>25.85</v>
      </c>
      <c r="AJ11" s="586" t="n">
        <v>821.29</v>
      </c>
      <c r="AK11" s="585" t="n">
        <v>28.4</v>
      </c>
      <c r="AL11" s="586" t="n">
        <v>1163.76</v>
      </c>
      <c r="AM11" s="585" t="n">
        <v>30.29</v>
      </c>
      <c r="AN11" s="586" t="n">
        <v>1241.26</v>
      </c>
      <c r="AO11" s="585" t="n">
        <v>63.73</v>
      </c>
      <c r="AP11" s="91" t="n">
        <v>2611.61</v>
      </c>
      <c r="AQ11" s="585" t="n">
        <v>54.13</v>
      </c>
      <c r="AR11" s="586" t="n">
        <v>2218.39</v>
      </c>
      <c r="AS11" s="585" t="n">
        <v>52.69</v>
      </c>
      <c r="AT11" s="586" t="n">
        <v>1829.22</v>
      </c>
      <c r="AU11" s="585" t="n">
        <v>53.95</v>
      </c>
      <c r="AV11" s="586" t="n">
        <v>2210.8</v>
      </c>
      <c r="AW11" s="585" t="n">
        <v>64.45</v>
      </c>
      <c r="AX11" s="586" t="n">
        <v>2641.29</v>
      </c>
      <c r="AY11" s="587" t="n">
        <v>17.38</v>
      </c>
      <c r="AZ11" s="586" t="n">
        <v>712.26</v>
      </c>
      <c r="BA11" s="582" t="n">
        <v>63.73</v>
      </c>
      <c r="BB11" s="582" t="n">
        <v>2611.61</v>
      </c>
      <c r="BC11" s="585" t="n">
        <v>63.73</v>
      </c>
      <c r="BD11" s="91" t="n">
        <v>2611.61</v>
      </c>
      <c r="BE11" s="585" t="n">
        <v>60.83</v>
      </c>
      <c r="BF11" s="135" t="n">
        <v>2492.9</v>
      </c>
      <c r="BG11" s="585" t="n">
        <v>46.35</v>
      </c>
      <c r="BH11" s="586" t="n">
        <v>1899.36</v>
      </c>
      <c r="BI11" s="585" t="n">
        <v>60.83</v>
      </c>
      <c r="BJ11" s="586" t="n">
        <v>2492.9</v>
      </c>
      <c r="BK11" s="585" t="n">
        <v>57.94</v>
      </c>
      <c r="BL11" s="586" t="n">
        <v>2374.19</v>
      </c>
      <c r="BM11" s="585" t="n">
        <v>66.63</v>
      </c>
      <c r="BN11" s="586" t="n">
        <v>2730.32</v>
      </c>
      <c r="BO11" s="79" t="n"/>
      <c r="BP11" s="80" t="n"/>
      <c r="BQ11" s="79" t="n"/>
      <c r="BR11" s="80" t="n"/>
      <c r="BS11" s="79" t="n"/>
      <c r="BT11" s="80" t="n"/>
      <c r="BU11" s="79" t="n"/>
      <c r="BV11" s="80" t="n"/>
      <c r="BW11" s="79" t="n"/>
      <c r="BX11" s="80" t="n"/>
    </row>
    <row r="12">
      <c r="B12" s="22" t="inlineStr">
        <is>
          <t>matteo.romano</t>
        </is>
      </c>
      <c r="C12" s="3" t="n">
        <v>33.35</v>
      </c>
      <c r="D12" s="85" t="n">
        <v>0.89</v>
      </c>
      <c r="E12" s="585" t="n">
        <v>110.08</v>
      </c>
      <c r="F12" s="586" t="n">
        <v>4510.97</v>
      </c>
      <c r="G12" s="585" t="n">
        <v>118.77</v>
      </c>
      <c r="H12" s="586" t="n">
        <v>4867.1</v>
      </c>
      <c r="I12" s="585" t="n">
        <v>106.46</v>
      </c>
      <c r="J12" s="91" t="n">
        <v>4362.58</v>
      </c>
      <c r="K12" s="585" t="n">
        <v>81.92</v>
      </c>
      <c r="L12" s="135" t="n">
        <v>2486.87</v>
      </c>
      <c r="M12" s="137" t="n">
        <v>110.08</v>
      </c>
      <c r="N12" s="586" t="n">
        <v>3415.88</v>
      </c>
      <c r="O12" s="585" t="n">
        <v>115.87</v>
      </c>
      <c r="P12" s="586" t="n">
        <v>3597.79</v>
      </c>
      <c r="Q12" s="585" t="n">
        <v>95.53</v>
      </c>
      <c r="R12" s="586" t="n">
        <v>2966.16</v>
      </c>
      <c r="S12" s="585" t="n">
        <v>107.9</v>
      </c>
      <c r="T12" s="586" t="n">
        <v>3350.44</v>
      </c>
      <c r="U12" s="585" t="n">
        <v>113.7</v>
      </c>
      <c r="V12" s="586" t="n">
        <v>3530.33</v>
      </c>
      <c r="W12" s="582" t="n">
        <v>113.7</v>
      </c>
      <c r="X12" s="586" t="n">
        <v>3608.78</v>
      </c>
      <c r="Y12" s="585" t="n">
        <v>133.25</v>
      </c>
      <c r="Z12" s="586" t="n">
        <v>4229.4</v>
      </c>
      <c r="AA12" s="585" t="n">
        <v>34.76</v>
      </c>
      <c r="AB12" s="586" t="n">
        <v>1103.32</v>
      </c>
      <c r="AC12" s="585" t="n">
        <v>61.52</v>
      </c>
      <c r="AD12" s="586" t="n">
        <v>2520.91</v>
      </c>
      <c r="AE12" s="585" t="n">
        <v>65.54000000000001</v>
      </c>
      <c r="AF12" s="586" t="n">
        <v>2685.81</v>
      </c>
      <c r="AG12" s="585" t="n">
        <v>55.76</v>
      </c>
      <c r="AH12" s="586" t="n">
        <v>2285.16</v>
      </c>
      <c r="AI12" s="585" t="n">
        <v>43.45</v>
      </c>
      <c r="AJ12" s="586" t="n">
        <v>1780.65</v>
      </c>
      <c r="AK12" s="585" t="n">
        <v>28.72</v>
      </c>
      <c r="AL12" s="586" t="n">
        <v>1177.09</v>
      </c>
      <c r="AM12" s="585" t="n">
        <v>51.06</v>
      </c>
      <c r="AN12" s="586" t="n">
        <v>2092.26</v>
      </c>
      <c r="AO12" s="585" t="n">
        <v>60.83</v>
      </c>
      <c r="AP12" s="91" t="n">
        <v>2492.9</v>
      </c>
      <c r="AQ12" s="585" t="n">
        <v>53.95</v>
      </c>
      <c r="AR12" s="586" t="n">
        <v>2210.97</v>
      </c>
      <c r="AS12" s="585" t="n">
        <v>55.04</v>
      </c>
      <c r="AT12" s="586" t="n">
        <v>1910.94</v>
      </c>
      <c r="AU12" s="585" t="n">
        <v>57.94</v>
      </c>
      <c r="AV12" s="586" t="n">
        <v>2374.19</v>
      </c>
      <c r="AW12" s="585" t="n">
        <v>64.09</v>
      </c>
      <c r="AX12" s="586" t="n">
        <v>2626.45</v>
      </c>
      <c r="AY12" s="587" t="n">
        <v>17.38</v>
      </c>
      <c r="AZ12" s="586" t="n">
        <v>712.26</v>
      </c>
      <c r="BA12" s="582" t="n">
        <v>63.73</v>
      </c>
      <c r="BB12" s="582" t="n">
        <v>2611.61</v>
      </c>
      <c r="BC12" s="585" t="n">
        <v>63.73</v>
      </c>
      <c r="BD12" s="91" t="n">
        <v>2611.61</v>
      </c>
      <c r="BE12" s="585" t="n">
        <v>60.83</v>
      </c>
      <c r="BF12" s="135" t="n">
        <v>2492.9</v>
      </c>
      <c r="BG12" s="585" t="n">
        <v>46.35</v>
      </c>
      <c r="BH12" s="586" t="n">
        <v>1899.36</v>
      </c>
      <c r="BI12" s="585" t="n">
        <v>60.83</v>
      </c>
      <c r="BJ12" s="586" t="n">
        <v>2492.9</v>
      </c>
      <c r="BK12" s="585" t="n">
        <v>57.94</v>
      </c>
      <c r="BL12" s="586" t="n">
        <v>2374.19</v>
      </c>
      <c r="BM12" s="585" t="n">
        <v>66.63</v>
      </c>
      <c r="BN12" s="586" t="n">
        <v>2730.32</v>
      </c>
      <c r="BO12" s="79" t="n"/>
      <c r="BP12" s="80" t="n"/>
      <c r="BQ12" s="79" t="n"/>
      <c r="BR12" s="80" t="n"/>
      <c r="BS12" s="79" t="n"/>
      <c r="BT12" s="80" t="n"/>
      <c r="BU12" s="79" t="n"/>
      <c r="BV12" s="80" t="n"/>
      <c r="BW12" s="79" t="n"/>
      <c r="BX12" s="80" t="n"/>
    </row>
    <row r="13">
      <c r="B13" s="22" t="inlineStr">
        <is>
          <t>stefano.greco</t>
        </is>
      </c>
      <c r="C13" s="3" t="n">
        <v>33.35</v>
      </c>
      <c r="D13" s="85" t="n">
        <v>0.89</v>
      </c>
      <c r="E13" s="582" t="n"/>
      <c r="F13" s="586" t="n"/>
      <c r="G13" s="582" t="n"/>
      <c r="H13" s="586" t="n"/>
      <c r="I13" s="585" t="n">
        <v>25</v>
      </c>
      <c r="J13" s="91" t="n">
        <v>833.64</v>
      </c>
      <c r="K13" s="585" t="n">
        <v>33.77</v>
      </c>
      <c r="L13" s="135" t="n">
        <v>1380.8</v>
      </c>
      <c r="M13" s="137" t="n">
        <v>51</v>
      </c>
      <c r="N13" s="586" t="n">
        <v>1700.62</v>
      </c>
      <c r="O13" s="585" t="n">
        <v>106.35</v>
      </c>
      <c r="P13" s="586" t="n">
        <v>4304.01</v>
      </c>
      <c r="Q13" s="585" t="n">
        <v>95.77</v>
      </c>
      <c r="R13" s="586" t="n">
        <v>3875.91</v>
      </c>
      <c r="S13" s="585" t="n">
        <v>129</v>
      </c>
      <c r="T13" s="586" t="n">
        <v>4248.03</v>
      </c>
      <c r="U13" s="585" t="n">
        <v>103.56</v>
      </c>
      <c r="V13" s="586" t="n">
        <v>4191.06</v>
      </c>
      <c r="W13" s="582" t="n">
        <v>84.70999999999999</v>
      </c>
      <c r="X13" s="586" t="n">
        <v>3428.06</v>
      </c>
      <c r="Y13" s="585" t="n">
        <v>123.11</v>
      </c>
      <c r="Z13" s="586" t="n">
        <v>3907.6</v>
      </c>
      <c r="AA13" s="585" t="n">
        <v>32.63</v>
      </c>
      <c r="AB13" s="586" t="n">
        <v>1320.51</v>
      </c>
      <c r="AC13" s="585" t="n">
        <v>117.25</v>
      </c>
      <c r="AD13" s="586" t="n">
        <v>4805.08</v>
      </c>
      <c r="AE13" s="585" t="n">
        <v>117.25</v>
      </c>
      <c r="AF13" s="586" t="n">
        <v>4805.08</v>
      </c>
      <c r="AG13" s="585" t="n">
        <v>105.01</v>
      </c>
      <c r="AH13" s="586" t="n">
        <v>4303.23</v>
      </c>
      <c r="AI13" s="585" t="n">
        <v>97</v>
      </c>
      <c r="AJ13" s="586" t="n">
        <v>3234.51</v>
      </c>
      <c r="AK13" s="585" t="n">
        <v>87.55</v>
      </c>
      <c r="AL13" s="586" t="n">
        <v>3587.97</v>
      </c>
      <c r="AM13" s="585" t="n">
        <v>101.39</v>
      </c>
      <c r="AN13" s="586" t="n">
        <v>4154.84</v>
      </c>
      <c r="AO13" s="585" t="n">
        <v>102.84</v>
      </c>
      <c r="AP13" s="91" t="n">
        <v>4214.19</v>
      </c>
      <c r="AQ13" s="585" t="n">
        <v>20.59</v>
      </c>
      <c r="AR13" s="586" t="n">
        <v>843.64</v>
      </c>
      <c r="AS13" s="585" t="n">
        <v>42.37</v>
      </c>
      <c r="AT13" s="586" t="n">
        <v>1736.13</v>
      </c>
      <c r="AU13" s="585" t="n">
        <v>47.44</v>
      </c>
      <c r="AV13" s="586" t="n">
        <v>1944.04</v>
      </c>
      <c r="AW13" s="585" t="n">
        <v>63.91</v>
      </c>
      <c r="AX13" s="586" t="n">
        <v>2619.03</v>
      </c>
      <c r="AY13" s="587" t="n">
        <v>17.38</v>
      </c>
      <c r="AZ13" s="586" t="n">
        <v>712.26</v>
      </c>
      <c r="BA13" s="582" t="n">
        <v>63.73</v>
      </c>
      <c r="BB13" s="582" t="n">
        <v>2611.61</v>
      </c>
      <c r="BC13" s="585" t="n">
        <v>63.73</v>
      </c>
      <c r="BD13" s="91" t="n">
        <v>2611.61</v>
      </c>
      <c r="BE13" s="585" t="n">
        <v>60.83</v>
      </c>
      <c r="BF13" s="135" t="n">
        <v>2492.9</v>
      </c>
      <c r="BG13" s="585" t="n">
        <v>46.35</v>
      </c>
      <c r="BH13" s="586" t="n">
        <v>1899.36</v>
      </c>
      <c r="BI13" s="585" t="n">
        <v>60.83</v>
      </c>
      <c r="BJ13" s="586" t="n">
        <v>2492.9</v>
      </c>
      <c r="BK13" s="585" t="n">
        <v>57.94</v>
      </c>
      <c r="BL13" s="586" t="n">
        <v>2374.19</v>
      </c>
      <c r="BM13" s="585" t="n">
        <v>66.63</v>
      </c>
      <c r="BN13" s="586" t="n">
        <v>2730.32</v>
      </c>
      <c r="BO13" s="79" t="n"/>
      <c r="BP13" s="80" t="n"/>
      <c r="BQ13" s="79" t="n"/>
      <c r="BR13" s="80" t="n"/>
      <c r="BS13" s="79" t="n"/>
      <c r="BT13" s="80" t="n"/>
      <c r="BU13" s="79" t="n"/>
      <c r="BV13" s="80" t="n"/>
      <c r="BW13" s="79" t="n"/>
      <c r="BX13" s="80" t="n"/>
    </row>
    <row r="14">
      <c r="B14" s="22" t="inlineStr">
        <is>
          <t>ilaria.esposito</t>
        </is>
      </c>
      <c r="C14" s="3" t="n">
        <v>29.14</v>
      </c>
      <c r="D14" s="85" t="n">
        <v>0.89</v>
      </c>
      <c r="E14" s="582" t="n"/>
      <c r="F14" s="586" t="n"/>
      <c r="G14" s="582" t="n"/>
      <c r="H14" s="586" t="n"/>
      <c r="I14" s="582" t="n"/>
      <c r="J14" s="91" t="n"/>
      <c r="K14" s="582" t="n"/>
      <c r="L14" s="135" t="n"/>
      <c r="M14" s="137" t="n"/>
      <c r="N14" s="586" t="n"/>
      <c r="O14" s="582" t="n">
        <v>110.09</v>
      </c>
      <c r="P14" s="586" t="n">
        <v>3416.2</v>
      </c>
      <c r="Q14" s="585" t="n">
        <v>118.72</v>
      </c>
      <c r="R14" s="586" t="n">
        <v>3683.85</v>
      </c>
      <c r="S14" s="585" t="n">
        <v>96.31999999999999</v>
      </c>
      <c r="T14" s="586" t="n">
        <v>2988.74</v>
      </c>
      <c r="U14" s="585" t="n">
        <v>114.42</v>
      </c>
      <c r="V14" s="586" t="n">
        <v>3550.53</v>
      </c>
      <c r="W14" s="582" t="n">
        <v>115.87</v>
      </c>
      <c r="X14" s="586" t="n">
        <v>4050.85</v>
      </c>
      <c r="Y14" s="585" t="n">
        <v>75.31999999999999</v>
      </c>
      <c r="Z14" s="586" t="n">
        <v>2633.05</v>
      </c>
      <c r="AA14" s="79" t="n">
        <v>116.52</v>
      </c>
      <c r="AB14" s="586" t="n">
        <v>4073.6</v>
      </c>
      <c r="AC14" s="585" t="n">
        <v>118.72</v>
      </c>
      <c r="AD14" s="586" t="n">
        <v>4251.32</v>
      </c>
      <c r="AE14" s="585" t="n">
        <v>133.28</v>
      </c>
      <c r="AF14" s="586" t="n">
        <v>4772.9</v>
      </c>
      <c r="AG14" s="585" t="n">
        <v>115.87</v>
      </c>
      <c r="AH14" s="586" t="n">
        <v>4149.34</v>
      </c>
      <c r="AI14" s="585" t="n">
        <v>97.73</v>
      </c>
      <c r="AJ14" s="586" t="n">
        <v>3499.55</v>
      </c>
      <c r="AK14" s="585" t="n">
        <v>109.28</v>
      </c>
      <c r="AL14" s="586" t="n">
        <v>3913.31</v>
      </c>
      <c r="AM14" s="585" t="n">
        <v>110.08</v>
      </c>
      <c r="AN14" s="586" t="n">
        <v>3941.87</v>
      </c>
      <c r="AO14" s="585" t="n">
        <v>121.66</v>
      </c>
      <c r="AP14" s="91" t="n">
        <v>4356.8</v>
      </c>
      <c r="AQ14" s="585" t="n">
        <v>115.87</v>
      </c>
      <c r="AR14" s="586" t="n">
        <v>4149.34</v>
      </c>
      <c r="AS14" s="585" t="n">
        <v>115.87</v>
      </c>
      <c r="AT14" s="586" t="n">
        <v>4149.34</v>
      </c>
      <c r="AU14" s="585" t="n">
        <v>115.87</v>
      </c>
      <c r="AV14" s="586" t="n">
        <v>4149.34</v>
      </c>
      <c r="AW14" s="585" t="n">
        <v>120.94</v>
      </c>
      <c r="AX14" s="586" t="n">
        <v>4330.87</v>
      </c>
      <c r="AY14" s="587" t="n">
        <v>67.29000000000001</v>
      </c>
      <c r="AZ14" s="586" t="n">
        <v>2409.76</v>
      </c>
      <c r="BA14" s="582" t="n">
        <v>127.46</v>
      </c>
      <c r="BB14" s="582" t="n">
        <v>4564.27</v>
      </c>
      <c r="BC14" s="585" t="n">
        <v>127.46</v>
      </c>
      <c r="BD14" s="91" t="n">
        <v>4564.27</v>
      </c>
      <c r="BE14" s="585" t="n">
        <v>121.66</v>
      </c>
      <c r="BF14" s="135" t="n">
        <v>4356.8</v>
      </c>
      <c r="BG14" s="585" t="n">
        <v>92.7</v>
      </c>
      <c r="BH14" s="586" t="n">
        <v>3319.47</v>
      </c>
      <c r="BI14" s="585" t="n">
        <v>121.66</v>
      </c>
      <c r="BJ14" s="586" t="n">
        <v>4356.8</v>
      </c>
      <c r="BK14" s="585" t="n">
        <v>115.87</v>
      </c>
      <c r="BL14" s="586" t="n">
        <v>4149.34</v>
      </c>
      <c r="BM14" s="585" t="n">
        <v>133.25</v>
      </c>
      <c r="BN14" s="586" t="n">
        <v>4771.74</v>
      </c>
      <c r="BO14" s="79" t="n"/>
      <c r="BP14" s="80" t="n"/>
      <c r="BQ14" s="79" t="n"/>
      <c r="BR14" s="80" t="n"/>
      <c r="BS14" s="79" t="n"/>
      <c r="BT14" s="80" t="n"/>
      <c r="BU14" s="79" t="n"/>
      <c r="BV14" s="80" t="n"/>
      <c r="BW14" s="79" t="n"/>
      <c r="BX14" s="80" t="n"/>
    </row>
    <row r="15">
      <c r="B15" s="22" t="inlineStr">
        <is>
          <t>laura.moretti</t>
        </is>
      </c>
      <c r="C15" s="3" t="n">
        <v>26.48</v>
      </c>
      <c r="D15" s="85" t="n">
        <v>0.89</v>
      </c>
      <c r="E15" s="582" t="n"/>
      <c r="F15" s="586" t="n"/>
      <c r="G15" s="582" t="n"/>
      <c r="H15" s="586" t="n"/>
      <c r="I15" s="582" t="n"/>
      <c r="J15" s="91" t="n"/>
      <c r="K15" s="582" t="n"/>
      <c r="L15" s="135" t="n"/>
      <c r="M15" s="137" t="n"/>
      <c r="N15" s="586" t="n"/>
      <c r="O15" s="582" t="n">
        <v>115.87</v>
      </c>
      <c r="P15" s="586" t="n">
        <v>3614.01</v>
      </c>
      <c r="Q15" s="585" t="n">
        <v>110.09</v>
      </c>
      <c r="R15" s="586" t="n">
        <v>3433.82</v>
      </c>
      <c r="S15" s="585" t="n">
        <v>98.48999999999999</v>
      </c>
      <c r="T15" s="586" t="n">
        <v>3071.91</v>
      </c>
      <c r="U15" s="585" t="n">
        <v>92.7</v>
      </c>
      <c r="V15" s="586" t="n">
        <v>2891.21</v>
      </c>
      <c r="W15" s="582" t="n">
        <v>80.8</v>
      </c>
      <c r="X15" s="586" t="n">
        <v>2520.16</v>
      </c>
      <c r="Y15" s="585" t="n">
        <v>81.04000000000001</v>
      </c>
      <c r="Z15" t="n">
        <v>52279.54</v>
      </c>
      <c r="AA15" t="n">
        <v>114.89</v>
      </c>
      <c r="AB15" s="586" t="n">
        <v>3583.56</v>
      </c>
      <c r="AC15" s="585" t="n">
        <v>127.46</v>
      </c>
      <c r="AD15" s="586" t="n">
        <v>4147.48</v>
      </c>
      <c r="AE15" s="585" t="n">
        <v>133.2</v>
      </c>
      <c r="AF15" s="586" t="n">
        <v>4334.42</v>
      </c>
      <c r="AG15" s="585" t="n">
        <v>115.87</v>
      </c>
      <c r="AH15" s="586" t="n">
        <v>3770.44</v>
      </c>
      <c r="AI15" s="585" t="n">
        <v>81.11</v>
      </c>
      <c r="AJ15" s="586" t="n">
        <v>2639.31</v>
      </c>
      <c r="AK15" s="585" t="n">
        <v>101.31</v>
      </c>
      <c r="AL15" s="586" t="n">
        <v>3296.49</v>
      </c>
      <c r="AM15" s="585" t="n">
        <v>80.47</v>
      </c>
      <c r="AN15" s="586" t="n">
        <v>2618.65</v>
      </c>
      <c r="AO15" s="585" t="n">
        <v>127.46</v>
      </c>
      <c r="AP15" s="91" t="n">
        <v>4147.48</v>
      </c>
      <c r="AQ15" s="585" t="n">
        <v>118.77</v>
      </c>
      <c r="AR15" s="586" t="n">
        <v>3864.7</v>
      </c>
      <c r="AS15" s="585" t="n">
        <v>115.87</v>
      </c>
      <c r="AT15" s="586" t="n">
        <v>3770.44</v>
      </c>
      <c r="AU15" s="585" t="n">
        <v>110.01</v>
      </c>
      <c r="AV15" s="586" t="n">
        <v>3579.8</v>
      </c>
      <c r="AW15" s="585" t="n">
        <v>75.31999999999999</v>
      </c>
      <c r="AX15" s="586" t="n">
        <v>2450.78</v>
      </c>
      <c r="AY15" s="330" t="n">
        <v>115.87</v>
      </c>
      <c r="AZ15" s="586" t="n">
        <v>3770.44</v>
      </c>
      <c r="BA15" s="582" t="n">
        <v>127.46</v>
      </c>
      <c r="BB15" s="582" t="n">
        <v>4147.48</v>
      </c>
      <c r="BC15" s="585" t="n">
        <v>127.46</v>
      </c>
      <c r="BD15" s="91" t="n">
        <v>4147.48</v>
      </c>
      <c r="BE15" s="585" t="n">
        <v>121.66</v>
      </c>
      <c r="BF15" s="135" t="n">
        <v>3958.96</v>
      </c>
      <c r="BG15" s="585" t="n">
        <v>92.7</v>
      </c>
      <c r="BH15" s="586" t="n">
        <v>3016.35</v>
      </c>
      <c r="BI15" s="585" t="n">
        <v>121.66</v>
      </c>
      <c r="BJ15" s="586" t="n">
        <v>3958.96</v>
      </c>
      <c r="BK15" s="585" t="n">
        <v>115.87</v>
      </c>
      <c r="BL15" s="586" t="n">
        <v>3770.44</v>
      </c>
      <c r="BM15" s="585" t="n">
        <v>133.25</v>
      </c>
      <c r="BN15" s="586" t="n">
        <v>4336</v>
      </c>
      <c r="BO15" s="79" t="n"/>
      <c r="BP15" s="80" t="n"/>
      <c r="BQ15" s="79" t="n"/>
      <c r="BR15" s="80" t="n"/>
      <c r="BS15" s="79" t="n"/>
      <c r="BT15" s="80" t="n"/>
      <c r="BU15" s="79" t="n"/>
      <c r="BV15" s="80" t="n"/>
      <c r="BW15" s="79" t="n"/>
      <c r="BX15" s="80" t="n"/>
    </row>
    <row r="16">
      <c r="B16" s="22" t="inlineStr">
        <is>
          <t>anna.ferrari</t>
        </is>
      </c>
      <c r="C16" s="3" t="n">
        <v>79.64</v>
      </c>
      <c r="D16" s="85" t="n">
        <v>0.47</v>
      </c>
      <c r="E16" s="582" t="n"/>
      <c r="F16" s="586" t="n"/>
      <c r="G16" s="582" t="n"/>
      <c r="H16" s="586" t="n"/>
      <c r="I16" s="582" t="n"/>
      <c r="J16" s="91" t="n"/>
      <c r="K16" s="582" t="n"/>
      <c r="L16" s="135" t="n"/>
      <c r="M16" s="137" t="n"/>
      <c r="N16" s="586" t="n"/>
      <c r="O16" s="582" t="n">
        <v>72</v>
      </c>
      <c r="P16" s="586" t="n">
        <v>5080.61</v>
      </c>
      <c r="Q16" s="585" t="n">
        <v>72</v>
      </c>
      <c r="R16" s="586" t="n">
        <v>5080.61</v>
      </c>
      <c r="S16" s="585" t="n">
        <v>51</v>
      </c>
      <c r="T16" s="586" t="n">
        <v>3598.77</v>
      </c>
      <c r="U16" s="585" t="n">
        <v>72</v>
      </c>
      <c r="V16" s="586" t="n">
        <v>5080.61</v>
      </c>
      <c r="W16" s="582" t="n">
        <v>72</v>
      </c>
      <c r="X16" s="586" t="n">
        <v>5080.61</v>
      </c>
      <c r="Y16" s="585" t="n">
        <v>67.37</v>
      </c>
      <c r="Z16" s="586" t="n"/>
      <c r="AA16" s="79" t="n">
        <v>48</v>
      </c>
      <c r="AB16" s="586" t="n">
        <v>3387.08</v>
      </c>
      <c r="AC16" s="585" t="n">
        <v>52.01</v>
      </c>
      <c r="AD16" s="586" t="n">
        <v>5090.39</v>
      </c>
      <c r="AE16" s="585" t="n">
        <v>31.64</v>
      </c>
      <c r="AF16" s="586" t="n">
        <v>3096.15</v>
      </c>
      <c r="AG16" s="585" t="n">
        <v>28.76</v>
      </c>
      <c r="AH16" s="586" t="n">
        <v>2814.68</v>
      </c>
      <c r="AI16" s="585" t="n">
        <v>41.25</v>
      </c>
      <c r="AJ16" s="586" t="n">
        <v>4037.59</v>
      </c>
      <c r="AK16" s="585" t="n">
        <v>25.88</v>
      </c>
      <c r="AL16" s="586" t="n">
        <v>2533.22</v>
      </c>
      <c r="AM16" s="585" t="n">
        <v>61.19</v>
      </c>
      <c r="AN16" s="586" t="n">
        <v>5988.69</v>
      </c>
      <c r="AO16" s="585" t="n">
        <v>25.52</v>
      </c>
      <c r="AP16" s="91" t="n">
        <v>2497.28</v>
      </c>
      <c r="AQ16" s="585" t="n">
        <v>28.76</v>
      </c>
      <c r="AR16" s="586" t="n">
        <v>2814.68</v>
      </c>
      <c r="AS16" s="585" t="n">
        <v>28.76</v>
      </c>
      <c r="AT16" s="586" t="n">
        <v>5988.69</v>
      </c>
      <c r="AU16" s="585" t="n">
        <v>28.76</v>
      </c>
      <c r="AV16" s="586" t="n">
        <v>2814.68</v>
      </c>
      <c r="AW16" s="585" t="n">
        <v>63.88</v>
      </c>
      <c r="AX16" s="586" t="n">
        <v>6251.49</v>
      </c>
      <c r="AY16" s="330" t="n">
        <v>18.39</v>
      </c>
      <c r="AZ16" s="586" t="n">
        <v>1799.79</v>
      </c>
      <c r="BA16" s="582" t="n">
        <v>67.31</v>
      </c>
      <c r="BB16" s="582" t="n">
        <v>6587.56</v>
      </c>
      <c r="BC16" s="585" t="n">
        <v>67.31</v>
      </c>
      <c r="BD16" s="91" t="n">
        <v>6587.56</v>
      </c>
      <c r="BE16" s="585" t="n">
        <v>64.25</v>
      </c>
      <c r="BF16" s="135" t="n">
        <v>6288.12</v>
      </c>
      <c r="BG16" s="585" t="n">
        <v>48.95</v>
      </c>
      <c r="BH16" s="586" t="n">
        <v>4790.95</v>
      </c>
      <c r="BI16" s="585" t="n">
        <v>64.25</v>
      </c>
      <c r="BJ16" s="586" t="n">
        <v>6288.12</v>
      </c>
      <c r="BK16" s="585" t="n">
        <v>61.19</v>
      </c>
      <c r="BL16" s="586" t="n">
        <v>5988.69</v>
      </c>
      <c r="BM16" s="585" t="n">
        <v>70.37</v>
      </c>
      <c r="BN16" s="586" t="n">
        <v>6886.99</v>
      </c>
      <c r="BO16" s="79" t="n"/>
      <c r="BP16" s="80" t="n"/>
      <c r="BQ16" s="79" t="n"/>
      <c r="BR16" s="80" t="n"/>
      <c r="BS16" s="79" t="n"/>
      <c r="BT16" s="80" t="n"/>
      <c r="BU16" s="79" t="n"/>
      <c r="BV16" s="80" t="n"/>
      <c r="BW16" s="79" t="n"/>
      <c r="BX16" s="80" t="n"/>
    </row>
    <row r="17">
      <c r="B17" s="22" t="inlineStr">
        <is>
          <t>roberto.costa</t>
        </is>
      </c>
      <c r="C17" s="3" t="n">
        <v>29.14</v>
      </c>
      <c r="D17" s="85" t="n">
        <v>0.89</v>
      </c>
      <c r="E17" s="582" t="n"/>
      <c r="F17" s="586" t="n"/>
      <c r="G17" s="582" t="n"/>
      <c r="H17" s="586" t="n"/>
      <c r="I17" s="582" t="n"/>
      <c r="J17" s="91" t="n"/>
      <c r="K17" s="582" t="n"/>
      <c r="L17" s="135" t="n"/>
      <c r="M17" s="137" t="n"/>
      <c r="N17" s="586" t="n"/>
      <c r="O17" s="582" t="n"/>
      <c r="P17" s="586" t="n"/>
      <c r="Q17" s="585" t="n">
        <v>4</v>
      </c>
      <c r="R17" s="586" t="n">
        <v>113.79</v>
      </c>
      <c r="S17" s="585" t="n">
        <v>65</v>
      </c>
      <c r="T17" s="586" t="n">
        <v>1849.05</v>
      </c>
      <c r="U17" s="585" t="n">
        <v>57.94</v>
      </c>
      <c r="V17" s="586" t="n">
        <v>2025.42</v>
      </c>
      <c r="W17" s="582" t="n">
        <v>52.14</v>
      </c>
      <c r="X17" s="586" t="n">
        <v>1822.88</v>
      </c>
      <c r="Y17" s="585" t="n">
        <v>66.63</v>
      </c>
      <c r="Z17" s="586" t="n"/>
      <c r="AA17" s="79" t="n">
        <v>31.9</v>
      </c>
      <c r="AB17" s="586" t="n">
        <v>1115.12</v>
      </c>
      <c r="AC17" s="585" t="n">
        <v>63.79</v>
      </c>
      <c r="AD17" s="586" t="n">
        <v>2284.47</v>
      </c>
      <c r="AE17" s="585" t="n">
        <v>66.63</v>
      </c>
      <c r="AF17" s="586" t="n">
        <v>2385.87</v>
      </c>
      <c r="AG17" s="585" t="n">
        <v>57.94</v>
      </c>
      <c r="AH17" s="586" t="n">
        <v>2074.67</v>
      </c>
      <c r="AI17" s="585" t="n">
        <v>40.52</v>
      </c>
      <c r="AJ17" s="586" t="n">
        <v>1451.1</v>
      </c>
      <c r="AK17" s="585" t="n">
        <v>47.52</v>
      </c>
      <c r="AL17" s="586" t="n">
        <v>1701.69</v>
      </c>
      <c r="AM17" s="585" t="n">
        <v>57.94</v>
      </c>
      <c r="AN17" s="586" t="n">
        <v>2074.67</v>
      </c>
      <c r="AO17" s="585" t="n">
        <v>127.46</v>
      </c>
      <c r="AP17" s="91" t="n">
        <v>4564.27</v>
      </c>
      <c r="AQ17" s="585" t="n">
        <v>104.28</v>
      </c>
      <c r="AR17" s="586" t="n">
        <v>3734.4</v>
      </c>
      <c r="AS17" s="585" t="n">
        <v>115.87</v>
      </c>
      <c r="AT17" s="586" t="n">
        <v>4149.34</v>
      </c>
      <c r="AU17" s="585" t="n">
        <v>121</v>
      </c>
      <c r="AV17" s="586" t="n">
        <v>3525.77</v>
      </c>
      <c r="AW17" s="585" t="n">
        <v>107.18</v>
      </c>
      <c r="AX17" s="586" t="n">
        <v>3838.14</v>
      </c>
      <c r="AY17" s="330" t="n">
        <v>57.94</v>
      </c>
      <c r="AZ17" s="586" t="n">
        <v>2074.67</v>
      </c>
      <c r="BA17" s="582" t="n">
        <v>127.46</v>
      </c>
      <c r="BB17" s="582" t="n">
        <v>4564.27</v>
      </c>
      <c r="BC17" s="585" t="n">
        <v>127.46</v>
      </c>
      <c r="BD17" s="91" t="n">
        <v>4564.27</v>
      </c>
      <c r="BE17" s="585" t="n">
        <v>121.66</v>
      </c>
      <c r="BF17" s="135" t="n">
        <v>4356.8</v>
      </c>
      <c r="BG17" s="585" t="n">
        <v>92.7</v>
      </c>
      <c r="BH17" s="586" t="n">
        <v>3319.47</v>
      </c>
      <c r="BI17" s="585" t="n">
        <v>121.66</v>
      </c>
      <c r="BJ17" s="586" t="n">
        <v>4356.8</v>
      </c>
      <c r="BK17" s="585" t="n">
        <v>115.87</v>
      </c>
      <c r="BL17" s="586" t="n">
        <v>4149.34</v>
      </c>
      <c r="BM17" s="585" t="n">
        <v>133.25</v>
      </c>
      <c r="BN17" s="586" t="n">
        <v>4771.74</v>
      </c>
      <c r="BO17" s="79" t="n"/>
      <c r="BP17" s="80" t="n"/>
      <c r="BQ17" s="79" t="n"/>
      <c r="BR17" s="80" t="n"/>
      <c r="BS17" s="79" t="n"/>
      <c r="BT17" s="80" t="n"/>
      <c r="BU17" s="79" t="n"/>
      <c r="BV17" s="80" t="n"/>
      <c r="BW17" s="79" t="n"/>
      <c r="BX17" s="80" t="n"/>
    </row>
    <row r="18">
      <c r="B18" s="22" t="inlineStr">
        <is>
          <t>paolo.greco</t>
        </is>
      </c>
      <c r="C18" s="3" t="n">
        <v>28.25</v>
      </c>
      <c r="D18" s="85" t="n">
        <v>0.89</v>
      </c>
      <c r="E18" s="582" t="n"/>
      <c r="F18" s="586" t="n"/>
      <c r="G18" s="582" t="n"/>
      <c r="H18" s="586" t="n"/>
      <c r="I18" s="582" t="n"/>
      <c r="J18" s="586" t="n"/>
      <c r="K18" s="582" t="n"/>
      <c r="L18" s="91" t="n"/>
      <c r="M18" s="585" t="n"/>
      <c r="N18" s="586" t="n"/>
      <c r="O18" s="582" t="n"/>
      <c r="P18" s="586" t="n"/>
      <c r="Q18" s="585" t="n"/>
      <c r="R18" s="586" t="n">
        <v>959.79</v>
      </c>
      <c r="S18" s="585" t="n"/>
      <c r="T18" s="586" t="n"/>
      <c r="U18" s="585" t="n"/>
      <c r="V18" s="586" t="n"/>
      <c r="W18" s="582" t="n"/>
      <c r="X18" s="586" t="n"/>
      <c r="Y18" s="585" t="n"/>
      <c r="Z18" s="586" t="n"/>
      <c r="AA18" s="79" t="n"/>
      <c r="AB18" s="586" t="n"/>
      <c r="AC18" s="585" t="n"/>
      <c r="AD18" s="586" t="n"/>
      <c r="AE18" s="79" t="n">
        <v>28.97</v>
      </c>
      <c r="AF18" s="586" t="n">
        <v>1005.76</v>
      </c>
      <c r="AG18" s="585" t="n">
        <v>106.68</v>
      </c>
      <c r="AH18" s="586" t="n">
        <v>3703.79</v>
      </c>
      <c r="AI18" s="585" t="n">
        <v>138</v>
      </c>
      <c r="AJ18" s="586" t="n">
        <v>3898.73</v>
      </c>
      <c r="AK18" s="585" t="n">
        <v>94.8</v>
      </c>
      <c r="AL18" s="586" t="n">
        <v>3291.32</v>
      </c>
      <c r="AM18" s="585" t="n">
        <v>101.39</v>
      </c>
      <c r="AN18" s="586" t="n">
        <v>3520.16</v>
      </c>
      <c r="AO18" s="585" t="n">
        <v>120.22</v>
      </c>
      <c r="AP18" s="91" t="n">
        <v>4173.9</v>
      </c>
      <c r="AQ18" s="585" t="n">
        <v>113.7</v>
      </c>
      <c r="AR18" s="586" t="n">
        <v>3947.61</v>
      </c>
      <c r="AS18" s="585" t="n">
        <v>110.08</v>
      </c>
      <c r="AT18" s="586" t="n">
        <v>3305.62</v>
      </c>
      <c r="AU18" s="585" t="n">
        <v>114.41</v>
      </c>
      <c r="AV18" s="586" t="n">
        <v>3972.18</v>
      </c>
      <c r="AW18" s="585" t="n">
        <v>125.29</v>
      </c>
      <c r="AX18" s="586" t="n">
        <v>4349.91</v>
      </c>
      <c r="AY18" s="587" t="n">
        <v>83.97</v>
      </c>
      <c r="AZ18" s="586" t="n">
        <v>2915.57</v>
      </c>
      <c r="BA18" s="630" t="n">
        <v>81.11</v>
      </c>
      <c r="BB18" s="582" t="n">
        <v>2816.13</v>
      </c>
      <c r="BC18" s="585" t="n">
        <v>127.46</v>
      </c>
      <c r="BD18" s="91" t="n">
        <v>4425.34</v>
      </c>
      <c r="BE18" s="585" t="n">
        <v>121.66</v>
      </c>
      <c r="BF18" s="135" t="n">
        <v>4224.19</v>
      </c>
      <c r="BG18" s="585" t="n">
        <v>92.7</v>
      </c>
      <c r="BH18" s="586" t="n">
        <v>3218.43</v>
      </c>
      <c r="BI18" s="585" t="n">
        <v>121.66</v>
      </c>
      <c r="BJ18" s="586" t="n">
        <v>4224.19</v>
      </c>
      <c r="BK18" s="585" t="n">
        <v>115.87</v>
      </c>
      <c r="BL18" s="586" t="n">
        <v>4023.04</v>
      </c>
      <c r="BM18" s="585" t="n">
        <v>133.25</v>
      </c>
      <c r="BN18" s="586" t="n">
        <v>4626.49</v>
      </c>
      <c r="BO18" s="79" t="n"/>
      <c r="BP18" s="80" t="n"/>
      <c r="BQ18" s="79" t="n"/>
      <c r="BR18" s="80" t="n"/>
      <c r="BS18" s="79" t="n"/>
      <c r="BT18" s="80" t="n"/>
      <c r="BU18" s="79" t="n"/>
      <c r="BV18" s="80" t="n"/>
      <c r="BW18" s="79" t="n"/>
      <c r="BX18" s="80" t="n"/>
    </row>
    <row r="19">
      <c r="B19" s="22" t="inlineStr">
        <is>
          <t>riccardo.gentile</t>
        </is>
      </c>
      <c r="C19" s="3" t="n">
        <v>79.64</v>
      </c>
      <c r="D19" s="85" t="n">
        <v>0.5</v>
      </c>
      <c r="E19" s="582" t="n"/>
      <c r="F19" s="586" t="n"/>
      <c r="G19" s="582" t="n"/>
      <c r="H19" s="586" t="n"/>
      <c r="I19" s="582" t="n"/>
      <c r="J19" s="586" t="n"/>
      <c r="K19" s="582" t="n"/>
      <c r="L19" s="91" t="n"/>
      <c r="M19" s="585" t="n"/>
      <c r="N19" s="586" t="n"/>
      <c r="O19" s="582" t="n"/>
      <c r="P19" s="586" t="n"/>
      <c r="Q19" s="585" t="n"/>
      <c r="R19" s="586" t="n"/>
      <c r="S19" s="585" t="n"/>
      <c r="T19" s="586" t="n"/>
      <c r="U19" s="585" t="n">
        <v>72</v>
      </c>
      <c r="V19" s="586" t="n">
        <v>6102.36</v>
      </c>
      <c r="W19" s="582" t="n">
        <v>72</v>
      </c>
      <c r="X19" s="586" t="n">
        <v>6102.36</v>
      </c>
      <c r="Y19" s="585" t="n">
        <v>52.73</v>
      </c>
      <c r="Z19" s="586" t="n">
        <v>5492.12</v>
      </c>
      <c r="AA19" s="79" t="n">
        <v>17.58</v>
      </c>
      <c r="AB19" s="586" t="n">
        <v>1830.71</v>
      </c>
      <c r="AC19" s="585" t="n">
        <v>68</v>
      </c>
      <c r="AD19" s="586" t="n">
        <v>5415.3</v>
      </c>
      <c r="AE19" s="79" t="n">
        <v>62.49</v>
      </c>
      <c r="AF19" s="586" t="n">
        <v>6116.11</v>
      </c>
      <c r="AG19" s="585" t="n">
        <v>66.40000000000001</v>
      </c>
      <c r="AH19" s="586" t="n">
        <v>6498.36</v>
      </c>
      <c r="AI19" s="585" t="n">
        <v>52</v>
      </c>
      <c r="AJ19" s="586" t="n">
        <v>4141.11</v>
      </c>
      <c r="AK19" s="585" t="n">
        <v>72</v>
      </c>
      <c r="AL19" s="586" t="n">
        <v>5733.85</v>
      </c>
      <c r="AM19" s="585" t="n">
        <v>80</v>
      </c>
      <c r="AN19" s="586" t="n">
        <v>6370.95</v>
      </c>
      <c r="AO19" s="585" t="n">
        <v>83</v>
      </c>
      <c r="AP19" s="91" t="n">
        <v>6609.86</v>
      </c>
      <c r="AQ19" s="585" t="n">
        <v>80</v>
      </c>
      <c r="AR19" s="586" t="n">
        <v>6370.95</v>
      </c>
      <c r="AS19" s="79" t="n">
        <v>80</v>
      </c>
      <c r="AT19" s="586" t="n">
        <v>6370.95</v>
      </c>
      <c r="AU19" s="585" t="n">
        <v>41.91</v>
      </c>
      <c r="AV19" s="586" t="n">
        <v>4101.3</v>
      </c>
      <c r="AW19" s="585" t="n">
        <v>78</v>
      </c>
      <c r="AX19" s="586" t="n">
        <v>6211.67</v>
      </c>
      <c r="AY19" s="330" t="n">
        <v>40</v>
      </c>
      <c r="AZ19" s="586" t="n">
        <v>3185.47</v>
      </c>
      <c r="BA19" s="582" t="n">
        <v>88</v>
      </c>
      <c r="BB19" s="582" t="n">
        <v>7008.04</v>
      </c>
      <c r="BC19" s="585" t="n">
        <v>88</v>
      </c>
      <c r="BD19" s="91" t="n">
        <v>7008.04</v>
      </c>
      <c r="BE19" s="585" t="n">
        <v>84</v>
      </c>
      <c r="BF19" s="135" t="n">
        <v>6689.49</v>
      </c>
      <c r="BG19" s="585" t="n">
        <v>64</v>
      </c>
      <c r="BH19" s="586" t="n">
        <v>5096.76</v>
      </c>
      <c r="BI19" s="585" t="n">
        <v>84</v>
      </c>
      <c r="BJ19" s="586" t="n">
        <v>6689.49</v>
      </c>
      <c r="BK19" s="585" t="n">
        <v>80</v>
      </c>
      <c r="BL19" s="586" t="n">
        <v>6370.95</v>
      </c>
      <c r="BM19" s="585" t="n">
        <v>92</v>
      </c>
      <c r="BN19" s="586" t="n">
        <v>7326.59</v>
      </c>
      <c r="BO19" s="79" t="n"/>
      <c r="BP19" s="80" t="n"/>
      <c r="BQ19" s="79" t="n"/>
      <c r="BR19" s="80" t="n"/>
      <c r="BS19" s="79" t="n"/>
      <c r="BT19" s="80" t="n"/>
      <c r="BU19" s="79" t="n"/>
      <c r="BV19" s="80" t="n"/>
      <c r="BW19" s="79" t="n"/>
      <c r="BX19" s="80" t="n"/>
    </row>
    <row r="20">
      <c r="B20" s="22" t="inlineStr">
        <is>
          <t>fabio.ferrara</t>
        </is>
      </c>
      <c r="C20" s="3" t="n">
        <v>25.58</v>
      </c>
      <c r="D20" s="85" t="n">
        <v>0.95</v>
      </c>
      <c r="E20" s="582" t="n"/>
      <c r="F20" s="586" t="n"/>
      <c r="G20" s="582" t="n"/>
      <c r="H20" s="586" t="n"/>
      <c r="I20" s="582" t="n"/>
      <c r="J20" s="586" t="n"/>
      <c r="K20" s="582" t="n"/>
      <c r="L20" s="91" t="n"/>
      <c r="M20" s="585" t="n"/>
      <c r="N20" s="586" t="n"/>
      <c r="O20" s="582" t="n"/>
      <c r="P20" s="586" t="n"/>
      <c r="Q20" s="585" t="n"/>
      <c r="R20" s="586" t="n"/>
      <c r="S20" s="585" t="n"/>
      <c r="T20" s="586" t="n"/>
      <c r="U20" s="585" t="n">
        <v>152</v>
      </c>
      <c r="V20" s="586" t="n">
        <v>3919.5</v>
      </c>
      <c r="W20" s="582" t="n">
        <v>80.39</v>
      </c>
      <c r="X20" s="586" t="n">
        <v>2547.67</v>
      </c>
      <c r="Y20" s="631" t="n">
        <v>133.77</v>
      </c>
      <c r="Z20" s="626" t="n">
        <v>4239.24</v>
      </c>
      <c r="AA20" s="79" t="n">
        <v>98.95</v>
      </c>
      <c r="AB20" s="586" t="n">
        <v>3135.6</v>
      </c>
      <c r="AC20" s="585" t="n">
        <v>126.77</v>
      </c>
      <c r="AD20" s="586" t="n">
        <v>3985.79</v>
      </c>
      <c r="AE20" s="79" t="n">
        <v>134.5</v>
      </c>
      <c r="AF20" s="586" t="n">
        <v>4228.82</v>
      </c>
      <c r="AG20" s="585" t="n">
        <v>112.86</v>
      </c>
      <c r="AH20" s="586" t="n">
        <v>3548.32</v>
      </c>
      <c r="AI20" s="585" t="n">
        <v>95.84999999999999</v>
      </c>
      <c r="AJ20" s="586" t="n">
        <v>3013.65</v>
      </c>
      <c r="AK20" s="585" t="n">
        <v>109.77</v>
      </c>
      <c r="AL20" s="586" t="n">
        <v>3451.11</v>
      </c>
      <c r="AM20" s="585" t="n">
        <v>111.31</v>
      </c>
      <c r="AN20" s="586" t="n">
        <v>3499.72</v>
      </c>
      <c r="AO20" s="585" t="n">
        <v>132.96</v>
      </c>
      <c r="AP20" s="91" t="n">
        <v>4180.22</v>
      </c>
      <c r="AQ20" s="585" t="n">
        <v>128.32</v>
      </c>
      <c r="AR20" s="586" t="n">
        <v>4034.4</v>
      </c>
      <c r="AS20" s="79" t="n">
        <v>152</v>
      </c>
      <c r="AT20" s="586" t="n">
        <v>3883.63</v>
      </c>
      <c r="AU20" s="585" t="n">
        <v>98.95</v>
      </c>
      <c r="AV20" s="586" t="n">
        <v>3110.86</v>
      </c>
      <c r="AW20" s="585" t="n">
        <v>134.12</v>
      </c>
      <c r="AX20" s="586" t="n">
        <v>4216.67</v>
      </c>
      <c r="AY20" s="330" t="n">
        <v>49.47</v>
      </c>
      <c r="AZ20" s="586" t="n">
        <v>1555.43</v>
      </c>
      <c r="BA20" s="582" t="n">
        <v>136.05</v>
      </c>
      <c r="BB20" s="582" t="n">
        <v>4277.43</v>
      </c>
      <c r="BC20" s="585" t="n">
        <v>136.05</v>
      </c>
      <c r="BD20" s="91" t="n">
        <v>4277.43</v>
      </c>
      <c r="BE20" s="585" t="n">
        <v>129.87</v>
      </c>
      <c r="BF20" s="135" t="n">
        <v>4083</v>
      </c>
      <c r="BG20" s="585" t="n">
        <v>98.95</v>
      </c>
      <c r="BH20" s="586" t="n">
        <v>3110.86</v>
      </c>
      <c r="BI20" s="585" t="n">
        <v>129.87</v>
      </c>
      <c r="BJ20" s="586" t="n">
        <v>4083</v>
      </c>
      <c r="BK20" s="585" t="n">
        <v>152</v>
      </c>
      <c r="BL20" s="586" t="n">
        <v>3888.57</v>
      </c>
      <c r="BM20" s="585" t="n">
        <v>142.23</v>
      </c>
      <c r="BN20" s="586" t="n">
        <v>4471.86</v>
      </c>
      <c r="BO20" s="79" t="n"/>
      <c r="BP20" s="80" t="n"/>
      <c r="BQ20" s="79" t="n"/>
      <c r="BR20" s="80" t="n"/>
      <c r="BS20" s="79" t="n"/>
      <c r="BT20" s="80" t="n"/>
      <c r="BU20" s="79" t="n"/>
      <c r="BV20" s="80" t="n"/>
      <c r="BW20" s="79" t="n"/>
      <c r="BX20" s="80" t="n"/>
    </row>
    <row r="21" ht="16" customHeight="1" s="564">
      <c r="B21" s="22" t="inlineStr">
        <is>
          <t>serena.mariani</t>
        </is>
      </c>
      <c r="C21" s="3" t="n">
        <v>29.14</v>
      </c>
      <c r="D21" s="85" t="n">
        <v>0.89</v>
      </c>
      <c r="E21" s="582" t="n"/>
      <c r="F21" s="586" t="n"/>
      <c r="G21" s="582" t="n"/>
      <c r="H21" s="586" t="n"/>
      <c r="I21" s="582" t="n"/>
      <c r="J21" s="586" t="n"/>
      <c r="K21" s="582" t="n"/>
      <c r="L21" s="91" t="n"/>
      <c r="M21" s="585" t="n"/>
      <c r="N21" s="586" t="n"/>
      <c r="O21" s="582" t="n"/>
      <c r="P21" s="586" t="n"/>
      <c r="Q21" s="585" t="n"/>
      <c r="R21" s="586" t="n"/>
      <c r="S21" s="585" t="n"/>
      <c r="T21" s="586" t="n"/>
      <c r="U21" s="585" t="n"/>
      <c r="V21" s="582" t="n"/>
      <c r="W21" s="582" t="n"/>
      <c r="X21" s="582" t="n"/>
      <c r="Y21" s="585" t="n"/>
      <c r="Z21" s="582" t="n"/>
      <c r="AA21" s="582" t="n"/>
      <c r="AB21" s="582" t="n"/>
      <c r="AC21" s="585" t="n"/>
      <c r="AD21" s="586" t="n"/>
      <c r="AE21" s="585" t="n">
        <v>32</v>
      </c>
      <c r="AF21" s="586" t="n">
        <v>932.4400000000001</v>
      </c>
      <c r="AG21" s="585" t="n">
        <v>57.94</v>
      </c>
      <c r="AH21" s="586" t="n">
        <v>2074.67</v>
      </c>
      <c r="AI21" s="585" t="n">
        <v>57</v>
      </c>
      <c r="AJ21" s="586" t="n">
        <v>1660.9</v>
      </c>
      <c r="AK21" s="585" t="n">
        <v>43.45</v>
      </c>
      <c r="AL21" s="586" t="n">
        <v>1556</v>
      </c>
      <c r="AM21" s="585" t="n">
        <v>57.94</v>
      </c>
      <c r="AN21" s="586" t="n">
        <v>2074.67</v>
      </c>
      <c r="AO21" s="585" t="n">
        <v>92.70999999999999</v>
      </c>
      <c r="AP21" s="91" t="n">
        <v>3320.05</v>
      </c>
      <c r="AQ21" s="585" t="n">
        <v>118.77</v>
      </c>
      <c r="AR21" s="586" t="n">
        <v>4253.07</v>
      </c>
      <c r="AS21" s="585" t="n">
        <v>115.87</v>
      </c>
      <c r="AT21" s="586" t="n">
        <v>4149.34</v>
      </c>
      <c r="AU21" s="585" t="n">
        <v>110.08</v>
      </c>
      <c r="AV21" s="586" t="n">
        <v>3941.87</v>
      </c>
      <c r="AW21" s="585" t="n">
        <v>133.25</v>
      </c>
      <c r="AX21" s="586" t="n">
        <v>4771.74</v>
      </c>
      <c r="AY21" s="330" t="n">
        <v>57.94</v>
      </c>
      <c r="AZ21" s="586" t="n">
        <v>2074.67</v>
      </c>
      <c r="BA21" s="582" t="n">
        <v>127.46</v>
      </c>
      <c r="BB21" s="582" t="n">
        <v>4564.27</v>
      </c>
      <c r="BC21" s="585" t="n">
        <v>127.46</v>
      </c>
      <c r="BD21" s="91" t="n">
        <v>4564.27</v>
      </c>
      <c r="BE21" s="585" t="n">
        <v>121.66</v>
      </c>
      <c r="BF21" s="135" t="n">
        <v>4356.8</v>
      </c>
      <c r="BG21" s="585" t="n">
        <v>92.7</v>
      </c>
      <c r="BH21" s="586" t="n">
        <v>3319.47</v>
      </c>
      <c r="BI21" s="585" t="n">
        <v>121.66</v>
      </c>
      <c r="BJ21" s="586" t="n">
        <v>4356.8</v>
      </c>
      <c r="BK21" s="585" t="n">
        <v>115.87</v>
      </c>
      <c r="BL21" s="586" t="n">
        <v>4149.34</v>
      </c>
      <c r="BM21" s="585" t="n">
        <v>133.25</v>
      </c>
      <c r="BN21" s="586" t="n">
        <v>4771.74</v>
      </c>
      <c r="BO21" s="79" t="n"/>
      <c r="BP21" s="80" t="n"/>
      <c r="BQ21" s="79" t="n"/>
      <c r="BR21" s="80" t="n"/>
      <c r="BS21" s="79" t="n"/>
      <c r="BT21" s="80" t="n"/>
      <c r="BU21" s="79" t="n"/>
      <c r="BV21" s="80" t="n"/>
      <c r="BW21" s="79" t="n"/>
      <c r="BX21" s="80" t="n"/>
    </row>
    <row r="22">
      <c r="B22" s="22" t="inlineStr">
        <is>
          <t>andrea.conti</t>
        </is>
      </c>
      <c r="C22" s="3" t="n">
        <v>28.25</v>
      </c>
      <c r="D22" s="85" t="n">
        <v>0.89</v>
      </c>
      <c r="E22" s="582" t="n"/>
      <c r="F22" s="586" t="n"/>
      <c r="G22" s="582" t="n"/>
      <c r="H22" s="586" t="n"/>
      <c r="I22" s="582" t="n"/>
      <c r="J22" s="586" t="n"/>
      <c r="K22" s="582" t="n"/>
      <c r="L22" s="91" t="n"/>
      <c r="M22" s="585" t="n"/>
      <c r="N22" s="586" t="n"/>
      <c r="O22" s="582" t="n"/>
      <c r="P22" s="586" t="n"/>
      <c r="Q22" s="585" t="n"/>
      <c r="R22" s="586" t="n"/>
      <c r="S22" s="585" t="n"/>
      <c r="T22" s="586" t="n"/>
      <c r="U22" s="585" t="n"/>
      <c r="V22" s="582" t="n"/>
      <c r="W22" s="582" t="n"/>
      <c r="X22" s="582" t="n"/>
      <c r="Y22" s="585" t="n"/>
      <c r="Z22" s="582" t="n"/>
      <c r="AA22" s="582" t="n"/>
      <c r="AB22" s="582" t="n"/>
      <c r="AC22" s="585" t="n"/>
      <c r="AD22" s="586" t="n"/>
      <c r="AE22" s="582" t="n">
        <v>57.94</v>
      </c>
      <c r="AF22" s="586" t="n">
        <v>2011.52</v>
      </c>
      <c r="AG22" s="585" t="n">
        <v>28.97</v>
      </c>
      <c r="AH22" s="586" t="n">
        <v>1005.76</v>
      </c>
      <c r="AI22" s="585" t="n">
        <v>28.97</v>
      </c>
      <c r="AJ22" s="586" t="n">
        <v>1005.76</v>
      </c>
      <c r="AK22" s="585" t="n">
        <v>28.32</v>
      </c>
      <c r="AL22" s="586" t="n">
        <v>983.16</v>
      </c>
      <c r="AM22" s="585" t="n">
        <v>28.97</v>
      </c>
      <c r="AN22" s="586" t="n">
        <v>1005.76</v>
      </c>
      <c r="AO22" s="585" t="n">
        <v>31.86</v>
      </c>
      <c r="AP22" s="91" t="n">
        <v>1106.34</v>
      </c>
      <c r="AQ22" s="585" t="n">
        <v>30.43</v>
      </c>
      <c r="AR22" s="586" t="n">
        <v>1056.61</v>
      </c>
      <c r="AS22" s="585" t="n">
        <v>28.97</v>
      </c>
      <c r="AT22" s="586" t="n">
        <v>869.9</v>
      </c>
      <c r="AU22" s="585" t="n">
        <v>28.97</v>
      </c>
      <c r="AV22" s="586" t="n">
        <v>1005.76</v>
      </c>
      <c r="AW22" s="585" t="n">
        <v>33.31</v>
      </c>
      <c r="AX22" s="586" t="n">
        <v>1156.62</v>
      </c>
      <c r="AY22" s="330" t="n">
        <v>23.19</v>
      </c>
      <c r="AZ22" s="586" t="n">
        <v>805.17</v>
      </c>
      <c r="BA22" s="582" t="n">
        <v>31.86</v>
      </c>
      <c r="BB22" s="582" t="n">
        <v>1106.34</v>
      </c>
      <c r="BC22" s="585" t="n">
        <v>31.86</v>
      </c>
      <c r="BD22" s="91" t="n">
        <v>1106.34</v>
      </c>
      <c r="BE22" s="585" t="n">
        <v>30.42</v>
      </c>
      <c r="BF22" s="135" t="n">
        <v>1056.05</v>
      </c>
      <c r="BG22" s="585" t="n">
        <v>23.17</v>
      </c>
      <c r="BH22" s="586" t="n">
        <v>804.61</v>
      </c>
      <c r="BI22" s="585" t="n">
        <v>30.42</v>
      </c>
      <c r="BJ22" s="586" t="n">
        <v>1056.05</v>
      </c>
      <c r="BK22" s="585" t="n">
        <v>28.97</v>
      </c>
      <c r="BL22" s="586" t="n">
        <v>1005.76</v>
      </c>
      <c r="BM22" s="585" t="n">
        <v>33.31</v>
      </c>
      <c r="BN22" s="586" t="n">
        <v>1156.62</v>
      </c>
      <c r="BO22" s="79" t="n"/>
      <c r="BP22" s="80" t="n"/>
      <c r="BQ22" s="79" t="n"/>
      <c r="BR22" s="80" t="n"/>
      <c r="BS22" s="79" t="n"/>
      <c r="BT22" s="80" t="n"/>
      <c r="BU22" s="79" t="n"/>
      <c r="BV22" s="80" t="n"/>
      <c r="BW22" s="79" t="n"/>
      <c r="BX22" s="80" t="n"/>
    </row>
    <row r="23" ht="13.5" customHeight="1" s="564">
      <c r="B23" s="22" t="inlineStr">
        <is>
          <t>anna.bianchi</t>
        </is>
      </c>
      <c r="C23" s="250" t="n">
        <v>33.81</v>
      </c>
      <c r="D23" s="85" t="n"/>
      <c r="E23" s="582" t="n"/>
      <c r="F23" s="586" t="n"/>
      <c r="G23" s="582" t="n"/>
      <c r="H23" s="586" t="n"/>
      <c r="I23" s="582" t="n"/>
      <c r="J23" s="586" t="n"/>
      <c r="K23" s="582" t="n"/>
      <c r="L23" s="91" t="n"/>
      <c r="M23" s="582" t="n"/>
      <c r="N23" s="586" t="n"/>
      <c r="O23" s="582" t="n"/>
      <c r="P23" s="586" t="n"/>
      <c r="Q23" s="582" t="n"/>
      <c r="R23" s="586" t="n"/>
      <c r="S23" s="582" t="n"/>
      <c r="T23" s="586" t="n"/>
      <c r="U23" s="585" t="n"/>
      <c r="V23" s="582" t="n"/>
      <c r="W23" s="582" t="n"/>
      <c r="X23" s="582" t="n"/>
      <c r="Y23" s="585" t="n"/>
      <c r="Z23" s="582" t="n"/>
      <c r="AA23" s="582" t="n"/>
      <c r="AB23" s="582" t="n"/>
      <c r="AC23" s="585" t="n"/>
      <c r="AD23" s="586" t="n"/>
      <c r="AE23" s="582" t="n"/>
      <c r="AF23" s="586" t="n"/>
      <c r="AG23" s="582" t="n"/>
      <c r="AH23" s="586" t="n"/>
      <c r="AI23" s="582" t="n"/>
      <c r="AJ23" s="586" t="n"/>
      <c r="AK23" s="582" t="n"/>
      <c r="AL23" s="586" t="n"/>
      <c r="AM23" s="582" t="n"/>
      <c r="AN23" s="582" t="n"/>
      <c r="AO23" s="585" t="n"/>
      <c r="AP23" s="135" t="n"/>
      <c r="AQ23" s="585" t="n"/>
      <c r="AR23" s="582" t="n"/>
      <c r="AS23" s="585" t="n"/>
      <c r="AT23" s="582" t="n"/>
      <c r="AU23" s="585" t="n"/>
      <c r="AV23" s="582" t="n"/>
      <c r="AW23" s="582" t="n"/>
      <c r="AX23" s="632" t="n">
        <v>3255</v>
      </c>
      <c r="AZ23" s="632" t="n">
        <v>1627</v>
      </c>
      <c r="BA23" s="582" t="n"/>
      <c r="BB23" s="582" t="n">
        <v>3255</v>
      </c>
      <c r="BC23" s="79" t="n"/>
      <c r="BD23" s="80" t="n"/>
      <c r="BE23" s="585" t="n"/>
      <c r="BG23" s="79" t="n"/>
      <c r="BH23" s="80" t="n"/>
      <c r="BI23" s="79" t="n"/>
      <c r="BJ23" s="80" t="n"/>
      <c r="BK23" s="79" t="n"/>
      <c r="BL23" s="80" t="n"/>
      <c r="BM23" s="79" t="n"/>
      <c r="BN23" s="80" t="n"/>
      <c r="BO23" s="79" t="n"/>
      <c r="BP23" s="80" t="n"/>
      <c r="BQ23" s="79" t="n"/>
      <c r="BR23" s="80" t="n"/>
      <c r="BS23" s="79" t="n"/>
      <c r="BT23" s="80" t="n"/>
      <c r="BU23" s="79" t="n"/>
      <c r="BV23" s="80" t="n"/>
      <c r="BW23" s="79" t="n"/>
      <c r="BX23" s="80" t="n"/>
    </row>
    <row r="24">
      <c r="B24" s="22" t="inlineStr">
        <is>
          <t>Spazio costi Fusco - Microseg</t>
        </is>
      </c>
      <c r="C24" s="261" t="n">
        <v>133447</v>
      </c>
      <c r="D24" s="85" t="n"/>
      <c r="E24" s="582" t="n"/>
      <c r="F24" s="586" t="n"/>
      <c r="G24" s="582" t="n"/>
      <c r="H24" s="586" t="n"/>
      <c r="I24" s="582" t="n"/>
      <c r="J24" s="586" t="n"/>
      <c r="K24" s="582" t="n"/>
      <c r="L24" s="91" t="n"/>
      <c r="M24" s="582" t="n"/>
      <c r="N24" s="586" t="n"/>
      <c r="O24" s="582" t="n"/>
      <c r="P24" s="586" t="n"/>
      <c r="Q24" s="582" t="n"/>
      <c r="R24" s="586" t="n"/>
      <c r="S24" s="582" t="n"/>
      <c r="T24" s="586" t="n"/>
      <c r="U24" s="585" t="n"/>
      <c r="V24" s="80" t="n"/>
      <c r="Y24" s="585" t="n"/>
      <c r="AC24" s="585" t="n"/>
      <c r="AD24" s="228" t="n"/>
      <c r="AE24" s="228" t="n"/>
      <c r="AF24" s="228" t="n"/>
      <c r="AG24" s="228" t="n"/>
      <c r="AH24" s="586" t="n"/>
      <c r="AI24" s="586" t="n"/>
      <c r="AJ24" s="586" t="n"/>
      <c r="AK24" s="586" t="n"/>
      <c r="AL24" s="586" t="n"/>
      <c r="AO24" s="585" t="n"/>
      <c r="AP24" s="135" t="n">
        <v>78115</v>
      </c>
      <c r="AQ24" s="585" t="n"/>
      <c r="AR24" t="n">
        <v>26852</v>
      </c>
      <c r="AS24" s="79" t="n"/>
      <c r="AU24" s="585" t="n"/>
      <c r="AW24" s="582" t="n"/>
      <c r="AX24" s="417" t="n">
        <v>28480</v>
      </c>
      <c r="AZ24" s="586" t="n"/>
      <c r="BA24" s="582" t="n"/>
      <c r="BB24" s="582" t="n"/>
      <c r="BC24" s="79" t="n"/>
      <c r="BD24" s="80" t="n"/>
      <c r="BE24" s="585" t="n"/>
      <c r="BG24" s="79" t="n"/>
      <c r="BH24" s="80" t="n"/>
      <c r="BI24" s="79" t="n"/>
      <c r="BJ24" s="80" t="n"/>
      <c r="BK24" s="79" t="n"/>
      <c r="BL24" s="80" t="n"/>
      <c r="BM24" s="79" t="n"/>
      <c r="BN24" s="80" t="n"/>
      <c r="BO24" s="79" t="n"/>
      <c r="BP24" s="80" t="n"/>
      <c r="BQ24" s="79" t="n"/>
      <c r="BR24" s="80" t="n"/>
      <c r="BS24" s="79" t="n"/>
      <c r="BT24" s="80" t="n"/>
      <c r="BU24" s="79" t="n"/>
      <c r="BV24" s="80" t="n"/>
      <c r="BW24" s="79" t="n"/>
      <c r="BX24" s="80" t="n"/>
    </row>
    <row r="25" hidden="1" s="564">
      <c r="B25" s="22" t="inlineStr">
        <is>
          <t>Spazio costi Fusco - DR Local</t>
        </is>
      </c>
      <c r="C25" s="261" t="n">
        <v>23435</v>
      </c>
      <c r="D25" s="85" t="n"/>
      <c r="E25" s="582" t="n"/>
      <c r="F25" s="586" t="n"/>
      <c r="G25" s="582" t="n"/>
      <c r="H25" s="586" t="n"/>
      <c r="I25" s="582" t="n"/>
      <c r="J25" s="586" t="n"/>
      <c r="K25" s="582" t="n"/>
      <c r="L25" s="91" t="n"/>
      <c r="M25" s="582" t="n"/>
      <c r="N25" s="586" t="n"/>
      <c r="O25" s="582" t="n"/>
      <c r="P25" s="586" t="n"/>
      <c r="Q25" s="582" t="n"/>
      <c r="R25" s="586" t="n"/>
      <c r="S25" s="582" t="n"/>
      <c r="T25" s="586" t="n"/>
      <c r="U25" s="585" t="n"/>
      <c r="V25" s="80" t="n"/>
      <c r="Y25" s="585" t="n"/>
      <c r="AC25" s="585" t="n"/>
      <c r="AD25" s="228" t="n"/>
      <c r="AE25" s="228" t="n"/>
      <c r="AF25" s="228" t="n"/>
      <c r="AG25" s="228" t="n"/>
      <c r="AH25" s="586" t="n"/>
      <c r="AI25" s="586" t="n"/>
      <c r="AJ25" s="586" t="n"/>
      <c r="AK25" s="586" t="n"/>
      <c r="AL25" s="586" t="n"/>
      <c r="AO25" s="585" t="n"/>
      <c r="AP25" s="135" t="n"/>
      <c r="AQ25" s="582" t="n"/>
      <c r="AU25" s="582" t="n"/>
      <c r="AV25" t="n">
        <v>23435</v>
      </c>
      <c r="AW25" s="582" t="n"/>
      <c r="AZ25" s="632" t="n"/>
      <c r="BA25" s="582" t="n"/>
      <c r="BB25" s="582" t="n"/>
      <c r="BC25" s="79" t="n"/>
      <c r="BD25" s="80" t="n"/>
      <c r="BE25" s="585" t="n"/>
      <c r="BG25" s="79" t="n"/>
      <c r="BH25" s="80" t="n"/>
      <c r="BI25" s="79" t="n"/>
      <c r="BJ25" s="80" t="n"/>
      <c r="BK25" s="79" t="n"/>
      <c r="BL25" s="80" t="n"/>
      <c r="BM25" s="79" t="n"/>
      <c r="BN25" s="80" t="n"/>
      <c r="BO25" s="79" t="n"/>
      <c r="BP25" s="80" t="n"/>
      <c r="BQ25" s="79" t="n"/>
      <c r="BR25" s="80" t="n"/>
      <c r="BS25" s="79" t="n"/>
      <c r="BT25" s="80" t="n"/>
      <c r="BU25" s="79" t="n"/>
      <c r="BV25" s="80" t="n"/>
      <c r="BW25" s="79" t="n"/>
      <c r="BX25" s="80" t="n"/>
    </row>
    <row r="26">
      <c r="B26" s="22" t="inlineStr">
        <is>
          <t>Spazio costi Tomasina - Antifrode 2026</t>
        </is>
      </c>
      <c r="C26" s="261" t="n">
        <v>47195</v>
      </c>
      <c r="D26" s="85" t="n"/>
      <c r="E26" s="582" t="n"/>
      <c r="F26" s="586" t="n"/>
      <c r="G26" s="582" t="n"/>
      <c r="H26" s="586" t="n"/>
      <c r="I26" s="582" t="n"/>
      <c r="J26" s="586" t="n"/>
      <c r="K26" s="582" t="n"/>
      <c r="L26" s="91" t="n"/>
      <c r="M26" s="582" t="n"/>
      <c r="N26" s="586" t="n"/>
      <c r="O26" s="582" t="n"/>
      <c r="P26" s="586" t="n"/>
      <c r="Q26" s="582" t="n"/>
      <c r="R26" s="586" t="n"/>
      <c r="S26" s="582" t="n"/>
      <c r="T26" s="586" t="n"/>
      <c r="U26" s="585" t="n"/>
      <c r="V26" s="80" t="n"/>
      <c r="Y26" s="585" t="n"/>
      <c r="AC26" s="585" t="n"/>
      <c r="AD26" s="228" t="n"/>
      <c r="AE26" s="228" t="n"/>
      <c r="AF26" s="228" t="n"/>
      <c r="AG26" s="228" t="n"/>
      <c r="AH26" s="586" t="n"/>
      <c r="AI26" s="586" t="n"/>
      <c r="AJ26" s="586" t="n"/>
      <c r="AK26" s="586" t="n"/>
      <c r="AL26" s="586" t="n"/>
      <c r="AN26" s="121" t="n">
        <v>7411.71</v>
      </c>
      <c r="AO26" s="585" t="n"/>
      <c r="AP26" s="586" t="n">
        <v>4619.21</v>
      </c>
      <c r="AQ26" s="586" t="n"/>
      <c r="AR26" s="586" t="n">
        <v>7037.17</v>
      </c>
      <c r="AS26" s="586" t="n"/>
      <c r="AT26" s="586" t="n">
        <v>6541.46</v>
      </c>
      <c r="AU26" s="586" t="n"/>
      <c r="AV26" s="586" t="n">
        <v>7324.14</v>
      </c>
      <c r="AW26" s="586" t="n"/>
      <c r="AX26" s="586" t="n">
        <v>4882</v>
      </c>
      <c r="AY26" s="586" t="n"/>
      <c r="AZ26" s="632" t="n">
        <v>4882</v>
      </c>
      <c r="BA26" s="582" t="n"/>
      <c r="BE26" s="585" t="n"/>
      <c r="BG26" s="79" t="n"/>
      <c r="BH26" s="80" t="n"/>
      <c r="BI26" s="79" t="n"/>
      <c r="BJ26" s="80" t="n"/>
      <c r="BK26" s="79" t="n"/>
      <c r="BL26" s="80" t="n"/>
      <c r="BM26" s="79" t="n"/>
      <c r="BN26" s="80" t="n"/>
      <c r="BO26" s="79" t="n"/>
      <c r="BP26" s="80" t="n"/>
      <c r="BQ26" s="79" t="n"/>
      <c r="BR26" s="80" t="n"/>
      <c r="BS26" s="79" t="n"/>
      <c r="BT26" s="80" t="n"/>
      <c r="BU26" s="79" t="n"/>
      <c r="BV26" s="80" t="n"/>
      <c r="BW26" s="79" t="n"/>
      <c r="BX26" s="80" t="n"/>
    </row>
    <row r="27">
      <c r="B27" s="22" t="inlineStr">
        <is>
          <t>Spazio costi Tomasina - Antifrode 2027 muli</t>
        </is>
      </c>
      <c r="C27" s="261" t="n"/>
      <c r="D27" s="85" t="n"/>
      <c r="E27" s="582" t="n"/>
      <c r="F27" s="586" t="n"/>
      <c r="G27" s="582" t="n"/>
      <c r="H27" s="586" t="n"/>
      <c r="I27" s="582" t="n"/>
      <c r="J27" s="586" t="n"/>
      <c r="K27" s="582" t="n"/>
      <c r="L27" s="91" t="n"/>
      <c r="M27" s="582" t="n"/>
      <c r="N27" s="586" t="n"/>
      <c r="O27" s="582" t="n"/>
      <c r="P27" s="586" t="n"/>
      <c r="Q27" s="582" t="n"/>
      <c r="R27" s="586" t="n"/>
      <c r="S27" s="582" t="n"/>
      <c r="T27" s="586" t="n"/>
      <c r="U27" s="585" t="n"/>
      <c r="V27" s="80" t="n"/>
      <c r="Y27" s="585" t="n"/>
      <c r="AC27" s="585" t="n"/>
      <c r="AD27" s="228" t="n"/>
      <c r="AE27" s="228" t="n"/>
      <c r="AF27" s="228" t="n"/>
      <c r="AG27" s="228" t="n"/>
      <c r="AH27" s="586" t="n"/>
      <c r="AI27" s="586" t="n"/>
      <c r="AJ27" s="586" t="n"/>
      <c r="AK27" s="586" t="n"/>
      <c r="AL27" s="586" t="n"/>
      <c r="AN27" s="121" t="n"/>
      <c r="AO27" s="585" t="n"/>
      <c r="AP27" s="582" t="n"/>
      <c r="AQ27" s="582" t="n"/>
      <c r="AR27" s="582" t="n"/>
      <c r="AS27" s="582" t="n"/>
      <c r="AT27" s="582" t="n"/>
      <c r="AU27" s="582" t="n"/>
      <c r="AV27" s="586" t="n"/>
      <c r="AW27" s="582" t="n"/>
      <c r="AX27" s="586" t="n"/>
      <c r="AY27" s="582" t="n"/>
      <c r="AZ27" s="586" t="n"/>
      <c r="BA27" s="582" t="n"/>
      <c r="BB27" s="423" t="n">
        <v>8137</v>
      </c>
      <c r="BC27" s="423" t="n"/>
      <c r="BD27" s="423" t="n">
        <v>8137</v>
      </c>
      <c r="BE27" s="631" t="n"/>
      <c r="BF27" s="423" t="n">
        <v>8137</v>
      </c>
      <c r="BG27" s="424" t="n"/>
      <c r="BH27" s="423" t="n">
        <v>8137</v>
      </c>
      <c r="BI27" s="79" t="n"/>
      <c r="BJ27" s="80" t="n"/>
      <c r="BK27" s="79" t="n"/>
      <c r="BL27" s="80" t="n"/>
      <c r="BM27" s="79" t="n"/>
      <c r="BN27" s="80" t="n"/>
      <c r="BO27" s="79" t="n"/>
      <c r="BP27" s="80" t="n"/>
      <c r="BQ27" s="79" t="n"/>
      <c r="BR27" s="80" t="n"/>
      <c r="BS27" s="79" t="n"/>
      <c r="BT27" s="80" t="n"/>
      <c r="BU27" s="79" t="n"/>
      <c r="BV27" s="80" t="n"/>
      <c r="BW27" s="79" t="n"/>
      <c r="BX27" s="80" t="n"/>
    </row>
    <row r="28">
      <c r="B28" s="22" t="inlineStr">
        <is>
          <t>Spazio costi Massimo Silvestri - Formazione</t>
        </is>
      </c>
      <c r="C28" s="261" t="n">
        <v>4475</v>
      </c>
      <c r="D28" s="85" t="n"/>
      <c r="E28" s="582" t="n"/>
      <c r="F28" s="586" t="n"/>
      <c r="G28" s="582" t="n"/>
      <c r="H28" s="586" t="n"/>
      <c r="I28" s="582" t="n"/>
      <c r="J28" s="586" t="n"/>
      <c r="K28" s="582" t="n"/>
      <c r="L28" s="91" t="n"/>
      <c r="M28" s="582" t="n"/>
      <c r="N28" s="586" t="n"/>
      <c r="O28" s="582" t="n"/>
      <c r="P28" s="586" t="n"/>
      <c r="Q28" s="582" t="n"/>
      <c r="R28" s="586" t="n"/>
      <c r="S28" s="582" t="n"/>
      <c r="T28" s="586" t="n"/>
      <c r="U28" s="585" t="n"/>
      <c r="V28" s="80" t="n"/>
      <c r="Y28" s="585" t="n"/>
      <c r="AC28" s="585" t="n"/>
      <c r="AD28" s="228" t="n"/>
      <c r="AE28" s="228" t="n"/>
      <c r="AF28" s="228" t="n"/>
      <c r="AG28" s="228" t="n"/>
      <c r="AH28" s="586" t="n"/>
      <c r="AI28" s="586" t="n"/>
      <c r="AJ28" s="586" t="n"/>
      <c r="AK28" s="586" t="n"/>
      <c r="AL28" s="586" t="n"/>
      <c r="AN28" s="582" t="n">
        <v>1592.74</v>
      </c>
      <c r="AO28" s="585" t="n"/>
      <c r="AP28" s="135" t="n">
        <v>796.37</v>
      </c>
      <c r="AQ28" s="585" t="n"/>
      <c r="AS28" s="79" t="n"/>
      <c r="AU28" s="585" t="n"/>
      <c r="AV28" s="586" t="n"/>
      <c r="AW28" s="582" t="n"/>
      <c r="AX28" s="586" t="n">
        <v>796.37</v>
      </c>
      <c r="AY28" t="n">
        <v>13.26</v>
      </c>
      <c r="AZ28" s="632" t="n">
        <v>1298.08</v>
      </c>
      <c r="BA28" s="582" t="n"/>
      <c r="BB28" s="582" t="n"/>
      <c r="BC28" s="79" t="n"/>
      <c r="BD28" s="80" t="n"/>
      <c r="BE28" s="585" t="n"/>
      <c r="BG28" s="79" t="n"/>
      <c r="BH28" s="80" t="n"/>
      <c r="BI28" s="79" t="n"/>
      <c r="BJ28" s="80" t="n"/>
      <c r="BK28" s="79" t="n"/>
      <c r="BL28" s="80" t="n"/>
      <c r="BM28" s="79" t="n"/>
      <c r="BN28" s="80" t="n"/>
      <c r="BO28" s="79" t="n"/>
      <c r="BP28" s="80" t="n"/>
      <c r="BQ28" s="79" t="n"/>
      <c r="BR28" s="80" t="n"/>
      <c r="BS28" s="79" t="n"/>
      <c r="BT28" s="80" t="n"/>
      <c r="BU28" s="79" t="n"/>
      <c r="BV28" s="80" t="n"/>
      <c r="BW28" s="79" t="n"/>
      <c r="BX28" s="80" t="n"/>
    </row>
    <row r="29">
      <c r="B29" s="22" t="inlineStr">
        <is>
          <t>Unicredit</t>
        </is>
      </c>
      <c r="C29" s="261" t="n">
        <v>20342</v>
      </c>
      <c r="D29" s="85" t="n"/>
      <c r="E29" s="582" t="n"/>
      <c r="F29" s="586" t="n"/>
      <c r="G29" s="582" t="n"/>
      <c r="H29" s="586" t="n"/>
      <c r="I29" s="582" t="n"/>
      <c r="J29" s="586" t="n"/>
      <c r="K29" s="582" t="n"/>
      <c r="L29" s="91" t="n"/>
      <c r="M29" s="582" t="n"/>
      <c r="N29" s="586" t="n"/>
      <c r="O29" s="582" t="n"/>
      <c r="P29" s="586" t="n"/>
      <c r="Q29" s="582" t="n"/>
      <c r="R29" s="586" t="n"/>
      <c r="S29" s="582" t="n"/>
      <c r="T29" s="586" t="n"/>
      <c r="U29" s="585" t="n"/>
      <c r="V29" s="80" t="n"/>
      <c r="Y29" s="585" t="n"/>
      <c r="AC29" s="585" t="n"/>
      <c r="AD29" s="228" t="n"/>
      <c r="AE29" s="228" t="n"/>
      <c r="AF29" s="228" t="n"/>
      <c r="AG29" s="228" t="n"/>
      <c r="AH29" s="586" t="n"/>
      <c r="AI29" s="586" t="n"/>
      <c r="AJ29" s="586" t="n"/>
      <c r="AK29" s="586" t="n"/>
      <c r="AL29" s="586" t="n"/>
      <c r="AN29" s="582" t="n"/>
      <c r="AP29" s="135" t="n"/>
      <c r="AQ29" s="582" t="n"/>
      <c r="AU29" s="582" t="n"/>
      <c r="AV29" t="n">
        <v>8137</v>
      </c>
      <c r="AW29" s="582" t="n"/>
      <c r="AX29" t="n">
        <v>4068</v>
      </c>
      <c r="BB29" t="n">
        <v>4068</v>
      </c>
      <c r="BC29" s="79" t="n"/>
      <c r="BD29" s="80" t="n">
        <v>4068</v>
      </c>
      <c r="BE29" s="585" t="n"/>
      <c r="BG29" s="585" t="n"/>
      <c r="BH29" s="80" t="n"/>
      <c r="BI29" s="79" t="n"/>
      <c r="BJ29" s="80" t="n"/>
      <c r="BK29" s="79" t="n"/>
      <c r="BL29" s="80" t="n"/>
      <c r="BM29" s="79" t="n"/>
      <c r="BN29" s="80" t="n"/>
      <c r="BO29" s="79" t="n"/>
      <c r="BP29" s="80" t="n"/>
      <c r="BQ29" s="79" t="n"/>
      <c r="BR29" s="80" t="n"/>
      <c r="BS29" s="79" t="n"/>
      <c r="BT29" s="80" t="n"/>
      <c r="BU29" s="79" t="n"/>
      <c r="BV29" s="80" t="n"/>
      <c r="BW29" s="79" t="n"/>
      <c r="BX29" s="80" t="n"/>
    </row>
    <row r="30" hidden="1" s="564">
      <c r="B30" s="22" t="inlineStr">
        <is>
          <t>DR Orchestator</t>
        </is>
      </c>
      <c r="C30" s="282" t="n">
        <v>2197</v>
      </c>
      <c r="D30" s="85" t="n"/>
      <c r="E30" s="582" t="n"/>
      <c r="F30" s="586" t="n"/>
      <c r="G30" s="582" t="n"/>
      <c r="H30" s="586" t="n"/>
      <c r="I30" s="582" t="n"/>
      <c r="J30" s="586" t="n"/>
      <c r="K30" s="582" t="n"/>
      <c r="L30" s="91" t="n"/>
      <c r="M30" s="582" t="n"/>
      <c r="N30" s="586" t="n"/>
      <c r="O30" s="582" t="n"/>
      <c r="P30" s="586" t="n"/>
      <c r="Q30" s="582" t="n"/>
      <c r="R30" s="586" t="n"/>
      <c r="S30" s="582" t="n"/>
      <c r="T30" s="586" t="n"/>
      <c r="U30" s="585" t="n"/>
      <c r="V30" s="80" t="n"/>
      <c r="Y30" s="585" t="n"/>
      <c r="AC30" s="585" t="n"/>
      <c r="AD30" s="228" t="n"/>
      <c r="AE30" s="228" t="n"/>
      <c r="AF30" s="228" t="n"/>
      <c r="AG30" s="228" t="n"/>
      <c r="AH30" s="586" t="n"/>
      <c r="AI30" s="586" t="n"/>
      <c r="AJ30" s="586" t="n"/>
      <c r="AK30" s="586" t="n"/>
      <c r="AL30" s="586" t="n"/>
      <c r="AN30" s="582" t="n"/>
      <c r="AP30" s="135" t="n"/>
      <c r="AQ30" s="582" t="n"/>
      <c r="AU30" s="582" t="n"/>
      <c r="AV30" t="n">
        <v>2197</v>
      </c>
      <c r="AW30" s="582" t="n"/>
      <c r="BC30" s="79" t="n"/>
      <c r="BD30" s="80" t="n"/>
      <c r="BE30" s="585" t="n"/>
      <c r="BG30" s="585" t="n"/>
      <c r="BH30" s="80" t="n"/>
      <c r="BI30" s="79" t="n"/>
      <c r="BJ30" s="80" t="n"/>
      <c r="BK30" s="79" t="n"/>
      <c r="BL30" s="80" t="n"/>
      <c r="BM30" s="79" t="n"/>
      <c r="BN30" s="80" t="n"/>
      <c r="BO30" s="79" t="n"/>
      <c r="BP30" s="80" t="n"/>
      <c r="BQ30" s="79" t="n"/>
      <c r="BR30" s="80" t="n"/>
      <c r="BS30" s="79" t="n"/>
      <c r="BT30" s="80" t="n"/>
      <c r="BU30" s="79" t="n"/>
      <c r="BV30" s="80" t="n"/>
      <c r="BW30" s="79" t="n"/>
      <c r="BX30" s="80" t="n"/>
    </row>
    <row r="31">
      <c r="B31" s="22" t="inlineStr">
        <is>
          <t>PMO Account</t>
        </is>
      </c>
      <c r="C31" s="261" t="n">
        <v>10578</v>
      </c>
      <c r="D31" s="85" t="n"/>
      <c r="E31" s="582" t="n"/>
      <c r="F31" s="586" t="n"/>
      <c r="G31" s="582" t="n"/>
      <c r="H31" s="586" t="n"/>
      <c r="I31" s="582" t="n"/>
      <c r="J31" s="586" t="n"/>
      <c r="K31" s="582" t="n"/>
      <c r="L31" s="91" t="n"/>
      <c r="M31" s="582" t="n"/>
      <c r="N31" s="586" t="n"/>
      <c r="O31" s="582" t="n"/>
      <c r="P31" s="586" t="n"/>
      <c r="Q31" s="582" t="n"/>
      <c r="R31" s="586" t="n"/>
      <c r="S31" s="582" t="n"/>
      <c r="T31" s="586" t="n"/>
      <c r="U31" s="585" t="n"/>
      <c r="V31" s="80" t="n"/>
      <c r="Y31" s="585" t="n"/>
      <c r="AC31" s="585" t="n"/>
      <c r="AD31" s="228" t="n"/>
      <c r="AE31" s="228" t="n"/>
      <c r="AF31" s="228" t="n"/>
      <c r="AG31" s="228" t="n"/>
      <c r="AH31" s="586" t="n"/>
      <c r="AI31" s="586" t="n"/>
      <c r="AJ31" s="586" t="n"/>
      <c r="AK31" s="586" t="n"/>
      <c r="AL31" s="586" t="n"/>
      <c r="AN31" s="582" t="n"/>
      <c r="AP31" s="135" t="n"/>
      <c r="AQ31" s="582" t="n"/>
      <c r="AU31" s="582" t="n"/>
      <c r="AW31" s="582" t="n"/>
      <c r="AZ31" s="417" t="n">
        <v>814</v>
      </c>
      <c r="BB31" t="n">
        <v>814</v>
      </c>
      <c r="BC31" s="79" t="n"/>
      <c r="BD31" s="80" t="n">
        <v>814</v>
      </c>
      <c r="BE31" s="585" t="n"/>
      <c r="BF31" t="n">
        <v>814</v>
      </c>
      <c r="BG31" s="585" t="n"/>
      <c r="BH31" s="80" t="n">
        <v>814</v>
      </c>
      <c r="BI31" s="79" t="n"/>
      <c r="BJ31" s="80" t="n">
        <v>814</v>
      </c>
      <c r="BK31" s="79" t="n"/>
      <c r="BL31" s="80" t="n">
        <v>814</v>
      </c>
      <c r="BM31" s="79" t="n"/>
      <c r="BN31" s="80" t="n">
        <v>814</v>
      </c>
      <c r="BO31" s="79" t="n"/>
      <c r="BP31" t="n">
        <v>814</v>
      </c>
      <c r="BQ31" s="79" t="n"/>
      <c r="BR31" t="n">
        <v>814</v>
      </c>
      <c r="BS31" s="79" t="n"/>
      <c r="BT31" t="n">
        <v>814</v>
      </c>
      <c r="BU31" s="79" t="n"/>
      <c r="BV31" t="n">
        <v>814</v>
      </c>
      <c r="BW31" s="79" t="n"/>
      <c r="BX31" t="n">
        <v>814</v>
      </c>
    </row>
    <row r="32">
      <c r="B32" s="96" t="inlineStr">
        <is>
          <t>SUM costi</t>
        </is>
      </c>
      <c r="C32" s="633" t="n"/>
      <c r="E32" s="634" t="n"/>
      <c r="F32" s="634" t="n">
        <v>46837.45</v>
      </c>
      <c r="G32" s="634" t="n"/>
      <c r="H32" s="634" t="n">
        <v>51283.6</v>
      </c>
      <c r="I32" s="634" t="n"/>
      <c r="J32" s="634" t="n">
        <v>43150.05</v>
      </c>
      <c r="K32" s="634" t="n"/>
      <c r="L32" s="634" t="n">
        <v>40400.98</v>
      </c>
      <c r="M32" s="634" t="n"/>
      <c r="N32" s="634" t="n">
        <v>30876.28</v>
      </c>
      <c r="O32" s="634" t="n"/>
      <c r="P32" s="634" t="n">
        <v>64096.4</v>
      </c>
      <c r="Q32" s="634" t="n"/>
      <c r="R32" s="634" t="n">
        <v>68839.34</v>
      </c>
      <c r="S32" s="634" t="n"/>
      <c r="T32" s="634" t="n">
        <v>64844.72</v>
      </c>
      <c r="U32" s="635" t="n"/>
      <c r="V32" s="634" t="n">
        <v>77776.73</v>
      </c>
      <c r="W32" s="634" t="n"/>
      <c r="X32" s="634" t="n">
        <v>56487.46</v>
      </c>
      <c r="Y32" s="635" t="n"/>
      <c r="Z32" s="634" t="n">
        <v>103740.06</v>
      </c>
      <c r="AA32" s="635" t="n"/>
      <c r="AB32" s="634" t="n">
        <v>29839.46</v>
      </c>
      <c r="AC32" s="635" t="n"/>
      <c r="AD32" s="634" t="n">
        <v>57738.18</v>
      </c>
      <c r="AE32" s="635" t="n"/>
      <c r="AF32" s="634" t="n">
        <v>58868.56</v>
      </c>
      <c r="AG32" s="636" t="n"/>
      <c r="AH32" s="634" t="n">
        <v>58004.68</v>
      </c>
      <c r="AI32" s="634" t="n"/>
      <c r="AJ32" s="634" t="n">
        <v>46305.9</v>
      </c>
      <c r="AK32" s="634" t="n"/>
      <c r="AL32" s="634" t="n">
        <v>61789.26</v>
      </c>
      <c r="AM32" s="634" t="n"/>
      <c r="AN32" s="634" t="n">
        <v>83889.47</v>
      </c>
      <c r="AO32" s="634" t="n"/>
      <c r="AP32" s="634" t="n">
        <v>168195.02</v>
      </c>
      <c r="AQ32" s="634" t="n"/>
      <c r="AR32" s="634" t="n">
        <v>111170.41</v>
      </c>
      <c r="AS32" s="634" t="n"/>
      <c r="AT32" s="637" t="n">
        <v>77352.47</v>
      </c>
      <c r="AU32" s="638" t="n"/>
      <c r="AV32" s="638" t="n">
        <v>109888</v>
      </c>
      <c r="AW32" s="638" t="n"/>
      <c r="AX32" s="638" t="n">
        <v>118410.92</v>
      </c>
      <c r="AY32" s="638" t="n"/>
      <c r="AZ32" s="638" t="n">
        <v>42222.9</v>
      </c>
      <c r="BA32" s="638" t="n"/>
      <c r="BB32" s="638" t="n">
        <v>94261.36</v>
      </c>
      <c r="BC32" s="638" t="n"/>
      <c r="BD32" s="638" t="n">
        <v>99186.59</v>
      </c>
      <c r="BE32" s="638" t="n"/>
      <c r="BF32" s="638" t="n">
        <v>91294.66</v>
      </c>
      <c r="BG32" s="638" t="n"/>
      <c r="BH32" s="638" t="n">
        <v>72177.49000000001</v>
      </c>
      <c r="BI32" s="638" t="n"/>
      <c r="BJ32" s="638" t="n">
        <v>83157.66</v>
      </c>
      <c r="BK32" s="638" t="n"/>
      <c r="BL32" s="638" t="n">
        <v>79334.22</v>
      </c>
      <c r="BM32" s="638" t="n"/>
      <c r="BN32" s="638" t="n">
        <v>90804.53</v>
      </c>
      <c r="BO32" s="638" t="n"/>
      <c r="BP32" s="638" t="n">
        <v>814</v>
      </c>
      <c r="BQ32" s="638" t="n"/>
      <c r="BR32" s="638" t="n">
        <v>814</v>
      </c>
      <c r="BS32" s="638" t="n"/>
      <c r="BT32" s="638" t="n">
        <v>814</v>
      </c>
      <c r="BU32" s="638" t="n"/>
      <c r="BV32" s="638" t="n">
        <v>814</v>
      </c>
      <c r="BW32" s="638" t="n"/>
      <c r="BX32" s="638" t="n">
        <v>814</v>
      </c>
    </row>
    <row r="33" ht="16" customHeight="1" s="564">
      <c r="B33" s="164" t="n"/>
      <c r="C33" s="139" t="n"/>
      <c r="D33" s="588" t="n"/>
      <c r="H33" s="589" t="n"/>
      <c r="P33" s="589" t="n"/>
      <c r="AG33" s="639" t="n"/>
      <c r="AJ33" s="640" t="n"/>
      <c r="AL33" s="582" t="n"/>
      <c r="AP33" s="135" t="n"/>
      <c r="AR33" s="582" t="n"/>
      <c r="AV33" s="589" t="n"/>
      <c r="BA33" s="582" t="n"/>
    </row>
    <row r="34" ht="16" customHeight="1" s="564">
      <c r="B34" s="139" t="n"/>
      <c r="J34" s="641" t="n"/>
      <c r="M34" s="589" t="n"/>
      <c r="N34" s="589" t="n"/>
      <c r="O34" s="589" t="n"/>
      <c r="P34" s="589" t="n"/>
      <c r="R34" s="589" t="n"/>
      <c r="T34" s="588" t="n"/>
      <c r="V34" s="642" t="n"/>
      <c r="W34" s="171" t="n"/>
      <c r="X34" s="643" t="n"/>
      <c r="Y34" s="171" t="n"/>
      <c r="Z34" s="644" t="n"/>
      <c r="AA34" s="164" t="n"/>
      <c r="AB34" s="589" t="n"/>
      <c r="AD34" s="641" t="n"/>
      <c r="AH34" s="145" t="n"/>
      <c r="AJ34" s="590" t="n"/>
      <c r="AL34" s="302" t="n"/>
      <c r="AM34" s="582" t="n"/>
      <c r="AP34" s="135" t="n"/>
      <c r="AQ34" s="135" t="n"/>
      <c r="AR34" s="645" t="n"/>
      <c r="AX34" s="588" t="n"/>
      <c r="AZ34" s="588" t="n"/>
      <c r="BB34" s="589" t="n"/>
    </row>
    <row r="35">
      <c r="B35" s="98" t="inlineStr">
        <is>
          <t>Spazio costi già presente</t>
        </is>
      </c>
      <c r="C35" s="175" t="inlineStr">
        <is>
          <t>Available</t>
        </is>
      </c>
      <c r="D35" s="175" t="inlineStr">
        <is>
          <t>SpazioCosti Tot</t>
        </is>
      </c>
      <c r="L35" s="641" t="n"/>
      <c r="M35" s="641" t="n"/>
      <c r="N35" s="646" t="n"/>
      <c r="O35" s="589" t="n"/>
      <c r="P35" s="589" t="n"/>
      <c r="Z35" s="641" t="n"/>
      <c r="AA35" s="641" t="n"/>
      <c r="AD35" s="641" t="n"/>
      <c r="AF35" s="588" t="n"/>
      <c r="AG35" s="588" t="n"/>
      <c r="AH35" s="588" t="n"/>
      <c r="AI35" s="588" t="n"/>
      <c r="AP35" s="121" t="n"/>
      <c r="BB35" s="589" t="n"/>
    </row>
    <row r="36">
      <c r="A36" t="n">
        <v>1</v>
      </c>
      <c r="B36" s="99" t="inlineStr">
        <is>
          <t>WBS BetaCredit</t>
        </is>
      </c>
      <c r="C36" s="593" t="n">
        <v>51336.51</v>
      </c>
      <c r="D36" s="593" t="n">
        <v>482400.2</v>
      </c>
      <c r="E36" s="647" t="n"/>
      <c r="F36" s="648" t="n">
        <v>12766.72</v>
      </c>
      <c r="G36" s="649" t="n"/>
      <c r="H36" s="647" t="n">
        <v>5953.92</v>
      </c>
      <c r="I36" s="647" t="n"/>
      <c r="J36" s="647" t="n">
        <v>13587.16</v>
      </c>
      <c r="K36" s="647" t="n"/>
      <c r="L36" s="647" t="n"/>
      <c r="M36" s="566" t="n"/>
      <c r="N36" s="592" t="n">
        <v>11838.82</v>
      </c>
      <c r="O36" s="566" t="n"/>
      <c r="P36" s="592" t="n">
        <v>11838.82</v>
      </c>
      <c r="Q36" s="566" t="n"/>
      <c r="R36" s="592" t="n">
        <v>32306.62</v>
      </c>
      <c r="S36" s="592" t="n"/>
      <c r="T36" s="592" t="n">
        <v>32306.62</v>
      </c>
      <c r="U36" s="566" t="n"/>
      <c r="V36" s="592" t="n">
        <v>61272.41</v>
      </c>
      <c r="W36" s="592" t="n"/>
      <c r="X36" s="593" t="n">
        <v>58343.15</v>
      </c>
      <c r="Y36" s="566" t="n"/>
      <c r="Z36" s="650" t="n">
        <v>12435.28</v>
      </c>
      <c r="AA36" s="566" t="n"/>
      <c r="AB36" s="566" t="n"/>
      <c r="AC36" s="566" t="n"/>
      <c r="AD36" s="593" t="n">
        <v>3963.71</v>
      </c>
      <c r="AE36" s="99" t="n"/>
      <c r="AF36" s="262" t="n">
        <v>8702.379999999999</v>
      </c>
      <c r="AG36" s="262" t="n"/>
      <c r="AH36" s="262" t="n">
        <v>20232.3</v>
      </c>
      <c r="AI36" s="262" t="n"/>
      <c r="AJ36" s="262" t="n">
        <v>35157.35</v>
      </c>
      <c r="AK36" s="566" t="n"/>
      <c r="AL36" s="651" t="n">
        <v>15077</v>
      </c>
      <c r="AM36" s="566" t="n"/>
      <c r="AN36" s="651" t="n">
        <v>24411</v>
      </c>
      <c r="AO36" s="652" t="n"/>
      <c r="AP36" s="326" t="n">
        <v>38855.95</v>
      </c>
      <c r="AQ36" s="566" t="n"/>
      <c r="AR36" s="566" t="n">
        <v>32014.47</v>
      </c>
      <c r="AS36" s="566" t="n"/>
      <c r="AT36" s="651" t="n">
        <v>45974.88</v>
      </c>
      <c r="AU36" s="566" t="n"/>
      <c r="AV36" s="593" t="n">
        <v>5361.62</v>
      </c>
      <c r="AW36" s="593" t="n"/>
      <c r="AX36" s="593" t="n"/>
      <c r="AY36" s="593" t="n"/>
      <c r="AZ36" s="593" t="n"/>
      <c r="BA36" s="566" t="n"/>
      <c r="BB36" s="566" t="n"/>
      <c r="BC36" s="566" t="n"/>
      <c r="BD36" s="593" t="n"/>
      <c r="BE36" s="593" t="n"/>
      <c r="BF36" s="653" t="n"/>
      <c r="BG36" s="653" t="n"/>
      <c r="BH36" s="653" t="n"/>
      <c r="BI36" s="653" t="n"/>
      <c r="BJ36" s="566" t="n"/>
      <c r="BK36" s="566" t="n"/>
      <c r="BL36" s="566" t="n"/>
    </row>
    <row r="37">
      <c r="A37" t="n">
        <v>2</v>
      </c>
      <c r="B37" s="99" t="inlineStr">
        <is>
          <t>WBS AlphaBank</t>
        </is>
      </c>
      <c r="C37" s="593" t="n">
        <v>152210.99</v>
      </c>
      <c r="D37" s="593" t="n">
        <v>871206.71</v>
      </c>
      <c r="E37" s="647" t="n"/>
      <c r="F37" s="651" t="n">
        <v>10204</v>
      </c>
      <c r="G37" s="654" t="n"/>
      <c r="H37" s="647" t="n">
        <v>37571.46</v>
      </c>
      <c r="I37" s="651" t="n"/>
      <c r="J37" s="647" t="n">
        <v>25061.41</v>
      </c>
      <c r="K37" s="647" t="n"/>
      <c r="L37" s="647" t="n">
        <v>16179.72</v>
      </c>
      <c r="M37" s="566" t="n"/>
      <c r="N37" s="589" t="n">
        <v>13460.93</v>
      </c>
      <c r="O37" s="593" t="n"/>
      <c r="P37" s="593" t="n">
        <v>24293.66</v>
      </c>
      <c r="Q37" s="593" t="n"/>
      <c r="R37" s="593" t="n">
        <v>29654.15</v>
      </c>
      <c r="S37" s="566" t="n"/>
      <c r="T37" s="566" t="n"/>
      <c r="U37" s="566" t="n"/>
      <c r="V37" s="592" t="n">
        <v>8482.110000000001</v>
      </c>
      <c r="W37" s="566" t="n"/>
      <c r="X37" s="593" t="n">
        <v>6771.61</v>
      </c>
      <c r="Y37" s="566" t="n"/>
      <c r="Z37" s="650" t="n">
        <v>23821.52</v>
      </c>
      <c r="AB37" s="650" t="n">
        <v>40574.91</v>
      </c>
      <c r="AC37" s="566" t="n"/>
      <c r="AD37" s="593" t="n">
        <v>69479.53999999999</v>
      </c>
      <c r="AE37" s="99" t="n"/>
      <c r="AF37" s="262" t="n">
        <v>68459.36</v>
      </c>
      <c r="AG37" s="262" t="n"/>
      <c r="AH37" s="262" t="n">
        <v>70546.91</v>
      </c>
      <c r="AI37" s="262" t="n"/>
      <c r="AJ37" s="262" t="n">
        <v>31904.65</v>
      </c>
      <c r="AK37" s="262" t="n"/>
      <c r="AL37" s="645" t="n">
        <v>58820.58</v>
      </c>
      <c r="AM37" s="262" t="n"/>
      <c r="AN37" s="651" t="n">
        <v>64846.76</v>
      </c>
      <c r="AO37" s="262" t="n"/>
      <c r="AP37" s="262" t="n">
        <v>64790.57</v>
      </c>
      <c r="AQ37" s="262" t="n"/>
      <c r="AR37" s="262" t="n">
        <v>54072.07</v>
      </c>
      <c r="AS37" s="262" t="n"/>
      <c r="AT37" s="262" t="n">
        <v>42184.11</v>
      </c>
      <c r="AU37" s="262" t="n"/>
      <c r="AV37" s="593" t="n">
        <v>67066.95</v>
      </c>
      <c r="AW37" s="593" t="n"/>
      <c r="AX37" s="593" t="n">
        <v>36377.1</v>
      </c>
      <c r="AY37" s="593" t="n"/>
      <c r="AZ37" s="593" t="n">
        <v>6583</v>
      </c>
      <c r="BA37" s="566" t="n"/>
      <c r="BB37" s="593" t="n">
        <v>6583</v>
      </c>
      <c r="BC37" s="566" t="n"/>
      <c r="BD37" s="593" t="n">
        <v>6583</v>
      </c>
      <c r="BE37" s="593" t="n"/>
      <c r="BF37" s="593" t="n">
        <v>6583</v>
      </c>
      <c r="BG37" s="566" t="n"/>
      <c r="BH37" s="593" t="n">
        <v>6583</v>
      </c>
      <c r="BI37" s="566" t="n"/>
      <c r="BJ37" s="593" t="n">
        <v>6583</v>
      </c>
      <c r="BK37" s="566" t="n"/>
      <c r="BL37" s="593" t="n">
        <v>6583</v>
      </c>
    </row>
    <row r="38">
      <c r="B38" s="567" t="inlineStr">
        <is>
          <t>DeltaCorp - Supporto Security Comitato Rischi</t>
        </is>
      </c>
      <c r="C38" s="593" t="n">
        <v>6213.71</v>
      </c>
      <c r="D38" s="593" t="n">
        <v>17087.7</v>
      </c>
      <c r="E38" s="645" t="n"/>
      <c r="F38" s="645" t="n"/>
      <c r="G38" s="645" t="n"/>
      <c r="H38" s="655" t="n"/>
      <c r="I38" s="641" t="n"/>
      <c r="J38" s="656" t="n"/>
      <c r="K38" s="641" t="n"/>
      <c r="L38" s="656" t="n"/>
      <c r="N38" s="656" t="n"/>
      <c r="O38" s="566" t="n"/>
      <c r="P38" s="593" t="n"/>
      <c r="Q38" s="566" t="n"/>
      <c r="R38" s="593" t="n"/>
      <c r="S38" s="566" t="n"/>
      <c r="T38" s="657" t="n"/>
      <c r="U38" s="566" t="n"/>
      <c r="V38" s="650" t="n"/>
      <c r="W38" s="566" t="n"/>
      <c r="X38" s="650" t="n"/>
      <c r="Y38" s="566" t="n"/>
      <c r="Z38" s="650" t="n"/>
      <c r="AA38" s="566" t="n"/>
      <c r="AB38" s="650" t="n"/>
      <c r="AC38" s="566" t="n"/>
      <c r="AD38" s="650" t="n"/>
      <c r="AE38" s="99" t="n"/>
      <c r="AF38" s="262" t="n">
        <v>1553.43</v>
      </c>
      <c r="AG38" s="262" t="n"/>
      <c r="AH38" s="262" t="n">
        <v>1553.43</v>
      </c>
      <c r="AI38" s="262" t="n"/>
      <c r="AJ38" s="262" t="n">
        <v>1553.43</v>
      </c>
      <c r="AK38" s="262" t="n"/>
      <c r="AL38" s="262" t="n">
        <v>1553.43</v>
      </c>
      <c r="AM38" s="262" t="n"/>
      <c r="AN38" s="262" t="n">
        <v>1553.43</v>
      </c>
      <c r="AO38" s="262" t="n"/>
      <c r="AP38" s="262" t="n">
        <v>1553.43</v>
      </c>
      <c r="AQ38" s="262" t="n"/>
      <c r="AR38" s="262" t="n">
        <v>1553.43</v>
      </c>
      <c r="AS38" s="262" t="n"/>
      <c r="AT38" s="262" t="n">
        <v>1553.43</v>
      </c>
      <c r="AU38" s="262" t="n"/>
      <c r="AV38" s="593" t="n">
        <v>1553.43</v>
      </c>
      <c r="AW38" s="593" t="n"/>
      <c r="AX38" s="593" t="n">
        <v>1553.43</v>
      </c>
      <c r="AY38" s="593" t="n"/>
      <c r="AZ38" s="593" t="n">
        <v>1553.43</v>
      </c>
      <c r="BA38" s="566" t="n"/>
      <c r="BB38" s="594" t="n">
        <v>1553.43</v>
      </c>
      <c r="BC38" s="280" t="n"/>
      <c r="BD38" s="594" t="n">
        <v>1553.43</v>
      </c>
      <c r="BE38" s="594" t="n"/>
      <c r="BF38" s="594" t="n">
        <v>1553.43</v>
      </c>
      <c r="BG38" s="594" t="n"/>
      <c r="BH38" s="594" t="n">
        <v>1553.43</v>
      </c>
      <c r="BI38" s="280" t="n"/>
      <c r="BJ38" s="594" t="n">
        <v>1553.43</v>
      </c>
      <c r="BK38" s="280" t="n"/>
      <c r="BL38" s="594" t="n">
        <v>1553.43</v>
      </c>
    </row>
    <row r="39" hidden="1" s="564">
      <c r="B39" s="567" t="inlineStr">
        <is>
          <t>Siteminder - Cesarano</t>
        </is>
      </c>
      <c r="C39" s="593" t="n">
        <v>0</v>
      </c>
      <c r="D39" s="593" t="n">
        <v>812.14</v>
      </c>
      <c r="E39" s="651" t="n"/>
      <c r="F39" s="651" t="n"/>
      <c r="G39" s="651" t="n"/>
      <c r="H39" s="658" t="n"/>
      <c r="I39" s="647" t="n"/>
      <c r="J39" s="659" t="n"/>
      <c r="K39" s="647" t="n"/>
      <c r="L39" s="659" t="n"/>
      <c r="M39" s="566" t="n"/>
      <c r="N39" s="659" t="n"/>
      <c r="O39" s="566" t="n"/>
      <c r="P39" s="112" t="n"/>
      <c r="Q39" s="566" t="n"/>
      <c r="R39" s="650" t="n"/>
      <c r="S39" s="566" t="n"/>
      <c r="T39" s="650" t="n"/>
      <c r="U39" s="566" t="n"/>
      <c r="V39" s="566" t="n"/>
      <c r="W39" s="566" t="n"/>
      <c r="X39" s="650" t="n"/>
      <c r="Y39" s="566" t="n"/>
      <c r="Z39" s="650" t="n"/>
      <c r="AA39" s="566" t="n"/>
      <c r="AB39" s="650" t="n"/>
      <c r="AC39" s="566" t="n"/>
      <c r="AD39" s="566" t="n"/>
      <c r="AE39" s="99" t="n"/>
      <c r="AF39" s="262" t="n">
        <v>812.14</v>
      </c>
      <c r="AG39" s="262" t="n"/>
      <c r="AH39" s="263" t="n"/>
      <c r="AI39" s="262" t="n"/>
      <c r="AJ39" s="262" t="n"/>
      <c r="AK39" s="262" t="n"/>
      <c r="AL39" s="262" t="n"/>
      <c r="AM39" s="262" t="n"/>
      <c r="AN39" s="262" t="n"/>
      <c r="AO39" s="262" t="n"/>
      <c r="AP39" s="262" t="n"/>
      <c r="AQ39" s="262" t="n"/>
      <c r="AR39" s="262" t="n"/>
      <c r="AS39" s="262" t="n"/>
      <c r="AT39" s="262" t="n"/>
      <c r="AU39" s="262" t="n"/>
      <c r="AV39" s="593" t="n"/>
      <c r="AW39" s="593" t="n"/>
      <c r="AX39" s="593" t="n"/>
      <c r="AY39" s="593" t="n"/>
      <c r="AZ39" s="593" t="n"/>
      <c r="BA39" s="566" t="n"/>
      <c r="BB39" s="566" t="n"/>
      <c r="BC39" s="566" t="n"/>
      <c r="BD39" s="593" t="n"/>
      <c r="BE39" s="593" t="n"/>
      <c r="BF39" s="593" t="n"/>
      <c r="BG39" s="566" t="n"/>
      <c r="BH39" s="566" t="n"/>
      <c r="BI39" s="566" t="n"/>
      <c r="BJ39" s="566" t="n"/>
      <c r="BK39" s="566" t="n"/>
      <c r="BL39" s="566" t="n"/>
    </row>
    <row r="40" hidden="1" s="564">
      <c r="B40" s="567" t="inlineStr">
        <is>
          <t xml:space="preserve">Saving EpsilonPay </t>
        </is>
      </c>
      <c r="C40" s="593" t="n">
        <v>21970</v>
      </c>
      <c r="D40" s="593" t="n">
        <v>82997</v>
      </c>
      <c r="E40" s="645" t="n"/>
      <c r="F40" s="645" t="n"/>
      <c r="G40" s="645" t="n"/>
      <c r="H40" s="655" t="n"/>
      <c r="I40" s="641" t="n"/>
      <c r="J40" s="656" t="n"/>
      <c r="K40" s="641" t="n"/>
      <c r="L40" s="656" t="n"/>
      <c r="N40" s="656" t="n"/>
      <c r="P40" s="121" t="n"/>
      <c r="R40" s="657" t="n"/>
      <c r="T40" s="657" t="n"/>
      <c r="X40" s="657" t="n"/>
      <c r="Z40" s="657" t="n"/>
      <c r="AB40" s="657" t="n"/>
      <c r="AF40" s="327" t="n"/>
      <c r="AG40" s="327" t="n"/>
      <c r="AH40" s="328" t="n"/>
      <c r="AI40" s="327" t="n"/>
      <c r="AJ40" s="327" t="n"/>
      <c r="AK40" s="327" t="n"/>
      <c r="AL40" s="327" t="n"/>
      <c r="AM40" s="327" t="n"/>
      <c r="AN40" s="327" t="n"/>
      <c r="AO40" s="262" t="n"/>
      <c r="AP40" s="329" t="n">
        <v>40685</v>
      </c>
      <c r="AQ40" s="262" t="n"/>
      <c r="AR40" s="262" t="n">
        <v>20342</v>
      </c>
      <c r="AS40" s="262" t="n"/>
      <c r="AT40" s="262" t="n"/>
      <c r="AU40" s="262" t="n"/>
      <c r="AV40" s="593" t="n">
        <v>21970</v>
      </c>
      <c r="AW40" s="593" t="n"/>
      <c r="AX40" s="593" t="n"/>
      <c r="AY40" s="593" t="n"/>
      <c r="AZ40" s="593" t="n"/>
      <c r="BA40" s="566" t="n"/>
      <c r="BB40" s="566" t="n"/>
      <c r="BC40" s="566" t="n"/>
      <c r="BD40" s="593" t="n"/>
      <c r="BE40" s="593" t="n"/>
      <c r="BF40" s="593" t="n"/>
      <c r="BG40" s="566" t="n"/>
      <c r="BH40" s="566" t="n"/>
      <c r="BI40" s="566" t="n"/>
      <c r="BJ40" s="566" t="n"/>
      <c r="BK40" s="566" t="n"/>
      <c r="BL40" s="566" t="n"/>
    </row>
    <row r="41" hidden="1" s="564">
      <c r="B41" s="311" t="inlineStr">
        <is>
          <t>Alberto Russo</t>
        </is>
      </c>
      <c r="C41" s="593" t="n">
        <v>0</v>
      </c>
      <c r="D41" s="593" t="n">
        <v>16274</v>
      </c>
      <c r="E41" s="645" t="n"/>
      <c r="F41" s="645" t="n"/>
      <c r="G41" s="645" t="n"/>
      <c r="H41" s="655" t="n"/>
      <c r="I41" s="641" t="n"/>
      <c r="J41" s="656" t="n"/>
      <c r="K41" s="641" t="n"/>
      <c r="L41" s="656" t="n"/>
      <c r="N41" s="656" t="n"/>
      <c r="P41" s="121" t="n"/>
      <c r="R41" s="657" t="n"/>
      <c r="T41" s="657" t="n"/>
      <c r="X41" s="657" t="n"/>
      <c r="Z41" s="657" t="n"/>
      <c r="AB41" s="657" t="n"/>
      <c r="AF41" s="327" t="n"/>
      <c r="AG41" s="327" t="n"/>
      <c r="AH41" s="328" t="n"/>
      <c r="AI41" s="327" t="n"/>
      <c r="AJ41" s="327" t="n"/>
      <c r="AK41" s="327" t="n"/>
      <c r="AL41" s="327" t="n"/>
      <c r="AM41" s="327" t="n"/>
      <c r="AN41" s="327" t="n"/>
      <c r="AO41" s="362" t="n"/>
      <c r="AP41" s="363" t="n">
        <v>16274</v>
      </c>
      <c r="AQ41" s="362" t="n"/>
      <c r="AR41" s="362" t="n"/>
      <c r="AS41" s="362" t="n"/>
      <c r="AT41" s="362" t="n"/>
      <c r="AU41" s="362" t="n"/>
      <c r="AV41" s="362" t="n"/>
      <c r="AW41" s="362" t="n"/>
      <c r="AX41" s="362" t="n"/>
      <c r="AY41" s="362" t="n"/>
      <c r="AZ41" s="362" t="n"/>
      <c r="BD41" s="588" t="n"/>
      <c r="BE41" s="588" t="n"/>
      <c r="BF41" s="588" t="n"/>
    </row>
    <row r="42" hidden="1" s="564">
      <c r="B42" s="567" t="inlineStr">
        <is>
          <t>Alberto Russo</t>
        </is>
      </c>
      <c r="C42" s="593" t="n">
        <v>0</v>
      </c>
      <c r="D42" s="593" t="n">
        <v>4068</v>
      </c>
      <c r="E42" s="651" t="n"/>
      <c r="F42" s="651" t="n"/>
      <c r="G42" s="651" t="n"/>
      <c r="H42" s="658" t="n"/>
      <c r="I42" s="647" t="n"/>
      <c r="J42" s="659" t="n"/>
      <c r="K42" s="647" t="n"/>
      <c r="L42" s="659" t="n"/>
      <c r="M42" s="566" t="n"/>
      <c r="N42" s="659" t="n"/>
      <c r="O42" s="566" t="n"/>
      <c r="P42" s="112" t="n"/>
      <c r="Q42" s="566" t="n"/>
      <c r="R42" s="650" t="n"/>
      <c r="S42" s="566" t="n"/>
      <c r="T42" s="650" t="n"/>
      <c r="U42" s="566" t="n"/>
      <c r="V42" s="566" t="n"/>
      <c r="W42" s="566" t="n"/>
      <c r="X42" s="650" t="n"/>
      <c r="Y42" s="566" t="n"/>
      <c r="Z42" s="650" t="n"/>
      <c r="AA42" s="566" t="n"/>
      <c r="AB42" s="650" t="n"/>
      <c r="AC42" s="566" t="n"/>
      <c r="AD42" s="566" t="n"/>
      <c r="AE42" s="566" t="n"/>
      <c r="AF42" s="262" t="n"/>
      <c r="AG42" s="262" t="n"/>
      <c r="AH42" s="262" t="n"/>
      <c r="AI42" s="262" t="n"/>
      <c r="AJ42" s="262" t="n"/>
      <c r="AK42" s="262" t="n"/>
      <c r="AL42" s="262" t="n"/>
      <c r="AM42" s="262" t="n"/>
      <c r="AN42" s="262" t="n"/>
      <c r="AO42" s="262" t="n"/>
      <c r="AP42" s="329" t="n"/>
      <c r="AQ42" s="262" t="n"/>
      <c r="AR42" s="262" t="n">
        <v>4068</v>
      </c>
      <c r="AS42" s="262" t="n"/>
      <c r="AT42" s="262" t="n"/>
      <c r="AU42" s="262" t="n"/>
      <c r="AV42" s="262" t="n"/>
      <c r="AW42" s="262" t="n"/>
      <c r="AX42" s="262" t="n"/>
      <c r="AY42" s="262" t="n"/>
      <c r="AZ42" s="262" t="n"/>
      <c r="BD42" s="588" t="n"/>
      <c r="BE42" s="588" t="n"/>
      <c r="BF42" s="588" t="n"/>
    </row>
    <row r="43">
      <c r="B43" s="116" t="inlineStr">
        <is>
          <t>SUM spazio costi</t>
        </is>
      </c>
      <c r="C43" s="660" t="n">
        <v>209761.21</v>
      </c>
      <c r="D43" s="660" t="n">
        <v>1370694.6</v>
      </c>
      <c r="E43" s="660" t="n">
        <v>0</v>
      </c>
      <c r="F43" s="660" t="n">
        <v>22970.52</v>
      </c>
      <c r="G43" s="660" t="n">
        <v>0</v>
      </c>
      <c r="H43" s="660" t="n">
        <v>43525.37</v>
      </c>
      <c r="I43" s="660" t="n">
        <v>0</v>
      </c>
      <c r="J43" s="660" t="n">
        <v>38648.58</v>
      </c>
      <c r="K43" s="660" t="n">
        <v>0</v>
      </c>
      <c r="L43" s="660" t="n">
        <v>16179.72</v>
      </c>
      <c r="M43" s="660" t="n">
        <v>0</v>
      </c>
      <c r="N43" s="660" t="n">
        <v>25299.75</v>
      </c>
      <c r="O43" s="660" t="n">
        <v>0</v>
      </c>
      <c r="P43" s="660" t="n">
        <v>36132.48</v>
      </c>
      <c r="Q43" s="660" t="n"/>
      <c r="R43" s="660" t="n">
        <v>61960.76</v>
      </c>
      <c r="S43" s="660" t="n"/>
      <c r="T43" s="660" t="n">
        <v>32306.62</v>
      </c>
      <c r="U43" s="660" t="n"/>
      <c r="V43" s="660" t="n">
        <v>69754.50999999999</v>
      </c>
      <c r="W43" s="660" t="n"/>
      <c r="X43" s="660" t="n">
        <v>65114.76</v>
      </c>
      <c r="Y43" s="660" t="n"/>
      <c r="Z43" s="660" t="n">
        <v>36256.8</v>
      </c>
      <c r="AA43" s="660" t="n"/>
      <c r="AB43" s="660" t="n">
        <v>40574.91</v>
      </c>
      <c r="AC43" s="660" t="n"/>
      <c r="AD43" s="660" t="n">
        <v>73443.25999999999</v>
      </c>
      <c r="AE43" s="660" t="n"/>
      <c r="AF43" s="660" t="n">
        <v>79527.31</v>
      </c>
      <c r="AG43" s="660" t="n"/>
      <c r="AH43" s="660" t="n">
        <v>92332.64</v>
      </c>
      <c r="AI43" s="660" t="n"/>
      <c r="AJ43" s="660" t="n">
        <v>68615.42999999999</v>
      </c>
      <c r="AK43" s="660" t="n"/>
      <c r="AL43" s="660" t="n">
        <v>75451</v>
      </c>
      <c r="AM43" s="660" t="n"/>
      <c r="AN43" s="660" t="n">
        <v>90811.17999999999</v>
      </c>
      <c r="AO43" s="660" t="n"/>
      <c r="AP43" s="660" t="n">
        <v>162158.95</v>
      </c>
      <c r="AQ43" s="660" t="n"/>
      <c r="AR43" s="660" t="n">
        <v>112050.97</v>
      </c>
      <c r="AS43" s="660" t="n"/>
      <c r="AT43" s="660" t="n">
        <v>89712.42</v>
      </c>
      <c r="AU43" s="660" t="n"/>
      <c r="AV43" s="660" t="n">
        <v>95951.89999999999</v>
      </c>
      <c r="AW43" s="660" t="n"/>
      <c r="AX43" s="660" t="n">
        <v>37930.53</v>
      </c>
      <c r="AY43" s="660" t="n"/>
      <c r="AZ43" s="660" t="n">
        <v>8136.26</v>
      </c>
      <c r="BA43" s="660" t="n"/>
      <c r="BB43" s="660" t="n">
        <v>8136.26</v>
      </c>
      <c r="BC43" s="660" t="n"/>
      <c r="BD43" s="660" t="n">
        <v>8136.26</v>
      </c>
      <c r="BE43" s="660" t="n"/>
      <c r="BF43" s="660" t="n">
        <v>8136.26</v>
      </c>
      <c r="BG43" s="660" t="n"/>
      <c r="BH43" s="660" t="n">
        <v>8136.26</v>
      </c>
      <c r="BI43" s="660" t="n"/>
      <c r="BJ43" s="660" t="n">
        <v>8136.26</v>
      </c>
      <c r="BK43" s="660" t="n"/>
      <c r="BL43" s="660" t="n">
        <v>8136.26</v>
      </c>
    </row>
    <row r="44">
      <c r="D44" s="589" t="n"/>
      <c r="M44" s="582" t="n"/>
      <c r="AH44" s="135" t="n"/>
      <c r="AL44" s="657" t="n"/>
      <c r="AM44" s="657" t="n"/>
      <c r="AP44" s="588" t="n"/>
      <c r="AZ44" s="589" t="n"/>
      <c r="BG44" s="588" t="n"/>
    </row>
    <row r="45">
      <c r="B45" s="113" t="inlineStr">
        <is>
          <t>Booking in corso</t>
        </is>
      </c>
      <c r="C45" s="176" t="inlineStr">
        <is>
          <t>Rev</t>
        </is>
      </c>
      <c r="D45" s="176" t="inlineStr">
        <is>
          <t>SpazioCosti</t>
        </is>
      </c>
      <c r="E45" s="114" t="n"/>
      <c r="F45" s="114" t="n"/>
      <c r="G45" s="114" t="n"/>
      <c r="H45" s="114" t="n"/>
      <c r="I45" s="114" t="n"/>
      <c r="J45" s="114" t="n"/>
      <c r="K45" s="114" t="n"/>
      <c r="L45" s="114" t="n"/>
      <c r="M45" s="114" t="n"/>
      <c r="N45" s="114" t="n"/>
      <c r="O45" s="661" t="n"/>
      <c r="P45" s="114" t="n"/>
      <c r="T45" s="589" t="n"/>
      <c r="V45" s="589" t="n"/>
      <c r="Z45" s="641" t="n"/>
      <c r="AA45" s="641" t="n"/>
      <c r="AB45" s="589" t="n"/>
      <c r="AN45" s="645" t="n"/>
      <c r="AP45" s="588" t="n"/>
      <c r="AQ45" s="589" t="n"/>
      <c r="AR45" s="589" t="n"/>
      <c r="AV45" s="645" t="n"/>
      <c r="BE45" s="588" t="n"/>
      <c r="BF45" s="588" t="n"/>
      <c r="BG45" s="588" t="n"/>
      <c r="BH45" s="588" t="n"/>
      <c r="BI45" s="588" t="n"/>
    </row>
    <row r="46">
      <c r="B46" s="567" t="inlineStr">
        <is>
          <t>BetaCredit - Cybersecurity Q1</t>
        </is>
      </c>
      <c r="C46" s="662" t="n">
        <v>95029.92</v>
      </c>
      <c r="D46" s="663" t="n">
        <v>60819.15</v>
      </c>
      <c r="E46" s="569" t="n"/>
      <c r="F46" s="569" t="n"/>
      <c r="G46" s="569" t="n"/>
      <c r="H46" s="569" t="n"/>
      <c r="I46" s="569" t="n"/>
      <c r="J46" s="569" t="n"/>
      <c r="K46" s="569" t="n"/>
      <c r="L46" s="569" t="n"/>
      <c r="M46" s="569" t="n"/>
      <c r="N46" s="664" t="n"/>
      <c r="O46" s="569" t="n"/>
      <c r="P46" s="664" t="n"/>
      <c r="Q46" s="569" t="n"/>
      <c r="R46" s="664" t="n"/>
      <c r="S46" s="569" t="n"/>
      <c r="T46" s="664" t="n"/>
      <c r="U46" s="569" t="n"/>
      <c r="V46" s="664" t="n"/>
      <c r="W46" s="569" t="n"/>
      <c r="X46" s="664" t="n"/>
      <c r="Y46" s="665" t="n"/>
      <c r="Z46" s="664" t="n"/>
      <c r="AA46" s="665" t="n"/>
      <c r="AB46" s="664" t="n"/>
      <c r="AC46" s="665" t="n"/>
      <c r="AD46" s="664" t="n"/>
      <c r="AE46" s="665" t="n"/>
      <c r="AF46" s="664" t="n"/>
      <c r="AG46" s="566" t="n"/>
      <c r="AH46" s="666" t="n"/>
      <c r="AI46" s="566" t="n"/>
      <c r="AJ46" s="666" t="n"/>
      <c r="AK46" s="666" t="n"/>
      <c r="AL46" s="666" t="n"/>
      <c r="AM46" s="666" t="n"/>
      <c r="AN46" s="667" t="n"/>
      <c r="AO46" s="666" t="n"/>
      <c r="AP46" s="666" t="n"/>
      <c r="AQ46" s="666" t="n"/>
      <c r="AR46" s="666" t="n"/>
      <c r="AS46" s="666" t="n"/>
      <c r="AT46" s="666" t="n"/>
      <c r="AU46" s="666" t="n"/>
      <c r="AV46" s="593" t="n"/>
      <c r="AW46" s="593" t="n"/>
      <c r="AX46" s="663" t="n"/>
      <c r="AY46" s="663" t="n"/>
      <c r="AZ46" s="663" t="n">
        <v>60819.15</v>
      </c>
      <c r="BA46" s="593" t="n"/>
      <c r="BB46" s="593" t="n"/>
      <c r="BC46" s="593" t="n"/>
      <c r="BD46" s="593" t="n"/>
      <c r="BE46" s="593" t="n"/>
      <c r="BF46" s="593" t="n"/>
      <c r="BG46" s="593" t="n"/>
      <c r="BH46" s="593" t="n"/>
      <c r="BI46" s="593" t="n"/>
      <c r="BJ46" s="593" t="n"/>
      <c r="BK46" s="566" t="n"/>
      <c r="BL46" s="566" t="n"/>
      <c r="BM46" s="566" t="n"/>
      <c r="BN46" s="566" t="n"/>
      <c r="BO46" s="566" t="n"/>
      <c r="BP46" s="566" t="n"/>
    </row>
    <row r="47">
      <c r="B47" s="560" t="n"/>
      <c r="C47" s="588" t="n"/>
      <c r="D47" s="639" t="n"/>
      <c r="E47" s="561" t="n"/>
      <c r="F47" s="561" t="n"/>
      <c r="G47" s="561" t="n"/>
      <c r="H47" s="561" t="n"/>
      <c r="I47" s="561" t="n"/>
      <c r="J47" s="561" t="n"/>
      <c r="K47" s="561" t="n"/>
      <c r="L47" s="561" t="n"/>
      <c r="M47" s="561" t="n"/>
      <c r="N47" s="668" t="n"/>
      <c r="O47" s="561" t="n"/>
      <c r="P47" s="668" t="n"/>
      <c r="Q47" s="561" t="n"/>
      <c r="R47" s="668" t="n"/>
      <c r="S47" s="561" t="n"/>
      <c r="T47" s="668" t="n"/>
      <c r="U47" s="561" t="n"/>
      <c r="V47" s="668" t="n"/>
      <c r="W47" s="561" t="n"/>
      <c r="X47" s="668" t="n"/>
      <c r="Y47" s="669" t="n"/>
      <c r="Z47" s="668" t="n"/>
      <c r="AA47" s="669" t="n"/>
      <c r="AB47" s="668" t="n"/>
      <c r="AC47" s="669" t="n"/>
      <c r="AD47" s="668" t="n"/>
      <c r="AE47" s="669" t="n"/>
      <c r="AF47" s="668" t="n"/>
      <c r="AG47" s="561" t="n"/>
      <c r="AH47" s="668" t="n"/>
      <c r="AI47" s="561" t="n"/>
      <c r="AJ47" s="668" t="n"/>
      <c r="AK47" s="668" t="n"/>
      <c r="AL47" s="668" t="n"/>
      <c r="AM47" s="670" t="n"/>
      <c r="AN47" s="670" t="n"/>
      <c r="AO47" s="670" t="n"/>
      <c r="AP47" s="670" t="n"/>
      <c r="AQ47" s="670" t="n"/>
      <c r="AR47" s="670" t="n"/>
      <c r="AS47" s="670" t="n"/>
      <c r="AT47" s="670" t="n"/>
      <c r="AU47" s="670" t="n"/>
      <c r="AV47" s="588" t="n"/>
      <c r="AW47" s="588" t="n"/>
      <c r="AX47" s="639" t="n"/>
      <c r="AY47" s="639" t="n"/>
      <c r="AZ47" s="639" t="n"/>
      <c r="BA47" s="588" t="n"/>
      <c r="BB47" s="588" t="n"/>
      <c r="BC47" s="588" t="n"/>
      <c r="BD47" s="588" t="n"/>
      <c r="BE47" s="588" t="n"/>
      <c r="BF47" s="588" t="n"/>
      <c r="BG47" s="588" t="n"/>
      <c r="BH47" s="588" t="n"/>
      <c r="BI47" s="588" t="n"/>
      <c r="BJ47" s="588" t="n"/>
    </row>
    <row r="48">
      <c r="B48" s="560" t="n"/>
      <c r="D48" s="639" t="n"/>
      <c r="N48" s="670" t="n"/>
      <c r="P48" s="670" t="n"/>
      <c r="R48" s="670" t="n"/>
      <c r="T48" s="670" t="n"/>
      <c r="X48" s="670" t="n"/>
      <c r="Z48" s="645" t="n"/>
      <c r="AA48" s="645" t="n"/>
      <c r="AB48" s="645" t="n"/>
      <c r="AC48" s="645" t="n"/>
      <c r="AD48" s="645" t="n"/>
      <c r="AE48" s="645" t="n"/>
      <c r="AF48" s="645" t="n"/>
      <c r="AG48" s="645" t="n"/>
      <c r="AH48" s="645" t="n"/>
      <c r="AI48" s="645" t="n"/>
      <c r="AJ48" s="645" t="n">
        <v>0</v>
      </c>
      <c r="AK48" s="645" t="n">
        <v>0</v>
      </c>
      <c r="AL48" s="645" t="n">
        <v>0</v>
      </c>
      <c r="AM48" s="645" t="n">
        <v>0</v>
      </c>
      <c r="AN48" s="645" t="n">
        <v>0</v>
      </c>
      <c r="AO48" s="645" t="n">
        <v>0</v>
      </c>
      <c r="AP48" s="308" t="n"/>
      <c r="AQ48" s="308" t="n"/>
      <c r="AR48" s="308" t="n"/>
      <c r="AS48" s="308" t="n"/>
      <c r="AT48" s="308" t="n"/>
      <c r="AU48" s="308" t="n"/>
      <c r="AV48" s="588" t="n"/>
      <c r="AW48" s="588" t="n"/>
      <c r="AX48" s="588" t="n">
        <v>0</v>
      </c>
      <c r="AY48" s="588" t="n"/>
      <c r="AZ48" s="588" t="n">
        <v>75339.07000000001</v>
      </c>
      <c r="BA48" s="588" t="n"/>
      <c r="BB48" s="588" t="n">
        <v>92929.32000000001</v>
      </c>
      <c r="BC48" s="588" t="n"/>
      <c r="BD48" s="588" t="n">
        <v>54520.5</v>
      </c>
      <c r="BE48" s="588" t="n"/>
      <c r="BF48" s="588" t="n">
        <v>54520.5</v>
      </c>
      <c r="BG48" s="588" t="n"/>
      <c r="BH48" s="588" t="n">
        <v>54520.5</v>
      </c>
      <c r="BI48" s="588" t="n"/>
      <c r="BJ48" s="588" t="n"/>
    </row>
    <row r="49" ht="15.65" customHeight="1" s="564">
      <c r="B49" s="118" t="inlineStr">
        <is>
          <t>Opp in attesa di conferma OdA</t>
        </is>
      </c>
      <c r="C49" s="177" t="inlineStr">
        <is>
          <t>Rev</t>
        </is>
      </c>
      <c r="D49" s="177" t="inlineStr">
        <is>
          <t>SpazioCosti</t>
        </is>
      </c>
      <c r="E49" s="114" t="n"/>
      <c r="F49" s="114" t="n"/>
      <c r="G49" s="119" t="inlineStr">
        <is>
          <t>Rev</t>
        </is>
      </c>
      <c r="H49" s="119" t="inlineStr">
        <is>
          <t>SpazioCosti</t>
        </is>
      </c>
      <c r="I49" s="119" t="n"/>
      <c r="J49" s="119" t="inlineStr">
        <is>
          <t>SpazioCosti</t>
        </is>
      </c>
      <c r="K49" s="119" t="n"/>
      <c r="L49" s="119" t="inlineStr">
        <is>
          <t>SpazioCosti</t>
        </is>
      </c>
      <c r="M49" s="119" t="n"/>
      <c r="N49" s="119" t="inlineStr">
        <is>
          <t>SpazioCosti</t>
        </is>
      </c>
      <c r="O49" s="119" t="n"/>
      <c r="P49" s="119" t="inlineStr">
        <is>
          <t>SpazioCosti</t>
        </is>
      </c>
      <c r="Q49" s="119" t="n"/>
      <c r="R49" s="119" t="inlineStr">
        <is>
          <t>SpazioCosti</t>
        </is>
      </c>
      <c r="S49" s="119" t="n"/>
      <c r="T49" s="119" t="inlineStr">
        <is>
          <t>SpazioCosti</t>
        </is>
      </c>
      <c r="U49" s="119" t="n"/>
      <c r="V49" s="119" t="n"/>
      <c r="W49" s="119" t="n"/>
      <c r="X49" s="119" t="n"/>
      <c r="Y49" s="119" t="n"/>
      <c r="Z49" s="119" t="n"/>
      <c r="AA49" s="119" t="n"/>
      <c r="AB49" s="119" t="n"/>
      <c r="AC49" s="119" t="n"/>
      <c r="AD49" s="119" t="n"/>
      <c r="AE49" s="119" t="n"/>
      <c r="AF49" s="119" t="n"/>
      <c r="AG49" s="119" t="n"/>
      <c r="AH49" s="119" t="n"/>
      <c r="AI49" s="119" t="n"/>
      <c r="AJ49" s="119" t="n"/>
      <c r="AK49" s="119" t="n"/>
      <c r="AL49" s="119" t="n"/>
      <c r="AM49" s="119" t="n"/>
      <c r="AN49" s="119" t="n"/>
      <c r="AO49" s="671" t="n"/>
      <c r="AP49" s="119" t="n"/>
      <c r="AQ49" s="119" t="n"/>
      <c r="AR49" s="119" t="n"/>
      <c r="AS49" s="119" t="n"/>
      <c r="AT49" s="119" t="n"/>
      <c r="AU49" s="119" t="n"/>
      <c r="AV49" s="672" t="n"/>
      <c r="AW49" s="672" t="n"/>
      <c r="AX49" s="672" t="n"/>
      <c r="AY49" s="672" t="n"/>
      <c r="AZ49" s="672" t="n"/>
      <c r="BA49" s="672" t="n"/>
      <c r="BB49" s="672" t="n"/>
      <c r="BC49" s="672" t="n"/>
      <c r="BD49" s="672" t="n"/>
      <c r="BE49" s="672" t="n"/>
      <c r="BF49" s="672" t="n"/>
      <c r="BG49" s="672" t="n"/>
      <c r="BH49" s="672" t="n"/>
      <c r="BI49" s="672" t="n"/>
      <c r="BJ49" s="672" t="n"/>
      <c r="BK49" s="119" t="n"/>
      <c r="BL49" s="119" t="n"/>
      <c r="BM49" s="119" t="n"/>
      <c r="BN49" s="119" t="n"/>
      <c r="BO49" s="119" t="n"/>
      <c r="BP49" s="119" t="n"/>
    </row>
    <row r="50">
      <c r="B50" s="331" t="inlineStr">
        <is>
          <t>Microsegmentazione - RFP FASE 2</t>
        </is>
      </c>
      <c r="C50" s="673" t="n">
        <v>162742</v>
      </c>
      <c r="D50" s="663" t="n">
        <v>48822</v>
      </c>
      <c r="N50" s="670" t="n"/>
      <c r="P50" s="670" t="n"/>
      <c r="R50" s="670" t="n"/>
      <c r="T50" s="670" t="n"/>
      <c r="V50" s="670" t="n"/>
      <c r="X50" s="670" t="n"/>
      <c r="Y50" s="645" t="n"/>
      <c r="Z50" s="670" t="n"/>
      <c r="AA50" s="645" t="n"/>
      <c r="AB50" s="670" t="n"/>
      <c r="AC50" s="645" t="n"/>
      <c r="AD50" s="670" t="n"/>
      <c r="AE50" s="645" t="n"/>
      <c r="AF50" s="670" t="n"/>
      <c r="AG50" s="566" t="n"/>
      <c r="AH50" s="666" t="n"/>
      <c r="AI50" s="566" t="n"/>
      <c r="AJ50" s="666" t="n"/>
      <c r="AK50" s="666" t="n"/>
      <c r="AL50" s="666" t="n"/>
      <c r="AM50" s="666" t="n"/>
      <c r="AN50" s="667" t="n"/>
      <c r="AO50" s="666" t="n"/>
      <c r="AP50" s="666" t="n"/>
      <c r="AQ50" s="666" t="n"/>
      <c r="AR50" s="666" t="n"/>
      <c r="AS50" s="666" t="n"/>
      <c r="AT50" s="666" t="n"/>
      <c r="AU50" s="666" t="n"/>
      <c r="AV50" s="663" t="n"/>
      <c r="AW50" s="663" t="n"/>
      <c r="AX50" s="593" t="n"/>
      <c r="AY50" s="663" t="n"/>
      <c r="AZ50" s="663" t="n"/>
      <c r="BA50" s="593" t="n"/>
      <c r="BB50" s="663" t="n"/>
      <c r="BC50" s="593" t="n"/>
      <c r="BD50" s="593" t="n"/>
      <c r="BE50" s="593" t="n"/>
      <c r="BF50" s="593" t="n"/>
      <c r="BG50" s="593" t="n"/>
      <c r="BH50" s="593" t="n"/>
      <c r="BI50" s="593" t="n"/>
      <c r="BJ50" s="593" t="n"/>
      <c r="BK50" s="566" t="n"/>
      <c r="BL50" s="566" t="n"/>
      <c r="BM50" s="566" t="n"/>
      <c r="BN50" s="566" t="n"/>
      <c r="BO50" s="566" t="n"/>
      <c r="BP50" s="566" t="n"/>
    </row>
    <row r="51">
      <c r="B51" s="332" t="inlineStr">
        <is>
          <t>DR Program 2026-2028 - RFP</t>
        </is>
      </c>
      <c r="C51" s="566" t="n"/>
      <c r="D51" s="566" t="n"/>
      <c r="E51" s="561" t="n"/>
      <c r="F51" s="561" t="n"/>
      <c r="G51" s="561" t="n"/>
      <c r="H51" s="561" t="n"/>
      <c r="I51" s="561" t="n"/>
      <c r="J51" s="561" t="n"/>
      <c r="K51" s="561" t="n"/>
      <c r="L51" s="561" t="n"/>
      <c r="M51" s="561" t="n"/>
      <c r="N51" s="668" t="n"/>
      <c r="O51" s="561" t="n"/>
      <c r="P51" s="668" t="n"/>
      <c r="Q51" s="561" t="n"/>
      <c r="R51" s="668" t="n"/>
      <c r="S51" s="561" t="n"/>
      <c r="T51" s="668" t="n"/>
      <c r="U51" s="561" t="n"/>
      <c r="V51" s="668" t="n"/>
      <c r="W51" s="561" t="n"/>
      <c r="X51" s="668" t="n"/>
      <c r="Y51" s="669" t="n"/>
      <c r="Z51" s="668" t="n"/>
      <c r="AA51" s="669" t="n"/>
      <c r="AB51" s="668" t="n"/>
      <c r="AC51" s="669" t="n"/>
      <c r="AD51" s="668" t="n"/>
      <c r="AE51" s="669" t="n"/>
      <c r="AF51" s="668" t="n"/>
      <c r="AG51" s="291" t="n"/>
      <c r="AH51" s="674" t="n"/>
      <c r="AI51" s="291" t="n"/>
      <c r="AJ51" s="674" t="n"/>
      <c r="AK51" s="674" t="n"/>
      <c r="AL51" s="674" t="n"/>
      <c r="AM51" s="675" t="n"/>
      <c r="AN51" s="676" t="n"/>
      <c r="AO51" s="666" t="n"/>
      <c r="AP51" s="666" t="n"/>
      <c r="AQ51" s="666" t="n"/>
      <c r="AR51" s="666" t="n"/>
      <c r="AS51" s="666" t="n"/>
      <c r="AT51" s="666" t="n"/>
      <c r="AU51" s="566" t="n"/>
      <c r="AV51" s="663" t="n"/>
      <c r="AW51" s="663" t="n"/>
      <c r="AX51" s="593" t="n"/>
      <c r="AY51" s="593" t="n"/>
      <c r="AZ51" s="593" t="n"/>
      <c r="BA51" s="593" t="n"/>
      <c r="BB51" s="593" t="n"/>
      <c r="BC51" s="593" t="n"/>
      <c r="BD51" s="593" t="n"/>
      <c r="BE51" s="593" t="n"/>
      <c r="BF51" s="593" t="n"/>
      <c r="BG51" s="593" t="n"/>
      <c r="BH51" s="593" t="n"/>
      <c r="BI51" s="593" t="n"/>
      <c r="BJ51" s="593" t="n"/>
      <c r="BK51" s="566" t="n"/>
      <c r="BL51" s="566" t="n"/>
      <c r="BM51" s="566" t="n"/>
      <c r="BN51" s="566" t="n"/>
      <c r="BO51" s="566" t="n"/>
      <c r="BP51" s="566" t="n"/>
    </row>
    <row r="52">
      <c r="B52" s="567" t="inlineStr">
        <is>
          <t>BetaCredit - Cybersecurity Q2</t>
        </is>
      </c>
      <c r="C52" s="677" t="n">
        <v>117717.3</v>
      </c>
      <c r="D52" s="663" t="n">
        <v>75339.07000000001</v>
      </c>
      <c r="E52" s="566" t="n"/>
      <c r="F52" s="566" t="n"/>
      <c r="G52" s="566" t="n"/>
      <c r="H52" s="566" t="n"/>
      <c r="I52" s="566" t="n"/>
      <c r="J52" s="566" t="n"/>
      <c r="K52" s="566" t="n"/>
      <c r="L52" s="566" t="n"/>
      <c r="M52" s="566" t="n"/>
      <c r="N52" s="666" t="n"/>
      <c r="O52" s="566" t="n"/>
      <c r="P52" s="666" t="n"/>
      <c r="Q52" s="566" t="n"/>
      <c r="R52" s="666" t="n"/>
      <c r="S52" s="566" t="n"/>
      <c r="T52" s="666" t="n"/>
      <c r="U52" s="566" t="n"/>
      <c r="V52" s="666" t="n"/>
      <c r="W52" s="566" t="n"/>
      <c r="X52" s="666" t="n"/>
      <c r="Y52" s="651" t="n"/>
      <c r="Z52" s="666" t="n"/>
      <c r="AA52" s="651" t="n"/>
      <c r="AB52" s="666" t="n"/>
      <c r="AC52" s="651" t="n"/>
      <c r="AD52" s="666" t="n"/>
      <c r="AE52" s="651" t="n"/>
      <c r="AF52" s="666" t="n"/>
      <c r="AG52" s="566" t="n"/>
      <c r="AH52" s="666" t="n"/>
      <c r="AI52" s="566" t="n"/>
      <c r="AJ52" s="666" t="n"/>
      <c r="AK52" s="666" t="n"/>
      <c r="AL52" s="666" t="n"/>
      <c r="AM52" s="666" t="n"/>
      <c r="AN52" s="667" t="n"/>
      <c r="AO52" s="666" t="n"/>
      <c r="AP52" s="666" t="n"/>
      <c r="AQ52" s="666" t="n"/>
      <c r="AR52" s="666" t="n"/>
      <c r="AS52" s="566" t="n"/>
      <c r="AT52" s="666" t="n"/>
      <c r="AU52" s="566" t="n"/>
      <c r="AV52" s="588" t="n"/>
      <c r="AW52" s="663" t="n"/>
      <c r="AX52" s="663" t="n"/>
      <c r="AY52" s="663" t="n"/>
      <c r="AZ52" s="663" t="n">
        <v>75339.07000000001</v>
      </c>
      <c r="BA52" s="593" t="n"/>
      <c r="BB52" s="663" t="n"/>
      <c r="BC52" s="663" t="n"/>
      <c r="BD52" s="663" t="n"/>
      <c r="BE52" s="593" t="n"/>
      <c r="BF52" s="593" t="n"/>
      <c r="BG52" s="593" t="n"/>
      <c r="BH52" s="593" t="n"/>
      <c r="BI52" s="593" t="n"/>
      <c r="BJ52" s="593" t="n"/>
      <c r="BK52" s="566" t="n"/>
      <c r="BL52" s="566" t="n"/>
      <c r="BM52" s="566" t="n"/>
      <c r="BN52" s="566" t="n"/>
      <c r="BO52" s="566" t="n"/>
      <c r="BP52" s="566" t="n"/>
    </row>
    <row r="53">
      <c r="B53" s="567" t="inlineStr">
        <is>
          <t>BetaCredit - Cybersecurity Q3</t>
        </is>
      </c>
      <c r="C53" s="673" t="n">
        <v>140363</v>
      </c>
      <c r="D53" s="663" t="n">
        <v>89832</v>
      </c>
      <c r="E53" s="333" t="n"/>
      <c r="F53" s="333" t="n"/>
      <c r="G53" s="333" t="n"/>
      <c r="H53" s="333" t="n"/>
      <c r="I53" s="333" t="n"/>
      <c r="J53" s="333" t="n"/>
      <c r="K53" s="333" t="n"/>
      <c r="L53" s="333" t="n"/>
      <c r="M53" s="333" t="n"/>
      <c r="N53" s="678" t="n"/>
      <c r="O53" s="333" t="n"/>
      <c r="P53" s="678" t="n"/>
      <c r="Q53" s="333" t="n"/>
      <c r="R53" s="678" t="n"/>
      <c r="S53" s="333" t="n"/>
      <c r="T53" s="678" t="n"/>
      <c r="U53" s="333" t="n"/>
      <c r="V53" s="678" t="n"/>
      <c r="W53" s="333" t="n"/>
      <c r="X53" s="678" t="n"/>
      <c r="Y53" s="679" t="n"/>
      <c r="Z53" s="678" t="n"/>
      <c r="AA53" s="679" t="n"/>
      <c r="AB53" s="678" t="n"/>
      <c r="AC53" s="679" t="n"/>
      <c r="AD53" s="678" t="n"/>
      <c r="AE53" s="679" t="n"/>
      <c r="AF53" s="678" t="n"/>
      <c r="AG53" s="333" t="n"/>
      <c r="AH53" s="678" t="n"/>
      <c r="AI53" s="333" t="n"/>
      <c r="AJ53" s="678" t="n"/>
      <c r="AK53" s="678" t="n"/>
      <c r="AL53" s="678" t="n"/>
      <c r="AM53" s="678" t="n"/>
      <c r="AN53" s="678" t="n"/>
      <c r="AO53" s="666" t="n"/>
      <c r="AP53" s="666" t="n"/>
      <c r="AQ53" s="666" t="n"/>
      <c r="AR53" s="666" t="n"/>
      <c r="AS53" s="566" t="n"/>
      <c r="AT53" s="666" t="n"/>
      <c r="AU53" s="566" t="n"/>
      <c r="AV53" s="663" t="n"/>
      <c r="AW53" s="663" t="n"/>
      <c r="AX53" s="663" t="n"/>
      <c r="AY53" s="663" t="n"/>
      <c r="AZ53" s="593" t="n"/>
      <c r="BA53" s="593" t="n"/>
      <c r="BB53" s="680" t="n">
        <v>44916</v>
      </c>
      <c r="BC53" s="681" t="n"/>
      <c r="BD53" s="680" t="n">
        <v>44916</v>
      </c>
      <c r="BE53" s="593" t="n"/>
      <c r="BF53" s="663" t="n"/>
      <c r="BG53" s="663" t="n"/>
      <c r="BH53" s="663" t="n"/>
      <c r="BI53" s="663" t="n"/>
      <c r="BJ53" s="593" t="n"/>
      <c r="BK53" s="566" t="n"/>
      <c r="BL53" s="566" t="n"/>
      <c r="BM53" s="566" t="n"/>
      <c r="BN53" s="566" t="n"/>
      <c r="BO53" s="566" t="n"/>
      <c r="BP53" s="566" t="n"/>
    </row>
    <row r="54">
      <c r="B54" s="567" t="inlineStr">
        <is>
          <t>BetaCredit - Cybersecurity Q4</t>
        </is>
      </c>
      <c r="C54" s="682" t="n">
        <v>140363</v>
      </c>
      <c r="D54" s="663" t="n">
        <v>89832</v>
      </c>
      <c r="E54" s="333" t="n"/>
      <c r="F54" s="333" t="n"/>
      <c r="G54" s="333" t="n"/>
      <c r="H54" s="333" t="n"/>
      <c r="I54" s="333" t="n"/>
      <c r="J54" s="333" t="n"/>
      <c r="K54" s="333" t="n"/>
      <c r="L54" s="333" t="n"/>
      <c r="M54" s="333" t="n"/>
      <c r="N54" s="678" t="n"/>
      <c r="O54" s="333" t="n"/>
      <c r="P54" s="678" t="n"/>
      <c r="Q54" s="333" t="n"/>
      <c r="R54" s="678" t="n"/>
      <c r="S54" s="333" t="n"/>
      <c r="T54" s="678" t="n"/>
      <c r="U54" s="333" t="n"/>
      <c r="V54" s="678" t="n"/>
      <c r="W54" s="333" t="n"/>
      <c r="X54" s="678" t="n"/>
      <c r="Y54" s="679" t="n"/>
      <c r="Z54" s="678" t="n"/>
      <c r="AA54" s="679" t="n"/>
      <c r="AB54" s="678" t="n"/>
      <c r="AC54" s="679" t="n"/>
      <c r="AD54" s="678" t="n"/>
      <c r="AE54" s="679" t="n"/>
      <c r="AF54" s="678" t="n"/>
      <c r="AG54" s="333" t="n"/>
      <c r="AH54" s="678" t="n"/>
      <c r="AI54" s="333" t="n"/>
      <c r="AJ54" s="678" t="n"/>
      <c r="AK54" s="678" t="n"/>
      <c r="AL54" s="678" t="n"/>
      <c r="AM54" s="678" t="n"/>
      <c r="AN54" s="678" t="n"/>
      <c r="AO54" s="666" t="n"/>
      <c r="AP54" s="666" t="n"/>
      <c r="AQ54" s="666" t="n"/>
      <c r="AR54" s="666" t="n"/>
      <c r="AS54" s="566" t="n"/>
      <c r="AT54" s="666" t="n"/>
      <c r="AU54" s="566" t="n"/>
      <c r="AV54" s="663" t="n"/>
      <c r="AW54" s="663" t="n"/>
      <c r="AX54" s="663" t="n"/>
      <c r="AY54" s="663" t="n"/>
      <c r="AZ54" s="593" t="n"/>
      <c r="BA54" s="593" t="n"/>
      <c r="BB54" s="663" t="n"/>
      <c r="BC54" s="593" t="n"/>
      <c r="BD54" s="663" t="n"/>
      <c r="BE54" s="593" t="n"/>
      <c r="BF54" s="680" t="n">
        <v>44916</v>
      </c>
      <c r="BG54" s="680" t="n"/>
      <c r="BH54" s="680" t="n">
        <v>44916</v>
      </c>
      <c r="BI54" s="663" t="n"/>
      <c r="BJ54" s="593" t="n"/>
      <c r="BK54" s="566" t="n"/>
      <c r="BL54" s="566" t="n"/>
      <c r="BM54" s="566" t="n"/>
      <c r="BN54" s="566" t="n"/>
      <c r="BO54" s="566" t="n"/>
      <c r="BP54" s="566" t="n"/>
    </row>
    <row r="55">
      <c r="B55" s="567" t="inlineStr">
        <is>
          <t>Add on servizio ZetaGroup 2 - Lateral Movement, revisione regole firewall di interconnessione e internet</t>
        </is>
      </c>
      <c r="C55" s="683" t="n">
        <v>26665.4</v>
      </c>
      <c r="D55" s="663" t="n">
        <v>17065.86</v>
      </c>
      <c r="E55" s="566" t="n"/>
      <c r="F55" s="566" t="n"/>
      <c r="G55" s="566" t="n"/>
      <c r="H55" s="566" t="n"/>
      <c r="I55" s="566" t="n"/>
      <c r="J55" s="566" t="n"/>
      <c r="K55" s="566" t="n"/>
      <c r="L55" s="566" t="n"/>
      <c r="M55" s="566" t="n"/>
      <c r="N55" s="666" t="n"/>
      <c r="O55" s="566" t="n"/>
      <c r="P55" s="666" t="n"/>
      <c r="Q55" s="566" t="n"/>
      <c r="R55" s="666" t="n"/>
      <c r="S55" s="566" t="n"/>
      <c r="T55" s="666" t="n"/>
      <c r="U55" s="566" t="n"/>
      <c r="V55" s="666" t="n"/>
      <c r="W55" s="566" t="n"/>
      <c r="X55" s="666" t="n"/>
      <c r="Y55" s="651" t="n"/>
      <c r="Z55" s="666" t="n"/>
      <c r="AA55" s="651" t="n"/>
      <c r="AB55" s="666" t="n"/>
      <c r="AC55" s="651" t="n"/>
      <c r="AD55" s="666" t="n"/>
      <c r="AE55" s="651" t="n"/>
      <c r="AF55" s="666" t="n"/>
      <c r="AG55" s="566" t="n"/>
      <c r="AH55" s="666" t="n"/>
      <c r="AI55" s="566" t="n"/>
      <c r="AJ55" s="666" t="n"/>
      <c r="AK55" s="666" t="n"/>
      <c r="AL55" s="666" t="n"/>
      <c r="AM55" s="666" t="n"/>
      <c r="AN55" s="666" t="n"/>
      <c r="AO55" s="666" t="n"/>
      <c r="AP55" s="666" t="n"/>
      <c r="AQ55" s="666" t="n"/>
      <c r="AR55" s="666" t="n"/>
      <c r="AS55" s="566" t="n"/>
      <c r="AT55" s="666" t="n"/>
      <c r="AU55" s="566" t="n"/>
      <c r="AV55" s="593" t="n"/>
      <c r="AW55" s="663" t="n"/>
      <c r="AX55" s="593" t="n"/>
      <c r="AY55" s="663" t="n"/>
      <c r="AZ55" s="593" t="n"/>
      <c r="BA55" s="593" t="n"/>
      <c r="BB55" s="663" t="n">
        <v>17065.86</v>
      </c>
      <c r="BC55" s="593" t="n"/>
      <c r="BD55" s="593" t="n"/>
      <c r="BE55" s="593" t="n"/>
      <c r="BF55" s="593" t="n"/>
      <c r="BG55" s="593" t="n"/>
      <c r="BH55" s="593" t="n"/>
      <c r="BI55" s="593" t="n"/>
      <c r="BJ55" s="593" t="n"/>
      <c r="BK55" s="566" t="n"/>
      <c r="BL55" s="566" t="n"/>
      <c r="BM55" s="566" t="n"/>
      <c r="BN55" s="566" t="n"/>
      <c r="BO55" s="566" t="n"/>
      <c r="BP55" s="566" t="n"/>
    </row>
    <row r="56">
      <c r="B56" s="290" t="inlineStr">
        <is>
          <t>BetaCredit_PMO SAST</t>
        </is>
      </c>
      <c r="C56" s="596" t="n">
        <v>33348.36</v>
      </c>
      <c r="D56" s="684" t="n">
        <v>21342.95</v>
      </c>
      <c r="N56" s="670" t="n"/>
      <c r="P56" s="670" t="n"/>
      <c r="R56" s="670" t="n"/>
      <c r="T56" s="670" t="n"/>
      <c r="V56" s="670" t="n"/>
      <c r="X56" s="670" t="n"/>
      <c r="Y56" s="645" t="n"/>
      <c r="Z56" s="670" t="n"/>
      <c r="AA56" s="645" t="n"/>
      <c r="AB56" s="670" t="n"/>
      <c r="AC56" s="645" t="n"/>
      <c r="AD56" s="670" t="n"/>
      <c r="AE56" s="645" t="n"/>
      <c r="AF56" s="670" t="n"/>
      <c r="AH56" s="670" t="n"/>
      <c r="AJ56" s="670" t="n"/>
      <c r="AK56" s="670" t="n"/>
      <c r="AL56" s="670" t="n"/>
      <c r="AM56" s="670" t="n"/>
      <c r="AN56" s="670" t="n"/>
      <c r="AO56" s="670" t="n"/>
      <c r="AP56" s="670" t="n"/>
      <c r="AQ56" s="670" t="n"/>
      <c r="AR56" s="670" t="n"/>
      <c r="AT56" s="670" t="n"/>
      <c r="AV56" s="588" t="n"/>
      <c r="AW56" s="663" t="n"/>
      <c r="AX56" s="593" t="n"/>
      <c r="AY56" s="663" t="n"/>
      <c r="AZ56" s="593" t="n"/>
      <c r="BA56" s="593" t="n"/>
      <c r="BB56" s="680" t="n">
        <v>21342.95</v>
      </c>
      <c r="BC56" s="593" t="n"/>
      <c r="BD56" s="593" t="n"/>
      <c r="BE56" s="593" t="n"/>
      <c r="BF56" s="593" t="n"/>
      <c r="BG56" s="593" t="n"/>
      <c r="BH56" s="593" t="n"/>
      <c r="BI56" s="593" t="n"/>
      <c r="BJ56" s="593" t="n"/>
      <c r="BK56" s="566" t="n"/>
      <c r="BL56" s="566" t="n"/>
      <c r="BM56" s="566" t="n"/>
      <c r="BN56" s="566" t="n"/>
      <c r="BO56" s="566" t="n"/>
      <c r="BP56" s="566" t="n"/>
    </row>
    <row r="57">
      <c r="B57" s="5" t="inlineStr">
        <is>
          <t>Giorgio Conti</t>
        </is>
      </c>
      <c r="C57" s="673" t="n">
        <v>60027</v>
      </c>
      <c r="D57" s="663" t="n">
        <v>38417.06</v>
      </c>
      <c r="N57" s="670" t="n"/>
      <c r="P57" s="670" t="n"/>
      <c r="R57" s="670" t="n"/>
      <c r="T57" s="670" t="n"/>
      <c r="V57" s="670" t="n"/>
      <c r="X57" s="670" t="n"/>
      <c r="Y57" s="645" t="n"/>
      <c r="Z57" s="670" t="n"/>
      <c r="AA57" s="645" t="n"/>
      <c r="AB57" s="670" t="n"/>
      <c r="AC57" s="645" t="n"/>
      <c r="AD57" s="670" t="n"/>
      <c r="AE57" s="645" t="n"/>
      <c r="AF57" s="670" t="n"/>
      <c r="AH57" s="670" t="n"/>
      <c r="AJ57" s="670" t="n"/>
      <c r="AK57" s="670" t="n"/>
      <c r="AL57" s="670" t="n"/>
      <c r="AM57" s="670" t="n"/>
      <c r="AN57" s="670" t="n"/>
      <c r="AO57" s="670" t="n"/>
      <c r="AP57" s="670" t="n"/>
      <c r="AQ57" s="670" t="n"/>
      <c r="AR57" s="670" t="n"/>
      <c r="AT57" s="670" t="n"/>
      <c r="AV57" s="588" t="n"/>
      <c r="AW57" s="663" t="n"/>
      <c r="AX57" s="593" t="n"/>
      <c r="AY57" s="663" t="n"/>
      <c r="AZ57" s="593" t="n"/>
      <c r="BA57" s="593" t="n"/>
      <c r="BB57" s="680" t="n">
        <v>9604.26</v>
      </c>
      <c r="BC57" s="681" t="n"/>
      <c r="BD57" s="680" t="n">
        <v>9604.26</v>
      </c>
      <c r="BE57" s="681" t="n"/>
      <c r="BF57" s="680" t="n">
        <v>9604.26</v>
      </c>
      <c r="BG57" s="681" t="n"/>
      <c r="BH57" s="680" t="n">
        <v>9604.26</v>
      </c>
      <c r="BI57" s="593" t="n"/>
      <c r="BJ57" s="593" t="n"/>
      <c r="BK57" s="566" t="n"/>
      <c r="BL57" s="566" t="n"/>
      <c r="BM57" s="566" t="n"/>
      <c r="BN57" s="566" t="n"/>
      <c r="BO57" s="566" t="n"/>
      <c r="BP57" s="566" t="n"/>
    </row>
    <row r="58">
      <c r="B58" s="116" t="inlineStr">
        <is>
          <t>SUM spazio costi</t>
        </is>
      </c>
      <c r="C58" s="660" t="n"/>
      <c r="D58" s="660" t="n">
        <v>320891.89</v>
      </c>
      <c r="Z58" s="645" t="n"/>
    </row>
    <row r="59">
      <c r="B59" s="589" t="n"/>
      <c r="C59" s="589" t="n"/>
      <c r="D59" s="639" t="n"/>
      <c r="Q59" s="588" t="n"/>
      <c r="V59" s="596" t="n"/>
      <c r="AF59" s="596" t="n"/>
      <c r="AH59" s="596" t="n"/>
      <c r="AI59" s="639" t="n"/>
      <c r="AV59" s="645" t="n"/>
      <c r="AX59" s="589" t="n"/>
    </row>
    <row r="60" ht="16" customHeight="1" s="564">
      <c r="B60" s="589" t="n"/>
      <c r="C60" s="685" t="n">
        <v>375489.67</v>
      </c>
      <c r="D60" s="121" t="n"/>
      <c r="N60" s="140" t="n"/>
      <c r="P60" s="121" t="n"/>
      <c r="T60" s="167" t="n"/>
      <c r="U60" s="596" t="n"/>
      <c r="V60" s="588" t="n"/>
      <c r="W60" s="590" t="n"/>
      <c r="X60" s="199" t="n"/>
      <c r="Z60" s="588" t="n"/>
      <c r="AF60" s="589" t="n"/>
      <c r="AH60" s="135" t="n"/>
      <c r="AI60" s="639" t="n"/>
      <c r="AK60" s="589" t="n"/>
      <c r="AN60" s="589" t="n"/>
      <c r="AR60" s="602" t="n"/>
      <c r="AW60" s="589" t="n"/>
      <c r="AY60" s="589" t="n"/>
    </row>
    <row r="61" ht="16" customHeight="1" s="564">
      <c r="D61" s="588" t="n"/>
      <c r="P61" s="588" t="n"/>
      <c r="U61" s="588" t="n"/>
      <c r="V61" s="588" t="n"/>
      <c r="Z61" s="135" t="n"/>
      <c r="AR61" s="590" t="n"/>
      <c r="AW61" s="384" t="n"/>
      <c r="AX61" s="121" t="n"/>
    </row>
    <row r="62">
      <c r="C62" s="589" t="n"/>
      <c r="D62" s="589" t="n"/>
      <c r="E62" s="589" t="n"/>
      <c r="F62" s="589" t="n"/>
      <c r="G62" s="589" t="n"/>
      <c r="H62" s="589" t="n"/>
      <c r="V62" s="589" t="n"/>
      <c r="AB62" s="590" t="n"/>
      <c r="AM62" s="589" t="n"/>
      <c r="AP62" s="588" t="n"/>
      <c r="AR62" s="590" t="n"/>
      <c r="AU62" s="134" t="n"/>
      <c r="AW62" s="588" t="n"/>
      <c r="AX62" s="686" t="n"/>
    </row>
    <row r="63">
      <c r="C63" s="588" t="n"/>
      <c r="D63" s="589" t="n"/>
      <c r="E63" s="387" t="n"/>
      <c r="F63" s="566" t="n"/>
      <c r="G63" s="566" t="n"/>
      <c r="H63" s="566" t="n"/>
      <c r="I63" s="566" t="n"/>
      <c r="J63" s="566" t="n"/>
      <c r="K63" s="566" t="n"/>
      <c r="L63" s="566" t="n"/>
      <c r="M63" s="566" t="n"/>
      <c r="N63" s="566" t="n"/>
      <c r="O63" s="566" t="n"/>
      <c r="P63" s="566" t="n"/>
      <c r="Q63" s="566" t="n"/>
      <c r="R63" s="566" t="n"/>
      <c r="S63" s="566" t="n"/>
      <c r="T63" s="566" t="n"/>
      <c r="U63" s="566" t="n"/>
      <c r="V63" s="593" t="n"/>
      <c r="W63" s="566" t="n"/>
      <c r="X63" s="566" t="n"/>
      <c r="Y63" s="566" t="n"/>
      <c r="Z63" s="566" t="n"/>
      <c r="AA63" s="566" t="n"/>
      <c r="AB63" s="687" t="n"/>
      <c r="AC63" s="566" t="n"/>
      <c r="AD63" s="566" t="n"/>
      <c r="AE63" s="566" t="n"/>
      <c r="AF63" s="566" t="n"/>
      <c r="AG63" s="566" t="n"/>
      <c r="AH63" s="566" t="n"/>
      <c r="AI63" s="566" t="n"/>
      <c r="AJ63" s="566" t="n"/>
      <c r="AK63" s="566" t="n"/>
      <c r="AL63" s="566" t="n"/>
      <c r="AM63" s="592" t="n"/>
      <c r="AN63" s="566" t="n"/>
      <c r="AO63" s="652" t="n"/>
      <c r="AP63" s="592" t="n"/>
      <c r="AQ63" s="566" t="inlineStr">
        <is>
          <t>LC</t>
        </is>
      </c>
      <c r="AR63" s="566" t="inlineStr">
        <is>
          <t>Charg</t>
        </is>
      </c>
      <c r="AS63" s="566" t="inlineStr">
        <is>
          <t>costo al 50%</t>
        </is>
      </c>
      <c r="AW63" s="588" t="n"/>
    </row>
    <row r="64">
      <c r="C64" s="589" t="n"/>
      <c r="D64" s="589" t="n"/>
      <c r="E64" s="387" t="n"/>
      <c r="F64" s="566" t="n"/>
      <c r="G64" s="566" t="n"/>
      <c r="H64" s="566" t="n"/>
      <c r="I64" s="566" t="n"/>
      <c r="J64" s="566" t="n"/>
      <c r="K64" s="566" t="n"/>
      <c r="L64" s="566" t="n"/>
      <c r="M64" s="566" t="n"/>
      <c r="N64" s="566" t="n"/>
      <c r="O64" s="566" t="n"/>
      <c r="P64" s="566" t="n"/>
      <c r="Q64" s="566" t="n"/>
      <c r="R64" s="566" t="n"/>
      <c r="S64" s="566" t="n"/>
      <c r="T64" s="566" t="n"/>
      <c r="U64" s="566" t="n"/>
      <c r="V64" s="566" t="n"/>
      <c r="W64" s="566" t="n"/>
      <c r="X64" s="566" t="n"/>
      <c r="Y64" s="566" t="n"/>
      <c r="Z64" s="566" t="n"/>
      <c r="AA64" s="566" t="n"/>
      <c r="AB64" s="687" t="n"/>
      <c r="AC64" s="566" t="n"/>
      <c r="AD64" s="566" t="n"/>
      <c r="AE64" s="566" t="n"/>
      <c r="AF64" s="566" t="n"/>
      <c r="AG64" s="566" t="n"/>
      <c r="AH64" s="566" t="n"/>
      <c r="AI64" s="566" t="n"/>
      <c r="AJ64" s="566" t="n"/>
      <c r="AK64" s="566" t="n"/>
      <c r="AL64" s="566" t="n"/>
      <c r="AM64" s="592" t="n"/>
      <c r="AN64" s="566" t="n"/>
      <c r="AO64" s="652" t="n"/>
      <c r="AP64" s="592" t="n"/>
      <c r="AQ64" s="566" t="n">
        <v>112</v>
      </c>
      <c r="AR64" s="566" t="n">
        <v>63.79</v>
      </c>
      <c r="AS64" s="566" t="n">
        <v>31.9</v>
      </c>
    </row>
    <row r="65">
      <c r="E65" s="387" t="n"/>
      <c r="F65" s="566" t="n"/>
      <c r="G65" s="566" t="n"/>
      <c r="H65" s="566" t="n"/>
      <c r="I65" s="566" t="n"/>
      <c r="J65" s="566" t="n"/>
      <c r="K65" s="566" t="n"/>
      <c r="L65" s="566" t="n"/>
      <c r="M65" s="566" t="n"/>
      <c r="N65" s="566" t="n"/>
      <c r="O65" s="566" t="n"/>
      <c r="P65" s="566" t="n"/>
      <c r="Q65" s="566" t="n"/>
      <c r="R65" s="566" t="n"/>
      <c r="S65" s="566" t="n"/>
      <c r="T65" s="566" t="n"/>
      <c r="U65" s="566" t="n"/>
      <c r="V65" s="592" t="n"/>
      <c r="W65" s="566" t="n"/>
      <c r="X65" s="566" t="n"/>
      <c r="Y65" s="566" t="n"/>
      <c r="Z65" s="566" t="n"/>
      <c r="AA65" s="566" t="n"/>
      <c r="AB65" s="687" t="n"/>
      <c r="AC65" s="566" t="n"/>
      <c r="AD65" s="566" t="n"/>
      <c r="AE65" s="566" t="n"/>
      <c r="AF65" s="566" t="n"/>
      <c r="AG65" s="566" t="n"/>
      <c r="AH65" s="566" t="n"/>
      <c r="AI65" s="566" t="n"/>
      <c r="AJ65" s="566" t="n"/>
      <c r="AK65" s="566" t="n"/>
      <c r="AL65" s="566" t="n"/>
      <c r="AM65" s="566" t="n"/>
      <c r="AN65" s="566" t="n"/>
      <c r="AO65" s="652" t="n"/>
      <c r="AP65" s="566" t="n"/>
      <c r="AQ65" s="566" t="n">
        <v>39.78</v>
      </c>
      <c r="AR65" s="566" t="n">
        <v>34.81</v>
      </c>
      <c r="AS65" s="566" t="n"/>
    </row>
    <row r="66">
      <c r="B66" s="596" t="n"/>
      <c r="C66" s="589" t="n"/>
      <c r="D66" s="588" t="n"/>
      <c r="X66" s="121" t="n"/>
      <c r="AB66" s="599" t="n"/>
    </row>
    <row r="67">
      <c r="Z67" s="588" t="n"/>
      <c r="AB67" s="588" t="n"/>
      <c r="AD67" s="588" t="n"/>
    </row>
    <row r="68">
      <c r="Z68" s="589" t="n"/>
      <c r="AB68" s="588" t="n"/>
      <c r="AI68" s="602" t="n"/>
    </row>
    <row r="69">
      <c r="D69" s="588" t="n"/>
      <c r="AB69" s="588" t="n"/>
    </row>
    <row r="70">
      <c r="B70" s="588" t="n"/>
      <c r="C70" s="589" t="n"/>
    </row>
    <row r="71">
      <c r="AB71" s="589" t="n"/>
    </row>
    <row r="72">
      <c r="AB72" s="589" t="n"/>
    </row>
    <row r="73"/>
    <row r="74">
      <c r="AQ74" s="590" t="n"/>
    </row>
    <row r="75">
      <c r="AP75" s="590" t="n"/>
    </row>
    <row r="76"/>
    <row r="77">
      <c r="AN77" s="590" t="n"/>
    </row>
    <row r="78">
      <c r="AN78" s="590" t="n"/>
    </row>
    <row r="79">
      <c r="AN79" s="590" t="n"/>
    </row>
    <row r="80">
      <c r="AN80" s="590" t="n"/>
    </row>
    <row r="81">
      <c r="AN81" s="590" t="n"/>
    </row>
    <row r="82">
      <c r="AN82" s="590" t="n"/>
    </row>
  </sheetData>
  <mergeCells count="35">
    <mergeCell ref="AM2:AN2"/>
    <mergeCell ref="AO2:AP2"/>
    <mergeCell ref="G2:H2"/>
    <mergeCell ref="I2:J2"/>
    <mergeCell ref="AW2:AX2"/>
    <mergeCell ref="BI2:BJ2"/>
    <mergeCell ref="BA2:BB2"/>
    <mergeCell ref="E1:AB1"/>
    <mergeCell ref="BC2:BD2"/>
    <mergeCell ref="BU2:BV2"/>
    <mergeCell ref="Y2:Z2"/>
    <mergeCell ref="BM2:BN2"/>
    <mergeCell ref="BW2:BX2"/>
    <mergeCell ref="AE2:AF2"/>
    <mergeCell ref="BO2:BP2"/>
    <mergeCell ref="AC1:AZ1"/>
    <mergeCell ref="AG2:AH2"/>
    <mergeCell ref="AQ2:AR2"/>
    <mergeCell ref="E2:F2"/>
    <mergeCell ref="AS2:AT2"/>
    <mergeCell ref="K2:L2"/>
    <mergeCell ref="AY2:AZ2"/>
    <mergeCell ref="BA1:BX1"/>
    <mergeCell ref="BE2:BF2"/>
    <mergeCell ref="BQ2:BR2"/>
    <mergeCell ref="BG2:BH2"/>
    <mergeCell ref="C32:D32"/>
    <mergeCell ref="W2:X2"/>
    <mergeCell ref="BS2:BT2"/>
    <mergeCell ref="AA2:AB2"/>
    <mergeCell ref="AC2:AD2"/>
    <mergeCell ref="BK2:BL2"/>
    <mergeCell ref="AI2:AJ2"/>
    <mergeCell ref="AU2:AV2"/>
    <mergeCell ref="AK2:AL2"/>
  </mergeCells>
  <conditionalFormatting sqref="B5">
    <cfRule type="duplicateValues" priority="2" dxfId="1"/>
  </conditionalFormatting>
  <conditionalFormatting sqref="B6:B9">
    <cfRule type="duplicateValues" priority="54" dxfId="1"/>
  </conditionalFormatting>
  <conditionalFormatting sqref="B6:B32">
    <cfRule type="duplicateValues" priority="56" dxfId="1"/>
  </conditionalFormatting>
  <pageMargins left="0.7" right="0.7" top="0.75" bottom="0.75" header="0.3" footer="0.3"/>
  <pageSetup orientation="portrait"/>
  <legacyDrawing xmlns:r="http://schemas.openxmlformats.org/officeDocument/2006/relationships" r:id="anysvml"/>
</worksheet>
</file>

<file path=xl/worksheets/sheet8.xml><?xml version="1.0" encoding="utf-8"?>
<worksheet xmlns="http://schemas.openxmlformats.org/spreadsheetml/2006/main">
  <sheetPr codeName="Sheet2">
    <outlinePr summaryBelow="1" summaryRight="1"/>
    <pageSetUpPr/>
  </sheetPr>
  <dimension ref="A1:BA49"/>
  <sheetViews>
    <sheetView zoomScale="70" zoomScaleNormal="70" workbookViewId="0">
      <pane xSplit="8" ySplit="9" topLeftCell="AM10" activePane="bottomRight" state="frozen"/>
      <selection activeCell="AN41" activeCellId="1" sqref="AN38 AN41"/>
      <selection pane="topRight" activeCell="AN41" activeCellId="1" sqref="AN38 AN41"/>
      <selection pane="bottomLeft" activeCell="AN41" activeCellId="1" sqref="AN38 AN41"/>
      <selection pane="bottomRight" activeCell="AP18" sqref="AP18"/>
    </sheetView>
  </sheetViews>
  <sheetFormatPr baseColWidth="8" defaultColWidth="12.1796875" defaultRowHeight="14.5"/>
  <cols>
    <col width="16.1796875" customWidth="1" style="579" min="1" max="1"/>
    <col width="15.453125" customWidth="1" style="579" min="2" max="2"/>
    <col width="11.1796875" customWidth="1" style="579" min="3" max="3"/>
    <col width="13.81640625" customWidth="1" style="579" min="4" max="4"/>
    <col width="12.54296875" bestFit="1" customWidth="1" style="579" min="5" max="5"/>
    <col width="21.81640625" customWidth="1" style="579" min="6" max="6"/>
    <col width="20.1796875" customWidth="1" style="579" min="7" max="7"/>
    <col width="19.54296875" customWidth="1" style="579" min="8" max="8"/>
    <col hidden="1" width="18.1796875" customWidth="1" style="579" min="9" max="9"/>
    <col hidden="1" width="18.81640625" customWidth="1" style="579" min="10" max="10"/>
    <col hidden="1" width="18.54296875" customWidth="1" style="579" min="11" max="11"/>
    <col hidden="1" width="18.81640625" customWidth="1" style="579" min="12" max="12"/>
    <col hidden="1" width="20.81640625" customWidth="1" style="579" min="13" max="13"/>
    <col hidden="1" width="19.26953125" customWidth="1" style="579" min="14" max="14"/>
    <col hidden="1" width="18.1796875" customWidth="1" style="579" min="15" max="15"/>
    <col hidden="1" width="18.54296875" customWidth="1" style="579" min="16" max="16"/>
    <col hidden="1" width="19.1796875" customWidth="1" style="579" min="17" max="17"/>
    <col hidden="1" width="18.1796875" customWidth="1" style="579" min="18" max="18"/>
    <col hidden="1" width="20.453125" customWidth="1" style="579" min="19" max="19"/>
    <col hidden="1" width="18.81640625" customWidth="1" style="579" min="20" max="20"/>
    <col hidden="1" width="18.1796875" customWidth="1" style="579" min="21" max="21"/>
    <col hidden="1" width="18.81640625" customWidth="1" style="579" min="22" max="22"/>
    <col hidden="1" width="18.54296875" customWidth="1" style="579" min="23" max="23"/>
    <col hidden="1" width="12.54296875" customWidth="1" style="579" min="24" max="24"/>
    <col hidden="1" width="11" customWidth="1" style="579" min="25" max="25"/>
    <col hidden="1" width="12.1796875" customWidth="1" style="579" min="26" max="27"/>
    <col hidden="1" width="12" customWidth="1" style="579" min="28" max="28"/>
    <col hidden="1" width="12.81640625" customWidth="1" style="579" min="29" max="29"/>
    <col hidden="1" width="13.453125" customWidth="1" style="579" min="30" max="30"/>
    <col hidden="1" width="16.54296875" customWidth="1" style="579" min="31" max="31"/>
    <col hidden="1" width="13.54296875" customWidth="1" style="579" min="32" max="32"/>
    <col hidden="1" width="12.1796875" customWidth="1" style="579" min="33" max="34"/>
    <col hidden="1" style="579" min="35" max="36"/>
    <col hidden="1" width="12.54296875" customWidth="1" style="579" min="37" max="37"/>
    <col hidden="1" style="579" min="38" max="38"/>
    <col width="13" customWidth="1" style="579" min="39" max="39"/>
    <col width="12.1796875" customWidth="1" style="579" min="40" max="297"/>
    <col width="12.1796875" bestFit="1" customWidth="1" style="579" min="298" max="618"/>
    <col width="12.1796875" customWidth="1" style="579" min="619" max="16384"/>
  </cols>
  <sheetData>
    <row r="1">
      <c r="A1" s="688" t="n"/>
      <c r="B1" s="688" t="n"/>
      <c r="C1" s="688" t="n"/>
      <c r="D1" s="688" t="n"/>
      <c r="E1" s="688" t="n"/>
      <c r="F1" s="688" t="n"/>
      <c r="H1" s="40" t="n"/>
      <c r="I1" s="689" t="n"/>
      <c r="J1" s="689" t="n"/>
      <c r="K1" s="689" t="n"/>
      <c r="L1" s="689" t="n"/>
      <c r="M1" s="689" t="n"/>
      <c r="N1" s="689" t="n"/>
      <c r="O1" s="689" t="n"/>
      <c r="P1" s="689" t="n"/>
      <c r="Q1" s="689" t="n"/>
      <c r="R1" s="689" t="n"/>
      <c r="S1" s="689" t="n"/>
      <c r="T1" s="689" t="n"/>
      <c r="U1" s="689" t="n"/>
      <c r="V1" s="689" t="n"/>
      <c r="W1" s="689" t="n"/>
    </row>
    <row r="2">
      <c r="A2" s="688" t="n"/>
      <c r="B2" s="690" t="inlineStr">
        <is>
          <t>GammaTech</t>
        </is>
      </c>
      <c r="C2" s="387" t="n"/>
      <c r="D2" s="688" t="n"/>
      <c r="E2" s="588" t="n"/>
      <c r="F2" s="688" t="n"/>
      <c r="G2" s="689" t="inlineStr">
        <is>
          <t>Available</t>
        </is>
      </c>
      <c r="H2" s="689" t="n">
        <v>520635.13</v>
      </c>
      <c r="I2" s="508" t="inlineStr">
        <is>
          <t>Q2</t>
        </is>
      </c>
      <c r="J2" s="333" t="n"/>
      <c r="K2" s="387" t="n"/>
      <c r="L2" s="691" t="inlineStr">
        <is>
          <t>Q3</t>
        </is>
      </c>
      <c r="M2" s="333" t="n"/>
      <c r="N2" s="387" t="n"/>
      <c r="O2" s="692" t="inlineStr">
        <is>
          <t>Q4</t>
        </is>
      </c>
      <c r="P2" s="333" t="n"/>
      <c r="Q2" s="387" t="n"/>
      <c r="R2" s="693" t="inlineStr">
        <is>
          <t>Q1</t>
        </is>
      </c>
      <c r="S2" s="333" t="n"/>
      <c r="T2" s="387" t="n"/>
      <c r="U2" s="508" t="inlineStr">
        <is>
          <t>Q2</t>
        </is>
      </c>
      <c r="V2" s="333" t="n"/>
      <c r="W2" s="387" t="n"/>
      <c r="X2" s="691" t="inlineStr">
        <is>
          <t>Q3</t>
        </is>
      </c>
      <c r="Y2" s="333" t="n"/>
      <c r="Z2" s="387" t="n"/>
      <c r="AA2" s="692" t="inlineStr">
        <is>
          <t>Q4</t>
        </is>
      </c>
      <c r="AB2" s="333" t="n"/>
      <c r="AC2" s="387" t="n"/>
      <c r="AD2" s="508" t="inlineStr">
        <is>
          <t>Q1</t>
        </is>
      </c>
      <c r="AE2" s="333" t="n"/>
      <c r="AF2" s="387" t="n"/>
      <c r="AG2" s="509" t="inlineStr">
        <is>
          <t>Q2</t>
        </is>
      </c>
      <c r="AH2" s="333" t="n"/>
      <c r="AI2" s="387" t="n"/>
      <c r="AJ2" s="510" t="inlineStr">
        <is>
          <t>Q3</t>
        </is>
      </c>
      <c r="AK2" s="333" t="n"/>
      <c r="AL2" s="387" t="n"/>
      <c r="AM2" s="511" t="inlineStr">
        <is>
          <t>Q4</t>
        </is>
      </c>
      <c r="AN2" s="333" t="n"/>
      <c r="AO2" s="387" t="n"/>
      <c r="AP2" s="508" t="inlineStr">
        <is>
          <t>Q1</t>
        </is>
      </c>
      <c r="AQ2" s="333" t="n"/>
      <c r="AR2" s="387" t="n"/>
      <c r="AS2" s="509" t="inlineStr">
        <is>
          <t>Q2</t>
        </is>
      </c>
      <c r="AT2" s="333" t="n"/>
      <c r="AU2" s="387" t="n"/>
      <c r="AV2" s="510" t="inlineStr">
        <is>
          <t>Q3</t>
        </is>
      </c>
      <c r="AW2" s="333" t="n"/>
      <c r="AX2" s="387" t="n"/>
      <c r="AY2" s="511" t="inlineStr">
        <is>
          <t>Q4</t>
        </is>
      </c>
      <c r="AZ2" s="333" t="n"/>
      <c r="BA2" s="387" t="n"/>
    </row>
    <row r="3">
      <c r="A3" s="688" t="n"/>
      <c r="B3" s="694" t="inlineStr">
        <is>
          <t>WBS L1</t>
        </is>
      </c>
      <c r="C3" s="694" t="inlineStr">
        <is>
          <t>WBS L2</t>
        </is>
      </c>
      <c r="D3" s="688" t="n"/>
      <c r="E3" s="596" t="n"/>
      <c r="F3" s="688" t="n"/>
      <c r="G3" s="2" t="inlineStr">
        <is>
          <t>Totals</t>
        </is>
      </c>
      <c r="H3" s="2" t="inlineStr">
        <is>
          <t>Amount</t>
        </is>
      </c>
      <c r="I3" s="4" t="inlineStr">
        <is>
          <t>Before 2024</t>
        </is>
      </c>
      <c r="J3" s="4" t="n">
        <v>45292</v>
      </c>
      <c r="K3" s="8" t="n">
        <v>45323</v>
      </c>
      <c r="L3" s="4" t="n">
        <v>45352</v>
      </c>
      <c r="M3" s="4" t="n">
        <v>45383</v>
      </c>
      <c r="N3" s="4" t="n">
        <v>45413</v>
      </c>
      <c r="O3" s="4" t="n">
        <v>45444</v>
      </c>
      <c r="P3" s="4" t="n">
        <v>45474</v>
      </c>
      <c r="Q3" s="8" t="n">
        <v>45505</v>
      </c>
      <c r="R3" s="4" t="n">
        <v>45536</v>
      </c>
      <c r="S3" s="4" t="n">
        <v>45566</v>
      </c>
      <c r="T3" s="4" t="n">
        <v>45597</v>
      </c>
      <c r="U3" s="4" t="n">
        <v>45627</v>
      </c>
      <c r="V3" s="4" t="n">
        <v>45658</v>
      </c>
      <c r="W3" s="8" t="n">
        <v>45689</v>
      </c>
      <c r="X3" s="4" t="n">
        <v>45717</v>
      </c>
      <c r="Y3" s="8" t="n">
        <v>45748</v>
      </c>
      <c r="Z3" s="4" t="n">
        <v>45778</v>
      </c>
      <c r="AA3" s="8" t="n">
        <v>45809</v>
      </c>
      <c r="AB3" s="4" t="n">
        <v>45839</v>
      </c>
      <c r="AC3" s="8" t="n">
        <v>45870</v>
      </c>
      <c r="AD3" s="8" t="n">
        <v>45901</v>
      </c>
      <c r="AE3" s="8" t="n">
        <v>45931</v>
      </c>
      <c r="AF3" s="8" t="n">
        <v>45962</v>
      </c>
      <c r="AG3" s="8" t="n">
        <v>45992</v>
      </c>
      <c r="AH3" s="8" t="n">
        <v>46023</v>
      </c>
      <c r="AI3" s="8" t="n">
        <v>46054</v>
      </c>
      <c r="AJ3" s="8" t="n">
        <v>46082</v>
      </c>
      <c r="AK3" s="8" t="n">
        <v>46113</v>
      </c>
      <c r="AL3" s="8" t="n">
        <v>46143</v>
      </c>
      <c r="AM3" s="8" t="n">
        <v>46174</v>
      </c>
      <c r="AN3" s="8" t="n">
        <v>46204</v>
      </c>
      <c r="AO3" s="8" t="n">
        <v>46235</v>
      </c>
      <c r="AP3" s="8" t="n">
        <v>46266</v>
      </c>
      <c r="AQ3" s="8" t="n">
        <v>46296</v>
      </c>
      <c r="AR3" s="8" t="n">
        <v>46327</v>
      </c>
      <c r="AS3" s="8" t="n">
        <v>46357</v>
      </c>
      <c r="AT3" s="8" t="n">
        <v>46388</v>
      </c>
      <c r="AU3" s="8" t="n">
        <v>46419</v>
      </c>
      <c r="AV3" s="8" t="n">
        <v>46447</v>
      </c>
      <c r="AW3" s="8" t="n">
        <v>46478</v>
      </c>
      <c r="AX3" s="8" t="n">
        <v>46508</v>
      </c>
      <c r="AY3" s="8" t="n">
        <v>46539</v>
      </c>
      <c r="AZ3" s="8" t="n">
        <v>46569</v>
      </c>
      <c r="BA3" s="8" t="n">
        <v>46600</v>
      </c>
    </row>
    <row r="4">
      <c r="A4" s="695" t="inlineStr">
        <is>
          <t>BetaCredit</t>
        </is>
      </c>
      <c r="B4" s="696" t="inlineStr">
        <is>
          <t>BJRYD001</t>
        </is>
      </c>
      <c r="C4" s="696" t="inlineStr">
        <is>
          <t>BFBZ3001</t>
        </is>
      </c>
      <c r="D4" s="688" t="n"/>
      <c r="E4" s="160" t="n"/>
      <c r="F4" s="688" t="n"/>
      <c r="G4" s="45" t="inlineStr">
        <is>
          <t>Forecast Revenues</t>
        </is>
      </c>
      <c r="H4" s="697" t="n">
        <v>1499689.86</v>
      </c>
      <c r="I4" s="698" t="n">
        <v>360376.27</v>
      </c>
      <c r="J4" s="698" t="n">
        <v>61161.8</v>
      </c>
      <c r="K4" s="698" t="n">
        <v>61899.73</v>
      </c>
      <c r="L4" s="698" t="n">
        <v>66615.16</v>
      </c>
      <c r="M4" s="698" t="n">
        <v>50361.14</v>
      </c>
      <c r="N4" s="698" t="n">
        <v>51876.25</v>
      </c>
      <c r="O4" s="698" t="n">
        <v>18347.39</v>
      </c>
      <c r="P4" s="698" t="n">
        <v>43563.13</v>
      </c>
      <c r="Q4" s="698" t="n">
        <v>8695.040000000001</v>
      </c>
      <c r="R4" s="698" t="n">
        <v>57596.02</v>
      </c>
      <c r="S4" s="698" t="n">
        <v>66021.03999999999</v>
      </c>
      <c r="T4" s="698" t="n">
        <v>59697.77</v>
      </c>
      <c r="U4" s="698" t="n">
        <v>23513.13</v>
      </c>
      <c r="V4" s="698" t="n">
        <v>50702.88</v>
      </c>
      <c r="W4" s="698" t="n">
        <v>54412.07</v>
      </c>
      <c r="X4" s="698" t="n">
        <v>85770.32000000001</v>
      </c>
      <c r="Y4" s="698" t="n">
        <v>49284.44</v>
      </c>
      <c r="Z4" s="698" t="n">
        <v>108004.92</v>
      </c>
      <c r="AA4" s="698" t="n">
        <v>101741.81</v>
      </c>
      <c r="AB4" s="698" t="n">
        <v>56651.25</v>
      </c>
      <c r="AC4" s="698" t="n">
        <v>63398.3</v>
      </c>
      <c r="AD4" s="698" t="n">
        <v>115090.81</v>
      </c>
      <c r="AE4" s="698" t="n">
        <v>155422.54</v>
      </c>
      <c r="AF4" s="698" t="n">
        <v>121659.79</v>
      </c>
      <c r="AG4" s="698" t="n">
        <v>105805.3</v>
      </c>
      <c r="AH4" s="698" t="n">
        <v>115897.59</v>
      </c>
      <c r="AI4" s="698" t="n">
        <v>147251.08</v>
      </c>
      <c r="AJ4" s="698" t="n">
        <v>124738.8</v>
      </c>
      <c r="AK4" s="698" t="n">
        <v>172298.89</v>
      </c>
      <c r="AL4" s="698" t="n">
        <v>137979.8</v>
      </c>
      <c r="AM4" s="698" t="n">
        <v>88660.39</v>
      </c>
      <c r="AN4" s="698" t="n">
        <v>81348.48</v>
      </c>
      <c r="AO4" s="698" t="n">
        <v>105610.56</v>
      </c>
      <c r="AP4" s="698" t="n">
        <v>10580.63</v>
      </c>
      <c r="AQ4" s="698" t="n">
        <v>10580.63</v>
      </c>
      <c r="AR4" s="698" t="n">
        <v>10580.63</v>
      </c>
      <c r="AS4" s="698" t="n">
        <v>10580.63</v>
      </c>
      <c r="AT4" s="698" t="n">
        <v>10580.63</v>
      </c>
      <c r="AU4" s="698" t="n">
        <v>10580.63</v>
      </c>
      <c r="AV4" s="698" t="n">
        <v>10580.63</v>
      </c>
      <c r="AW4" s="698" t="n">
        <v>10580.63</v>
      </c>
      <c r="AX4" s="698" t="n">
        <v>10580.63</v>
      </c>
      <c r="AY4" s="698" t="n">
        <v>10580.63</v>
      </c>
      <c r="AZ4" s="698" t="n">
        <v>10580.63</v>
      </c>
      <c r="BA4" s="698" t="n">
        <v>10580.63</v>
      </c>
    </row>
    <row r="5">
      <c r="A5" s="695" t="inlineStr">
        <is>
          <t>AlphaBank</t>
        </is>
      </c>
      <c r="B5" s="696" t="inlineStr">
        <is>
          <t>BGTY8001</t>
        </is>
      </c>
      <c r="C5" s="696" t="inlineStr">
        <is>
          <t>BU7R5001</t>
        </is>
      </c>
      <c r="D5" s="688" t="n"/>
      <c r="E5" s="596" t="n"/>
      <c r="F5" s="599" t="n"/>
      <c r="G5" s="45" t="inlineStr">
        <is>
          <t>Forecast Costs</t>
        </is>
      </c>
      <c r="H5" s="697" t="n">
        <v>979054.73</v>
      </c>
      <c r="I5" s="698" t="n">
        <v>226605.71</v>
      </c>
      <c r="J5" s="698" t="n">
        <v>51769.01</v>
      </c>
      <c r="K5" s="698" t="n">
        <v>42968.9</v>
      </c>
      <c r="L5" s="698" t="n">
        <v>36361.18</v>
      </c>
      <c r="M5" s="698" t="n">
        <v>35001.65</v>
      </c>
      <c r="N5" s="698" t="n">
        <v>29440.99</v>
      </c>
      <c r="O5" s="698" t="n">
        <v>14796.85</v>
      </c>
      <c r="P5" s="698" t="n">
        <v>29525.57</v>
      </c>
      <c r="Q5" s="698" t="n">
        <v>6524.22</v>
      </c>
      <c r="R5" s="698" t="n">
        <v>30888.22</v>
      </c>
      <c r="S5" s="698" t="n">
        <v>38762.84</v>
      </c>
      <c r="T5" s="698" t="n">
        <v>37408.36</v>
      </c>
      <c r="U5" s="698" t="n">
        <v>15935.18</v>
      </c>
      <c r="V5" s="698" t="n">
        <v>21277.65</v>
      </c>
      <c r="W5" s="698" t="n">
        <v>33883.15</v>
      </c>
      <c r="X5" s="698" t="n">
        <v>51425.23</v>
      </c>
      <c r="Y5" s="698" t="n">
        <v>40078.35</v>
      </c>
      <c r="Z5" s="698" t="n">
        <v>63802.36</v>
      </c>
      <c r="AA5" s="698" t="n">
        <v>67838.47</v>
      </c>
      <c r="AB5" s="698" t="n">
        <v>70173.23</v>
      </c>
      <c r="AC5" s="698" t="n">
        <v>34587.6</v>
      </c>
      <c r="AD5" s="698" t="n">
        <v>62602.34</v>
      </c>
      <c r="AE5" s="698" t="n">
        <v>73208.14</v>
      </c>
      <c r="AF5" s="698" t="n">
        <v>74792.41</v>
      </c>
      <c r="AG5" s="698" t="n">
        <v>66698.34</v>
      </c>
      <c r="AH5" s="698" t="n">
        <v>73144.39999999999</v>
      </c>
      <c r="AI5" s="698" t="n">
        <v>84619.17</v>
      </c>
      <c r="AJ5" s="698" t="n">
        <v>121874.76</v>
      </c>
      <c r="AK5" s="698" t="n">
        <v>87071.53</v>
      </c>
      <c r="AL5" s="698" t="n">
        <v>82995.73</v>
      </c>
      <c r="AM5" s="698" t="n">
        <v>88395.34</v>
      </c>
      <c r="AN5" s="698" t="n">
        <v>119725.17</v>
      </c>
      <c r="AO5" s="698" t="n">
        <v>44591.04</v>
      </c>
      <c r="AP5" s="698" t="n">
        <v>1553.43</v>
      </c>
      <c r="AQ5" s="698" t="n">
        <v>1553.43</v>
      </c>
      <c r="AR5" s="698" t="n">
        <v>1553.43</v>
      </c>
      <c r="AS5" s="698" t="n">
        <v>1553.43</v>
      </c>
      <c r="AT5" s="698" t="n">
        <v>1553.43</v>
      </c>
      <c r="AU5" s="698" t="n">
        <v>1553.43</v>
      </c>
      <c r="AV5" s="698" t="n">
        <v>1553.43</v>
      </c>
      <c r="AW5" s="698" t="n">
        <v>1553.43</v>
      </c>
      <c r="AX5" s="698" t="n">
        <v>1553.43</v>
      </c>
      <c r="AY5" s="698" t="n">
        <v>1553.43</v>
      </c>
      <c r="AZ5" s="698" t="n">
        <v>1553.43</v>
      </c>
      <c r="BA5" s="698" t="n">
        <v>1553.43</v>
      </c>
    </row>
    <row r="6">
      <c r="A6" s="688" t="n"/>
      <c r="B6" s="688" t="n"/>
      <c r="C6" s="688" t="n"/>
      <c r="D6" s="688" t="n"/>
      <c r="E6" s="688" t="n"/>
      <c r="F6" s="688" t="n"/>
      <c r="G6" s="48" t="inlineStr">
        <is>
          <t>Actual Revenues</t>
        </is>
      </c>
      <c r="H6" s="697" t="n">
        <v>1491552.7</v>
      </c>
      <c r="I6" s="699" t="n">
        <v>360376.27</v>
      </c>
      <c r="J6" s="699" t="n">
        <v>61161.8</v>
      </c>
      <c r="K6" s="699" t="n">
        <v>61899.56</v>
      </c>
      <c r="L6" s="699" t="n">
        <v>66615.14999999999</v>
      </c>
      <c r="M6" s="699" t="n">
        <v>42224.12</v>
      </c>
      <c r="N6" s="699" t="n">
        <v>51876.24</v>
      </c>
      <c r="O6" s="699" t="n">
        <v>18347.14</v>
      </c>
      <c r="P6" s="699" t="n">
        <v>43563.13</v>
      </c>
      <c r="Q6" s="699" t="n">
        <v>8695.040000000001</v>
      </c>
      <c r="R6" s="699" t="n">
        <v>57596.02</v>
      </c>
      <c r="S6" s="699" t="n">
        <v>66021.32000000001</v>
      </c>
      <c r="T6" s="699" t="n">
        <v>59697.77</v>
      </c>
      <c r="U6" s="699" t="n">
        <v>23513.13</v>
      </c>
      <c r="V6" s="699" t="n">
        <v>50702.89</v>
      </c>
      <c r="W6" s="699" t="n">
        <v>54412.07</v>
      </c>
      <c r="X6" s="699" t="n">
        <v>85770.32000000001</v>
      </c>
      <c r="Y6" s="699" t="n">
        <v>49284.44</v>
      </c>
      <c r="Z6" s="699" t="n">
        <v>108004.92</v>
      </c>
      <c r="AA6" s="699" t="n">
        <v>101741.81</v>
      </c>
      <c r="AB6" s="699" t="n">
        <v>56651.25</v>
      </c>
      <c r="AC6" s="699" t="n">
        <v>63398.3</v>
      </c>
      <c r="AD6" s="699" t="n">
        <v>115090.81</v>
      </c>
      <c r="AE6" s="699" t="n">
        <v>155422.54</v>
      </c>
      <c r="AF6" s="699" t="n">
        <v>121659.79</v>
      </c>
      <c r="AG6" s="699" t="n">
        <v>105805.3</v>
      </c>
      <c r="AH6" s="699" t="n">
        <v>115897.59</v>
      </c>
      <c r="AI6" s="699" t="n">
        <v>147251.08</v>
      </c>
      <c r="AJ6" s="699" t="n">
        <v>124738.8</v>
      </c>
      <c r="AK6" s="699" t="n">
        <v>172298.89</v>
      </c>
      <c r="AL6" s="699" t="n">
        <v>137979.8</v>
      </c>
      <c r="AM6" s="699" t="n">
        <v>88660.39</v>
      </c>
      <c r="AN6" s="699" t="n">
        <v>81348.48</v>
      </c>
      <c r="AO6" s="699" t="n">
        <v>10580.63</v>
      </c>
      <c r="AP6" s="699" t="n">
        <v>0</v>
      </c>
      <c r="AQ6" s="699" t="n">
        <v>0</v>
      </c>
      <c r="AR6" s="699" t="n">
        <v>0</v>
      </c>
      <c r="AS6" s="699" t="n">
        <v>0</v>
      </c>
      <c r="AT6" s="699" t="n">
        <v>0</v>
      </c>
      <c r="AU6" s="699" t="n">
        <v>0</v>
      </c>
      <c r="AV6" s="699" t="n">
        <v>0</v>
      </c>
      <c r="AW6" s="699" t="n">
        <v>0</v>
      </c>
      <c r="AX6" s="699" t="n">
        <v>0</v>
      </c>
      <c r="AY6" s="699" t="n">
        <v>0</v>
      </c>
      <c r="AZ6" s="699" t="n">
        <v>0</v>
      </c>
      <c r="BA6" s="699" t="n">
        <v>0</v>
      </c>
    </row>
    <row r="7">
      <c r="A7" s="688" t="n"/>
      <c r="B7" s="688" t="n"/>
      <c r="C7" s="688" t="n"/>
      <c r="D7" s="688" t="n"/>
      <c r="E7" s="688" t="n"/>
      <c r="F7" s="688" t="n"/>
      <c r="G7" s="45" t="inlineStr">
        <is>
          <t>Actual Cost</t>
        </is>
      </c>
      <c r="H7" s="697" t="n">
        <v>1023278.8</v>
      </c>
      <c r="I7" s="698" t="n">
        <v>226605.71</v>
      </c>
      <c r="J7" s="698" t="n">
        <v>57712.21</v>
      </c>
      <c r="K7" s="698" t="n">
        <v>45772.4</v>
      </c>
      <c r="L7" s="698" t="n">
        <v>39782.22</v>
      </c>
      <c r="M7" s="698" t="n">
        <v>34548.56</v>
      </c>
      <c r="N7" s="698" t="n">
        <v>29486.72</v>
      </c>
      <c r="O7" s="698" t="n">
        <v>14020.55</v>
      </c>
      <c r="P7" s="698" t="n">
        <v>30007.64</v>
      </c>
      <c r="Q7" s="698" t="n">
        <v>8977.48</v>
      </c>
      <c r="R7" s="698" t="n">
        <v>30690.56</v>
      </c>
      <c r="S7" s="698" t="n">
        <v>36831.85</v>
      </c>
      <c r="T7" s="698" t="n">
        <v>39363.39</v>
      </c>
      <c r="U7" s="698" t="n">
        <v>20480.65</v>
      </c>
      <c r="V7" s="698" t="n">
        <v>21256.85</v>
      </c>
      <c r="W7" s="698" t="n">
        <v>31309.91</v>
      </c>
      <c r="X7" s="698" t="n">
        <v>68992.88</v>
      </c>
      <c r="Y7" s="698" t="n">
        <v>41553.88</v>
      </c>
      <c r="Z7" s="698" t="n">
        <v>65724.60000000001</v>
      </c>
      <c r="AA7" s="698" t="n">
        <v>70103</v>
      </c>
      <c r="AB7" s="698" t="n">
        <v>73793.16</v>
      </c>
      <c r="AC7" s="698" t="n">
        <v>36264.88</v>
      </c>
      <c r="AD7" s="698" t="n">
        <v>77093.60000000001</v>
      </c>
      <c r="AE7" s="698" t="n">
        <v>77157.78</v>
      </c>
      <c r="AF7" s="698" t="n">
        <v>77375.47</v>
      </c>
      <c r="AG7" s="698" t="n">
        <v>78828.98</v>
      </c>
      <c r="AH7" s="698" t="n">
        <v>73145.77</v>
      </c>
      <c r="AI7" s="698" t="n">
        <v>79857.58</v>
      </c>
      <c r="AJ7" s="698" t="n">
        <v>107785.37</v>
      </c>
      <c r="AK7" s="698" t="n">
        <v>85294.45</v>
      </c>
      <c r="AL7" s="698" t="n">
        <v>85384.56</v>
      </c>
      <c r="AM7" s="698" t="n">
        <v>98537.17999999999</v>
      </c>
      <c r="AN7" s="698" t="n">
        <v>122173</v>
      </c>
      <c r="AO7" s="698" t="n">
        <v>42929.12</v>
      </c>
      <c r="AP7" s="698" t="n">
        <v>0</v>
      </c>
      <c r="AQ7" s="698" t="n">
        <v>0</v>
      </c>
      <c r="AR7" s="698" t="n">
        <v>0</v>
      </c>
      <c r="AS7" s="698" t="n">
        <v>0</v>
      </c>
      <c r="AT7" s="698" t="n">
        <v>0</v>
      </c>
      <c r="AU7" s="698" t="n">
        <v>0</v>
      </c>
      <c r="AV7" s="698" t="n">
        <v>0</v>
      </c>
      <c r="AW7" s="698" t="n">
        <v>0</v>
      </c>
      <c r="AX7" s="698" t="n">
        <v>0</v>
      </c>
      <c r="AY7" s="698" t="n">
        <v>0</v>
      </c>
      <c r="AZ7" s="698" t="n">
        <v>0</v>
      </c>
      <c r="BA7" s="698" t="n">
        <v>0</v>
      </c>
    </row>
    <row r="8">
      <c r="A8" s="688" t="n"/>
      <c r="B8" s="688" t="n"/>
      <c r="C8" s="688" t="n"/>
      <c r="D8" s="688" t="n"/>
      <c r="E8" s="688" t="n"/>
      <c r="F8" s="688" t="n"/>
      <c r="G8" s="45" t="inlineStr">
        <is>
          <t>Delta Cost</t>
        </is>
      </c>
      <c r="H8" s="697" t="n">
        <v>-44224.07</v>
      </c>
      <c r="I8" s="698" t="n">
        <v>0</v>
      </c>
      <c r="J8" s="698" t="n">
        <v>-5943.2</v>
      </c>
      <c r="K8" s="698" t="n">
        <v>-2803.5</v>
      </c>
      <c r="L8" s="698" t="n">
        <v>-3421.04</v>
      </c>
      <c r="M8" s="698" t="n">
        <v>453.09</v>
      </c>
      <c r="N8" s="698" t="n">
        <v>-45.73</v>
      </c>
      <c r="O8" s="698" t="n">
        <v>776.3</v>
      </c>
      <c r="P8" s="698" t="n">
        <v>-482.07</v>
      </c>
      <c r="Q8" s="698" t="n">
        <v>-2453.26</v>
      </c>
      <c r="R8" s="698" t="n">
        <v>197.66</v>
      </c>
      <c r="S8" s="698" t="n">
        <v>1930.98</v>
      </c>
      <c r="T8" s="698" t="n">
        <v>-1955.03</v>
      </c>
      <c r="U8" s="698" t="n">
        <v>-4545.47</v>
      </c>
      <c r="V8" s="698" t="n">
        <v>20.8</v>
      </c>
      <c r="W8" s="698" t="n">
        <v>2573.24</v>
      </c>
      <c r="X8" s="698" t="n">
        <v>-17567.65</v>
      </c>
      <c r="Y8" s="698" t="n">
        <v>-1475.53</v>
      </c>
      <c r="Z8" s="698" t="n">
        <v>-1922.24</v>
      </c>
      <c r="AA8" s="698" t="n">
        <v>-2264.23</v>
      </c>
      <c r="AB8" s="698" t="n">
        <v>-3619.93</v>
      </c>
      <c r="AC8" s="698" t="n">
        <v>-1677.29</v>
      </c>
      <c r="AD8" s="698" t="n">
        <v>-14491.26</v>
      </c>
      <c r="AE8" s="698" t="n">
        <v>-3949.63</v>
      </c>
      <c r="AF8" s="698" t="n">
        <v>-2583.06</v>
      </c>
      <c r="AG8" s="698" t="n">
        <v>-12130.63</v>
      </c>
      <c r="AH8" s="698" t="n">
        <v>-1.37</v>
      </c>
      <c r="AI8" s="698" t="n">
        <v>4761.58</v>
      </c>
      <c r="AJ8" s="698" t="n">
        <v>14089.39</v>
      </c>
      <c r="AK8" s="698" t="n">
        <v>1777.08</v>
      </c>
      <c r="AL8" s="698" t="n">
        <v>-2388.83</v>
      </c>
      <c r="AM8" s="698" t="n">
        <v>-10141.85</v>
      </c>
      <c r="AN8" s="698" t="n">
        <v>-2447.82</v>
      </c>
      <c r="AO8" s="698" t="n">
        <v>1661.92</v>
      </c>
      <c r="AP8" s="698" t="n">
        <v>1553.43</v>
      </c>
      <c r="AQ8" s="698" t="n">
        <v>1553.43</v>
      </c>
      <c r="AR8" s="698" t="n">
        <v>1553.43</v>
      </c>
      <c r="AS8" s="698" t="n">
        <v>1553.43</v>
      </c>
      <c r="AT8" s="698" t="n">
        <v>1553.43</v>
      </c>
      <c r="AU8" s="698" t="n">
        <v>1553.43</v>
      </c>
      <c r="AV8" s="698" t="n">
        <v>1553.43</v>
      </c>
      <c r="AW8" s="698" t="n">
        <v>1553.43</v>
      </c>
      <c r="AX8" s="698" t="n">
        <v>1553.43</v>
      </c>
      <c r="AY8" s="698" t="n">
        <v>1553.43</v>
      </c>
      <c r="AZ8" s="698" t="n">
        <v>1553.43</v>
      </c>
      <c r="BA8" s="698" t="n">
        <v>1553.43</v>
      </c>
    </row>
    <row r="9" ht="15" customHeight="1" s="564" thickBot="1">
      <c r="B9" s="1" t="inlineStr">
        <is>
          <t>Client</t>
        </is>
      </c>
      <c r="C9" s="1" t="inlineStr">
        <is>
          <t>SG</t>
        </is>
      </c>
      <c r="D9" s="1" t="inlineStr">
        <is>
          <t>Contract</t>
        </is>
      </c>
      <c r="E9" s="1" t="inlineStr">
        <is>
          <t>WBS</t>
        </is>
      </c>
      <c r="F9" s="1" t="inlineStr">
        <is>
          <t>Description</t>
        </is>
      </c>
      <c r="G9" s="1" t="inlineStr">
        <is>
          <t>Cost Type</t>
        </is>
      </c>
      <c r="H9" s="1" t="inlineStr">
        <is>
          <t>Amount</t>
        </is>
      </c>
      <c r="I9" s="4" t="inlineStr">
        <is>
          <t>Before 2024</t>
        </is>
      </c>
      <c r="J9" s="4" t="n">
        <v>45292</v>
      </c>
      <c r="K9" s="8" t="n">
        <v>45323</v>
      </c>
      <c r="L9" s="4" t="n">
        <v>45352</v>
      </c>
      <c r="M9" s="4" t="n">
        <v>45383</v>
      </c>
      <c r="N9" s="4" t="n">
        <v>45413</v>
      </c>
      <c r="O9" s="4" t="n">
        <v>45444</v>
      </c>
      <c r="P9" s="4" t="n">
        <v>45474</v>
      </c>
      <c r="Q9" s="8" t="n">
        <v>45505</v>
      </c>
      <c r="R9" s="4" t="n">
        <v>45536</v>
      </c>
      <c r="S9" s="4" t="n">
        <v>45566</v>
      </c>
      <c r="T9" s="4" t="n">
        <v>45597</v>
      </c>
      <c r="U9" s="4" t="n">
        <v>45627</v>
      </c>
      <c r="V9" s="4" t="n">
        <v>45658</v>
      </c>
      <c r="W9" s="8" t="n">
        <v>45689</v>
      </c>
      <c r="X9" s="4" t="n">
        <v>45717</v>
      </c>
      <c r="Y9" s="8" t="n">
        <v>45748</v>
      </c>
      <c r="Z9" s="4" t="n">
        <v>45778</v>
      </c>
      <c r="AA9" s="8" t="n">
        <v>45809</v>
      </c>
      <c r="AB9" s="4" t="n">
        <v>45839</v>
      </c>
      <c r="AC9" s="8" t="n">
        <v>45870</v>
      </c>
      <c r="AD9" s="8" t="n">
        <v>45901</v>
      </c>
      <c r="AE9" s="8" t="n">
        <v>45931</v>
      </c>
      <c r="AF9" s="8" t="n">
        <v>45962</v>
      </c>
      <c r="AG9" s="8" t="n">
        <v>45992</v>
      </c>
      <c r="AH9" s="8" t="n">
        <v>46023</v>
      </c>
      <c r="AI9" s="8" t="n">
        <v>46054</v>
      </c>
      <c r="AJ9" s="8" t="n">
        <v>46082</v>
      </c>
      <c r="AK9" s="8" t="n">
        <v>46113</v>
      </c>
      <c r="AL9" s="8" t="n">
        <v>46143</v>
      </c>
      <c r="AM9" s="8" t="n">
        <v>46174</v>
      </c>
      <c r="AN9" s="8" t="n">
        <v>46204</v>
      </c>
      <c r="AO9" s="8" t="n">
        <v>46235</v>
      </c>
      <c r="AP9" s="8" t="n">
        <v>46266</v>
      </c>
      <c r="AQ9" s="8" t="n">
        <v>46296</v>
      </c>
      <c r="AR9" s="8" t="n">
        <v>46327</v>
      </c>
      <c r="AS9" s="8" t="n">
        <v>46357</v>
      </c>
      <c r="AT9" s="8" t="n">
        <v>46388</v>
      </c>
      <c r="AU9" s="8" t="n">
        <v>46419</v>
      </c>
      <c r="AV9" s="8" t="n">
        <v>46447</v>
      </c>
      <c r="AW9" s="8" t="n">
        <v>46478</v>
      </c>
      <c r="AX9" s="8" t="n">
        <v>46508</v>
      </c>
      <c r="AY9" s="8" t="n">
        <v>46539</v>
      </c>
      <c r="AZ9" s="8" t="n">
        <v>46569</v>
      </c>
      <c r="BA9" s="8" t="n">
        <v>46600</v>
      </c>
    </row>
    <row r="10">
      <c r="B10" s="38" t="inlineStr">
        <is>
          <t>BetaCredit</t>
        </is>
      </c>
      <c r="C10" s="36" t="inlineStr">
        <is>
          <t>IMS</t>
        </is>
      </c>
      <c r="D10" s="36" t="n">
        <v>9915583648</v>
      </c>
      <c r="E10" s="35" t="inlineStr">
        <is>
          <t>BJRYD001</t>
        </is>
      </c>
      <c r="F10" s="35" t="inlineStr">
        <is>
          <t>CHG Accenture Italia</t>
        </is>
      </c>
      <c r="G10" s="50" t="inlineStr">
        <is>
          <t>Forecast Revenues</t>
        </is>
      </c>
      <c r="H10" s="700" t="n">
        <v>1153906.23</v>
      </c>
      <c r="I10" s="701" t="n">
        <v>82805.46000000001</v>
      </c>
      <c r="J10" s="702" t="n">
        <v>18085.67</v>
      </c>
      <c r="K10" s="702" t="n">
        <v>28085.13</v>
      </c>
      <c r="L10" s="702" t="n">
        <v>42564.96</v>
      </c>
      <c r="M10" s="702" t="n">
        <v>24627.28</v>
      </c>
      <c r="N10" s="702" t="n">
        <v>24627.28</v>
      </c>
      <c r="O10" s="703" t="n">
        <v>8695.040000000001</v>
      </c>
      <c r="P10" s="703" t="n">
        <v>33910.78</v>
      </c>
      <c r="Q10" s="703" t="n">
        <v>8695.040000000001</v>
      </c>
      <c r="R10" s="703" t="n">
        <v>42062.22</v>
      </c>
      <c r="S10" s="702" t="n">
        <v>9021.09</v>
      </c>
      <c r="T10" s="702" t="n">
        <v>20651</v>
      </c>
      <c r="U10" s="702" t="n">
        <v>0</v>
      </c>
      <c r="V10" s="701" t="n">
        <v>17940.82</v>
      </c>
      <c r="W10" s="701" t="n">
        <v>17926.18</v>
      </c>
      <c r="X10" s="704" t="n">
        <v>49284.44</v>
      </c>
      <c r="Y10" s="705" t="n">
        <v>49284.44</v>
      </c>
      <c r="Z10" s="706" t="n">
        <v>94751.63</v>
      </c>
      <c r="AA10" s="706" t="n">
        <v>91161.17</v>
      </c>
      <c r="AB10" s="701" t="n">
        <v>19430.12</v>
      </c>
      <c r="AC10" s="704" t="n">
        <v>0</v>
      </c>
      <c r="AD10" s="705" t="n">
        <v>6521.28</v>
      </c>
      <c r="AE10" s="701" t="n">
        <v>25040.13</v>
      </c>
      <c r="AF10" s="707" t="n">
        <v>30913.35</v>
      </c>
      <c r="AG10" s="708" t="n">
        <v>54933.36</v>
      </c>
      <c r="AH10" s="709" t="n">
        <v>23557.81</v>
      </c>
      <c r="AI10" s="710" t="n">
        <v>43352.87</v>
      </c>
      <c r="AJ10" s="708" t="n">
        <v>22923.83</v>
      </c>
      <c r="AK10" s="711" t="n">
        <v>87811.21000000001</v>
      </c>
      <c r="AL10" s="712" t="n">
        <v>71835.75999999999</v>
      </c>
      <c r="AM10" s="713" t="n">
        <v>8377.540000000001</v>
      </c>
      <c r="AN10" s="701" t="n">
        <v>0</v>
      </c>
      <c r="AO10" s="714" t="n">
        <v>95029.92</v>
      </c>
      <c r="AP10" s="345" t="n"/>
      <c r="AQ10" s="346" t="n"/>
      <c r="AR10" s="347" t="n"/>
      <c r="AS10" s="345" t="n"/>
      <c r="AT10" s="346" t="n"/>
      <c r="AU10" s="347" t="n"/>
      <c r="AV10" s="345" t="n"/>
      <c r="AW10" s="346" t="n"/>
      <c r="AX10" s="347" t="n"/>
      <c r="AY10" s="355" t="n"/>
      <c r="AZ10" s="346" t="n"/>
      <c r="BA10" s="347" t="n"/>
    </row>
    <row r="11" ht="15" customHeight="1" s="564" thickBot="1">
      <c r="B11" s="715" t="n"/>
      <c r="C11" s="716" t="n"/>
      <c r="D11" s="716" t="n"/>
      <c r="E11" s="716" t="n"/>
      <c r="F11" s="716" t="n"/>
      <c r="G11" s="45" t="inlineStr">
        <is>
          <t>Forecast Costs</t>
        </is>
      </c>
      <c r="H11" s="717" t="n">
        <v>820072.88</v>
      </c>
      <c r="I11" s="706" t="n">
        <v>55124.63</v>
      </c>
      <c r="J11" s="718" t="n">
        <v>16046.58</v>
      </c>
      <c r="K11" s="718" t="n">
        <v>19191.41</v>
      </c>
      <c r="L11" s="718" t="n">
        <v>21565.61</v>
      </c>
      <c r="M11" s="718" t="n">
        <v>16575.83</v>
      </c>
      <c r="N11" s="718" t="n">
        <v>24787.16</v>
      </c>
      <c r="O11" s="718" t="n">
        <v>6378.63</v>
      </c>
      <c r="P11" s="718" t="n">
        <v>22549.14</v>
      </c>
      <c r="Q11" s="718" t="n">
        <v>6524.22</v>
      </c>
      <c r="R11" s="718" t="n">
        <v>21074.81</v>
      </c>
      <c r="S11" s="718" t="n">
        <v>5831.36</v>
      </c>
      <c r="T11" s="718" t="n">
        <v>11235.1</v>
      </c>
      <c r="U11" s="718" t="n">
        <v>0</v>
      </c>
      <c r="V11" s="706" t="n">
        <v>7925.26</v>
      </c>
      <c r="W11" s="706" t="n">
        <v>11072.36</v>
      </c>
      <c r="X11" s="719" t="n">
        <v>22263.27</v>
      </c>
      <c r="Y11" s="713" t="n">
        <v>40078.35</v>
      </c>
      <c r="Z11" s="706" t="n">
        <v>52122.01</v>
      </c>
      <c r="AA11" s="706" t="n">
        <v>62920.35</v>
      </c>
      <c r="AB11" s="706" t="n">
        <v>14001.72</v>
      </c>
      <c r="AC11" s="719" t="n">
        <v>814</v>
      </c>
      <c r="AD11" s="713" t="n">
        <v>3954.1</v>
      </c>
      <c r="AE11" s="706" t="n">
        <v>9962.959999999999</v>
      </c>
      <c r="AF11" s="720" t="n">
        <v>20959.44</v>
      </c>
      <c r="AG11" s="721" t="n">
        <v>36859.71</v>
      </c>
      <c r="AH11" s="722" t="n">
        <v>18594.05</v>
      </c>
      <c r="AI11" s="723" t="n">
        <v>27012.8</v>
      </c>
      <c r="AJ11" s="724" t="n">
        <v>33451.66</v>
      </c>
      <c r="AK11" s="725" t="n">
        <v>35803</v>
      </c>
      <c r="AL11" s="726" t="n">
        <v>49219.87</v>
      </c>
      <c r="AM11" s="713" t="n">
        <v>18119.44</v>
      </c>
      <c r="AN11" s="706" t="n">
        <v>86437.44</v>
      </c>
      <c r="AO11" s="727" t="n">
        <v>41617.1</v>
      </c>
      <c r="AP11" s="728" t="n">
        <v>0</v>
      </c>
      <c r="AQ11" s="727" t="n">
        <v>0</v>
      </c>
      <c r="AR11" s="729" t="n">
        <v>0</v>
      </c>
      <c r="AS11" s="728" t="n">
        <v>0</v>
      </c>
      <c r="AT11" s="727" t="n">
        <v>0</v>
      </c>
      <c r="AU11" s="729" t="n">
        <v>0</v>
      </c>
      <c r="AV11" s="728" t="n">
        <v>0</v>
      </c>
      <c r="AW11" s="727" t="n">
        <v>0</v>
      </c>
      <c r="AX11" s="729" t="n">
        <v>0</v>
      </c>
      <c r="AY11" s="730" t="n">
        <v>0</v>
      </c>
      <c r="AZ11" s="727" t="n">
        <v>0</v>
      </c>
      <c r="BA11" s="729" t="n">
        <v>0</v>
      </c>
    </row>
    <row r="12">
      <c r="B12" s="715" t="n"/>
      <c r="C12" s="716" t="n"/>
      <c r="D12" s="716" t="n"/>
      <c r="E12" s="716" t="n"/>
      <c r="F12" s="716" t="n"/>
      <c r="G12" s="45" t="inlineStr">
        <is>
          <t>Actual Revenues</t>
        </is>
      </c>
      <c r="H12" s="717" t="n">
        <v>1058876.58</v>
      </c>
      <c r="I12" s="706" t="n">
        <v>82805.46000000001</v>
      </c>
      <c r="J12" s="718" t="n">
        <v>18085.67</v>
      </c>
      <c r="K12" s="718" t="n">
        <v>28084.96</v>
      </c>
      <c r="L12" s="718" t="n">
        <v>42564.95</v>
      </c>
      <c r="M12" s="718" t="n">
        <v>24627.27</v>
      </c>
      <c r="N12" s="718" t="n">
        <v>24627.28</v>
      </c>
      <c r="O12" s="731" t="n">
        <v>8695.040000000001</v>
      </c>
      <c r="P12" s="718" t="n">
        <v>33910.78</v>
      </c>
      <c r="Q12" s="718" t="n">
        <v>8695.040000000001</v>
      </c>
      <c r="R12" s="731" t="n">
        <v>42062.22</v>
      </c>
      <c r="S12" s="718" t="n">
        <v>9021.09</v>
      </c>
      <c r="T12" s="718" t="n">
        <v>20651</v>
      </c>
      <c r="U12" s="718" t="n"/>
      <c r="V12" s="701" t="n">
        <v>17940.83</v>
      </c>
      <c r="W12" s="706" t="n">
        <v>17926.18</v>
      </c>
      <c r="X12" s="732" t="n">
        <v>49284.44</v>
      </c>
      <c r="Y12" s="713" t="n">
        <v>49284.44</v>
      </c>
      <c r="Z12" s="706" t="n">
        <v>94751.63</v>
      </c>
      <c r="AA12" s="706" t="n">
        <v>91161.17</v>
      </c>
      <c r="AB12" s="706" t="n">
        <v>19430.12</v>
      </c>
      <c r="AC12" s="719" t="n"/>
      <c r="AD12" s="713" t="n">
        <v>6521.28</v>
      </c>
      <c r="AE12" s="706" t="n">
        <v>25040.13</v>
      </c>
      <c r="AF12" s="720" t="n">
        <v>30913.35</v>
      </c>
      <c r="AG12" s="733" t="n">
        <v>54933.36</v>
      </c>
      <c r="AH12" s="722" t="n">
        <v>23557.81</v>
      </c>
      <c r="AI12" s="723" t="n">
        <v>43352.87</v>
      </c>
      <c r="AJ12" s="724" t="n">
        <v>22923.83</v>
      </c>
      <c r="AK12" s="725" t="n">
        <v>87811.21000000001</v>
      </c>
      <c r="AL12" s="726" t="n">
        <v>71835.75999999999</v>
      </c>
      <c r="AM12" s="713" t="n">
        <v>8377.540000000001</v>
      </c>
      <c r="AN12" s="706" t="n">
        <v>0</v>
      </c>
      <c r="AO12" s="727" t="n"/>
      <c r="AP12" s="728" t="n"/>
      <c r="AQ12" s="727" t="n"/>
      <c r="AR12" s="729" t="n"/>
      <c r="AS12" s="728" t="n"/>
      <c r="AT12" s="727" t="n"/>
      <c r="AU12" s="729" t="n"/>
      <c r="AV12" s="728" t="n"/>
      <c r="AW12" s="727" t="n"/>
      <c r="AX12" s="729" t="n"/>
      <c r="AY12" s="730" t="n"/>
      <c r="AZ12" s="727" t="n"/>
      <c r="BA12" s="729" t="n"/>
    </row>
    <row r="13">
      <c r="B13" s="715" t="n"/>
      <c r="C13" s="716" t="n"/>
      <c r="D13" s="716" t="n"/>
      <c r="E13" s="716" t="n"/>
      <c r="F13" s="716" t="n"/>
      <c r="G13" s="45" t="inlineStr">
        <is>
          <t>Actual Cost</t>
        </is>
      </c>
      <c r="H13" s="717" t="n">
        <v>830702.08</v>
      </c>
      <c r="I13" s="706" t="n">
        <v>55124.63</v>
      </c>
      <c r="J13" s="718" t="n">
        <v>16319</v>
      </c>
      <c r="K13" s="718" t="n">
        <v>19367.86</v>
      </c>
      <c r="L13" s="718" t="n">
        <v>22270.27</v>
      </c>
      <c r="M13" s="718" t="n">
        <v>11878.38</v>
      </c>
      <c r="N13" s="718" t="n">
        <v>24832.89</v>
      </c>
      <c r="O13" s="718" t="n">
        <v>6691.57</v>
      </c>
      <c r="P13" s="718" t="n">
        <v>22549.14</v>
      </c>
      <c r="Q13" s="718" t="n">
        <v>8000.28</v>
      </c>
      <c r="R13" s="718" t="n">
        <v>21083.06</v>
      </c>
      <c r="S13" s="718" t="n">
        <v>6274.7</v>
      </c>
      <c r="T13" s="718" t="n">
        <v>13190.13</v>
      </c>
      <c r="U13" s="718" t="n">
        <v>830.27</v>
      </c>
      <c r="V13" s="706" t="n">
        <v>8599.959999999999</v>
      </c>
      <c r="W13" s="706" t="n">
        <v>8779.98</v>
      </c>
      <c r="X13" s="165" t="n">
        <v>41349.32</v>
      </c>
      <c r="Y13" s="713" t="n">
        <v>41349.32</v>
      </c>
      <c r="Z13" s="706" t="n">
        <v>53808.8</v>
      </c>
      <c r="AA13" s="706" t="n">
        <v>60596.08</v>
      </c>
      <c r="AB13" s="706" t="n">
        <v>19107.49</v>
      </c>
      <c r="AC13" s="719" t="n">
        <v>2791.1</v>
      </c>
      <c r="AD13" s="713" t="n">
        <v>3597.13</v>
      </c>
      <c r="AE13" s="706" t="n">
        <v>12022.76</v>
      </c>
      <c r="AF13" s="720" t="n">
        <v>20469.75</v>
      </c>
      <c r="AG13" s="733" t="n">
        <v>38241.73</v>
      </c>
      <c r="AH13" s="722" t="n">
        <v>16600.4</v>
      </c>
      <c r="AI13" s="723" t="n">
        <v>26025.22</v>
      </c>
      <c r="AJ13" s="733" t="n">
        <v>31652.15</v>
      </c>
      <c r="AK13" s="734" t="n">
        <v>31405.83</v>
      </c>
      <c r="AL13" s="721" t="n">
        <v>50466.33</v>
      </c>
      <c r="AM13" s="713" t="n">
        <v>19033.5</v>
      </c>
      <c r="AN13" s="706" t="n">
        <v>86437.44</v>
      </c>
      <c r="AO13" s="727" t="n">
        <v>41617.1</v>
      </c>
      <c r="AP13" s="728" t="n"/>
      <c r="AQ13" s="727" t="n">
        <v>0</v>
      </c>
      <c r="AR13" s="729" t="n">
        <v>0</v>
      </c>
      <c r="AS13" s="728" t="n">
        <v>0</v>
      </c>
      <c r="AT13" s="727" t="n">
        <v>0</v>
      </c>
      <c r="AU13" s="729" t="n">
        <v>0</v>
      </c>
      <c r="AV13" s="728" t="n">
        <v>0</v>
      </c>
      <c r="AW13" s="727" t="n">
        <v>0</v>
      </c>
      <c r="AX13" s="729" t="n">
        <v>0</v>
      </c>
      <c r="AY13" s="730" t="n">
        <v>0</v>
      </c>
      <c r="AZ13" s="727" t="n">
        <v>0</v>
      </c>
      <c r="BA13" s="729" t="n">
        <v>0</v>
      </c>
    </row>
    <row r="14">
      <c r="B14" s="715" t="n"/>
      <c r="C14" s="716" t="n"/>
      <c r="D14" s="716" t="n"/>
      <c r="E14" s="716" t="n"/>
      <c r="F14" s="716" t="n"/>
      <c r="G14" s="45" t="inlineStr">
        <is>
          <t>Forecast CCI %</t>
        </is>
      </c>
      <c r="H14" s="735" t="n">
        <v>0.2893071740629985</v>
      </c>
      <c r="I14" s="736" t="n">
        <v>0.3342875007701635</v>
      </c>
      <c r="J14" s="737" t="n">
        <v>0.1127462492902602</v>
      </c>
      <c r="K14" s="737" t="n">
        <v>0.3166702109844493</v>
      </c>
      <c r="L14" s="737" t="n">
        <v>0.4933481653163291</v>
      </c>
      <c r="M14" s="737" t="n">
        <v>0.3269320487150513</v>
      </c>
      <c r="N14" s="737" t="n">
        <v>-0.006492080169696409</v>
      </c>
      <c r="O14" s="737" t="n">
        <v>0.2664049486234068</v>
      </c>
      <c r="P14" s="737" t="n">
        <v>0.3350452551661916</v>
      </c>
      <c r="Q14" s="737" t="n">
        <v>0.249661232663909</v>
      </c>
      <c r="R14" s="737" t="n">
        <v>0.498961165382858</v>
      </c>
      <c r="S14" s="737" t="n">
        <v>0.3535858927524467</v>
      </c>
      <c r="T14" s="737" t="n">
        <v>0.4559508254856378</v>
      </c>
      <c r="U14" s="737" t="n">
        <v>0</v>
      </c>
      <c r="V14" s="736" t="n">
        <v>0.5582553422122644</v>
      </c>
      <c r="W14" s="736" t="n">
        <v>0.3823357257033503</v>
      </c>
      <c r="X14" s="738" t="n">
        <v>0.5482697326262805</v>
      </c>
      <c r="Y14" s="739" t="n">
        <v>0.1867949763335408</v>
      </c>
      <c r="Z14" s="736" t="n">
        <v>0.4499090882976448</v>
      </c>
      <c r="AA14" s="736" t="n">
        <v>0.3097900210656859</v>
      </c>
      <c r="AB14" s="736" t="n">
        <v>0.2793806220531307</v>
      </c>
      <c r="AC14" s="738" t="n">
        <v>0</v>
      </c>
      <c r="AD14" s="739" t="n">
        <v>0.3936623681271719</v>
      </c>
      <c r="AE14" s="736" t="n">
        <v>0.6021204185334172</v>
      </c>
      <c r="AF14" s="740" t="n">
        <v>0.3219938148655381</v>
      </c>
      <c r="AG14" s="741" t="n">
        <v>0.3290105047238522</v>
      </c>
      <c r="AH14" s="742" t="n">
        <v>0.2107055013096054</v>
      </c>
      <c r="AI14" s="743" t="n">
        <v>0.3769085351009944</v>
      </c>
      <c r="AJ14" s="741" t="n">
        <v>-0.4592526570387838</v>
      </c>
      <c r="AK14" s="744" t="n">
        <v>0.5922752846080677</v>
      </c>
      <c r="AL14" s="745" t="n">
        <v>0.3148277270160627</v>
      </c>
      <c r="AM14" s="739" t="n">
        <v>-0.95</v>
      </c>
      <c r="AN14" s="736" t="n">
        <v>0</v>
      </c>
      <c r="AO14" s="746" t="n">
        <v>0.5620632085202328</v>
      </c>
      <c r="AP14" s="747" t="n">
        <v>0</v>
      </c>
      <c r="AQ14" s="746" t="n">
        <v>0</v>
      </c>
      <c r="AR14" s="748" t="n">
        <v>0</v>
      </c>
      <c r="AS14" s="747" t="n">
        <v>0</v>
      </c>
      <c r="AT14" s="746" t="n">
        <v>0</v>
      </c>
      <c r="AU14" s="748" t="n">
        <v>0</v>
      </c>
      <c r="AV14" s="747" t="n">
        <v>0</v>
      </c>
      <c r="AW14" s="746" t="n">
        <v>0</v>
      </c>
      <c r="AX14" s="748" t="n">
        <v>0</v>
      </c>
      <c r="AY14" s="749" t="n">
        <v>0</v>
      </c>
      <c r="AZ14" s="746" t="n">
        <v>0</v>
      </c>
      <c r="BA14" s="748" t="n">
        <v>0</v>
      </c>
    </row>
    <row r="15">
      <c r="B15" s="715" t="n"/>
      <c r="C15" s="716" t="n"/>
      <c r="D15" s="716" t="n"/>
      <c r="E15" s="716" t="n"/>
      <c r="F15" s="716" t="n"/>
      <c r="G15" s="45" t="inlineStr">
        <is>
          <t>Actual CCI%</t>
        </is>
      </c>
      <c r="H15" s="735" t="n">
        <v>0.2154873416592886</v>
      </c>
      <c r="I15" s="736" t="n">
        <v>0.3342875007701635</v>
      </c>
      <c r="J15" s="737" t="n">
        <v>0.09768357174286864</v>
      </c>
      <c r="K15" s="737" t="n">
        <v>0.3103833014680808</v>
      </c>
      <c r="L15" s="737" t="n">
        <v>0.4767932247468332</v>
      </c>
      <c r="M15" s="737" t="n">
        <v>0.5176735845983205</v>
      </c>
      <c r="N15" s="737" t="n">
        <v>-0.00834899457473459</v>
      </c>
      <c r="O15" s="737" t="n">
        <v>0.2304151305939251</v>
      </c>
      <c r="P15" s="737" t="n">
        <v>0.3350452551661916</v>
      </c>
      <c r="Q15" s="737" t="n">
        <v>0.07990230024892846</v>
      </c>
      <c r="R15" s="737" t="n">
        <v>0.4987650055501239</v>
      </c>
      <c r="S15" s="737" t="n">
        <v>0.3044405363116006</v>
      </c>
      <c r="T15" s="737" t="n">
        <v>0.3612804287008943</v>
      </c>
      <c r="U15" s="737" t="n">
        <v>0</v>
      </c>
      <c r="V15" s="736" t="n">
        <v>0.5206484989537816</v>
      </c>
      <c r="W15" s="736" t="n">
        <v>0.510214836688575</v>
      </c>
      <c r="X15" s="738" t="n">
        <v>0.1610065081473089</v>
      </c>
      <c r="Y15" s="739" t="n">
        <v>0.1610065081473089</v>
      </c>
      <c r="Z15" s="736" t="n">
        <v>0.432106831523322</v>
      </c>
      <c r="AA15" s="736" t="n">
        <v>0.3352862714753313</v>
      </c>
      <c r="AB15" s="736" t="n">
        <v>0.01660481804477727</v>
      </c>
      <c r="AC15" s="738" t="n">
        <v>0</v>
      </c>
      <c r="AD15" s="739" t="n">
        <v>0.4484006812779577</v>
      </c>
      <c r="AE15" s="736" t="n">
        <v>0.519860319882547</v>
      </c>
      <c r="AF15" s="740" t="n">
        <v>0.3378347396718546</v>
      </c>
      <c r="AG15" s="741" t="n">
        <v>0.3038523739538306</v>
      </c>
      <c r="AH15" s="742" t="n">
        <v>0.2953335357410176</v>
      </c>
      <c r="AI15" s="743" t="n">
        <v>0.3996886935470824</v>
      </c>
      <c r="AJ15" s="741" t="n">
        <v>-0.3807528945057459</v>
      </c>
      <c r="AK15" s="744" t="n">
        <v>0.6423483275641831</v>
      </c>
      <c r="AL15" s="745" t="n">
        <v>0.2974761236185738</v>
      </c>
      <c r="AM15" s="739" t="n">
        <v>-1.04</v>
      </c>
      <c r="AN15" s="736" t="n">
        <v>0</v>
      </c>
      <c r="AO15" s="746" t="n">
        <v>0</v>
      </c>
      <c r="AP15" s="747" t="n">
        <v>0</v>
      </c>
      <c r="AQ15" s="746" t="n">
        <v>0</v>
      </c>
      <c r="AR15" s="748" t="n">
        <v>0</v>
      </c>
      <c r="AS15" s="747" t="n">
        <v>0</v>
      </c>
      <c r="AT15" s="746" t="n">
        <v>0</v>
      </c>
      <c r="AU15" s="748" t="n">
        <v>0</v>
      </c>
      <c r="AV15" s="747" t="n">
        <v>0</v>
      </c>
      <c r="AW15" s="746" t="n">
        <v>0</v>
      </c>
      <c r="AX15" s="748" t="n">
        <v>0</v>
      </c>
      <c r="AY15" s="749" t="n">
        <v>0</v>
      </c>
      <c r="AZ15" s="746" t="n">
        <v>0</v>
      </c>
      <c r="BA15" s="748" t="n">
        <v>0</v>
      </c>
    </row>
    <row r="16" ht="15" customHeight="1" s="564" thickBot="1">
      <c r="B16" s="750" t="n"/>
      <c r="C16" s="751" t="n"/>
      <c r="D16" s="751" t="n"/>
      <c r="E16" s="751" t="n"/>
      <c r="F16" s="751" t="n"/>
      <c r="G16" s="229" t="inlineStr">
        <is>
          <t>Delta Cost</t>
        </is>
      </c>
      <c r="H16" s="752" t="n">
        <v>-10629.2</v>
      </c>
      <c r="I16" s="753" t="n">
        <v>0</v>
      </c>
      <c r="J16" s="754" t="n">
        <v>-272.42</v>
      </c>
      <c r="K16" s="754" t="n">
        <v>-176.45</v>
      </c>
      <c r="L16" s="754" t="n">
        <v>-704.66</v>
      </c>
      <c r="M16" s="754" t="n">
        <v>4697.45</v>
      </c>
      <c r="N16" s="754" t="n">
        <v>-45.73</v>
      </c>
      <c r="O16" s="754" t="n">
        <v>-312.93</v>
      </c>
      <c r="P16" s="754" t="n">
        <v>0</v>
      </c>
      <c r="Q16" s="754" t="n">
        <v>-1476.06</v>
      </c>
      <c r="R16" s="754" t="n">
        <v>-8.25</v>
      </c>
      <c r="S16" s="754" t="n">
        <v>-443.34</v>
      </c>
      <c r="T16" s="754" t="n">
        <v>-1955.03</v>
      </c>
      <c r="U16" s="754" t="n">
        <v>-830.27</v>
      </c>
      <c r="V16" s="755" t="n">
        <v>-674.7</v>
      </c>
      <c r="W16" s="755" t="n">
        <v>2292.38</v>
      </c>
      <c r="X16" s="756" t="n">
        <v>-19086.05</v>
      </c>
      <c r="Y16" s="757" t="n">
        <v>-1270.97</v>
      </c>
      <c r="Z16" s="755" t="n">
        <v>-1686.79</v>
      </c>
      <c r="AA16" s="755" t="n">
        <v>2324.27</v>
      </c>
      <c r="AB16" s="755" t="n">
        <v>-5105.77</v>
      </c>
      <c r="AC16" s="756" t="n">
        <v>-1977.4</v>
      </c>
      <c r="AD16" s="757" t="n">
        <v>356.96</v>
      </c>
      <c r="AE16" s="755" t="n">
        <v>-2059.8</v>
      </c>
      <c r="AF16" s="758" t="n">
        <v>489.7</v>
      </c>
      <c r="AG16" s="759" t="n">
        <v>-1382.02</v>
      </c>
      <c r="AH16" s="760" t="n">
        <v>1993.65</v>
      </c>
      <c r="AI16" s="761" t="n">
        <v>987.59</v>
      </c>
      <c r="AJ16" s="759" t="n">
        <v>1799.52</v>
      </c>
      <c r="AK16" s="762" t="n">
        <v>4396.97</v>
      </c>
      <c r="AL16" s="763" t="n">
        <v>-1246.47</v>
      </c>
      <c r="AM16" s="764" t="n">
        <v>-914.0599999999999</v>
      </c>
      <c r="AN16" s="753" t="n">
        <v>0</v>
      </c>
      <c r="AO16" s="765" t="n">
        <v>0</v>
      </c>
      <c r="AP16" s="766" t="n">
        <v>0</v>
      </c>
      <c r="AQ16" s="765" t="n">
        <v>0</v>
      </c>
      <c r="AR16" s="767" t="n">
        <v>0</v>
      </c>
      <c r="AS16" s="766" t="n">
        <v>0</v>
      </c>
      <c r="AT16" s="765" t="n">
        <v>0</v>
      </c>
      <c r="AU16" s="767" t="n">
        <v>0</v>
      </c>
      <c r="AV16" s="766" t="n">
        <v>0</v>
      </c>
      <c r="AW16" s="765" t="n">
        <v>0</v>
      </c>
      <c r="AX16" s="767" t="n">
        <v>0</v>
      </c>
      <c r="AY16" s="768" t="n">
        <v>0</v>
      </c>
      <c r="AZ16" s="765" t="n">
        <v>0</v>
      </c>
      <c r="BA16" s="767" t="n">
        <v>0</v>
      </c>
    </row>
    <row r="17">
      <c r="B17" s="38" t="inlineStr">
        <is>
          <t>AlphaBank</t>
        </is>
      </c>
      <c r="C17" s="36" t="inlineStr">
        <is>
          <t>IMS</t>
        </is>
      </c>
      <c r="D17" s="36" t="n">
        <v>9997412455</v>
      </c>
      <c r="E17" s="35" t="inlineStr">
        <is>
          <t>BGTY8001</t>
        </is>
      </c>
      <c r="F17" s="35" t="inlineStr">
        <is>
          <t>CHG Accenture Italia</t>
        </is>
      </c>
      <c r="G17" s="50" t="inlineStr">
        <is>
          <t>Forecast Revenues</t>
        </is>
      </c>
      <c r="H17" s="700" t="n">
        <v>1817547.21</v>
      </c>
      <c r="I17" s="701" t="n">
        <v>277570.82</v>
      </c>
      <c r="J17" s="702" t="n">
        <v>43076.13</v>
      </c>
      <c r="K17" s="702" t="n">
        <v>33814.6</v>
      </c>
      <c r="L17" s="702" t="n">
        <v>24050.21</v>
      </c>
      <c r="M17" s="702" t="n">
        <v>25733.86</v>
      </c>
      <c r="N17" s="702" t="n">
        <v>27248.97</v>
      </c>
      <c r="O17" s="702" t="n">
        <v>9652.35</v>
      </c>
      <c r="P17" s="702" t="n">
        <v>9652.35</v>
      </c>
      <c r="Q17" s="702" t="n">
        <v>0</v>
      </c>
      <c r="R17" s="702" t="n">
        <v>15533.8</v>
      </c>
      <c r="S17" s="702" t="n">
        <v>56999.95</v>
      </c>
      <c r="T17" s="702" t="n">
        <v>39046.88</v>
      </c>
      <c r="U17" s="702" t="n">
        <v>23513.13</v>
      </c>
      <c r="V17" s="701" t="n">
        <v>32762.06</v>
      </c>
      <c r="W17" s="701" t="n">
        <v>36485.89</v>
      </c>
      <c r="X17" s="704" t="n">
        <v>36485.88</v>
      </c>
      <c r="Y17" s="705" t="n"/>
      <c r="Z17" s="701" t="n">
        <v>13253.29</v>
      </c>
      <c r="AA17" s="704" t="n">
        <v>10580.63</v>
      </c>
      <c r="AB17" s="705" t="n">
        <v>37221.13</v>
      </c>
      <c r="AC17" s="769" t="n">
        <v>63398.3</v>
      </c>
      <c r="AD17" s="770" t="n">
        <v>108569.53</v>
      </c>
      <c r="AE17" s="701" t="n">
        <v>130382.41</v>
      </c>
      <c r="AF17" s="707" t="n">
        <v>90746.44</v>
      </c>
      <c r="AG17" s="708" t="n">
        <v>50871.94</v>
      </c>
      <c r="AH17" s="709" t="n">
        <v>92339.78</v>
      </c>
      <c r="AI17" s="771" t="n">
        <v>103898.21</v>
      </c>
      <c r="AJ17" s="772" t="n">
        <v>101814.97</v>
      </c>
      <c r="AK17" s="773" t="n">
        <v>84487.67999999999</v>
      </c>
      <c r="AL17" s="774" t="n">
        <v>66144.03999999999</v>
      </c>
      <c r="AM17" s="775" t="n">
        <v>80282.86</v>
      </c>
      <c r="AN17" s="776" t="n">
        <v>81348.48</v>
      </c>
      <c r="AO17" s="777" t="n">
        <v>10580.63</v>
      </c>
      <c r="AP17" s="778" t="n">
        <v>10580.63</v>
      </c>
      <c r="AQ17" s="777" t="n">
        <v>10580.63</v>
      </c>
      <c r="AR17" s="777" t="n">
        <v>10580.63</v>
      </c>
      <c r="AS17" s="778" t="n">
        <v>10580.63</v>
      </c>
      <c r="AT17" s="777" t="n">
        <v>10580.63</v>
      </c>
      <c r="AU17" s="779" t="n">
        <v>10580.63</v>
      </c>
      <c r="AV17" s="779" t="n">
        <v>10580.63</v>
      </c>
      <c r="AW17" s="779" t="n">
        <v>10580.63</v>
      </c>
      <c r="AX17" s="779" t="n">
        <v>10580.63</v>
      </c>
      <c r="AY17" s="779" t="n">
        <v>10580.63</v>
      </c>
      <c r="AZ17" s="779" t="n">
        <v>10580.63</v>
      </c>
      <c r="BA17" s="779" t="n">
        <v>10580.63</v>
      </c>
    </row>
    <row r="18">
      <c r="B18" s="715" t="n"/>
      <c r="C18" s="716" t="n"/>
      <c r="D18" s="716" t="n"/>
      <c r="E18" s="716" t="n"/>
      <c r="F18" s="716" t="n"/>
      <c r="G18" s="45" t="inlineStr">
        <is>
          <t>Forecast Costs</t>
        </is>
      </c>
      <c r="H18" s="717" t="n">
        <v>1119826.55</v>
      </c>
      <c r="I18" s="706" t="n">
        <v>171481.08</v>
      </c>
      <c r="J18" s="718" t="n">
        <v>35722.43</v>
      </c>
      <c r="K18" s="718" t="n">
        <v>23777.49</v>
      </c>
      <c r="L18" s="718" t="n">
        <v>14795.57</v>
      </c>
      <c r="M18" s="718" t="n">
        <v>18425.82</v>
      </c>
      <c r="N18" s="718" t="n">
        <v>4653.83</v>
      </c>
      <c r="O18" s="718" t="n">
        <v>6632.24</v>
      </c>
      <c r="P18" s="718" t="n">
        <v>6976.44</v>
      </c>
      <c r="Q18" s="718" t="n">
        <v>0</v>
      </c>
      <c r="R18" s="718" t="n">
        <v>9813.42</v>
      </c>
      <c r="S18" s="718" t="n">
        <v>32931.48</v>
      </c>
      <c r="T18" s="718" t="n">
        <v>26173.26</v>
      </c>
      <c r="U18" s="718" t="n">
        <v>15935.18</v>
      </c>
      <c r="V18" s="706" t="n">
        <v>13352.38</v>
      </c>
      <c r="W18" s="706" t="n">
        <v>22810.79</v>
      </c>
      <c r="X18" s="719" t="n">
        <v>29161.96</v>
      </c>
      <c r="Y18" s="713" t="n">
        <v>0</v>
      </c>
      <c r="Z18" s="706" t="n">
        <v>11680.35</v>
      </c>
      <c r="AA18" s="719" t="n">
        <v>4918.12</v>
      </c>
      <c r="AB18" s="713" t="n">
        <v>56171.51</v>
      </c>
      <c r="AC18" s="719" t="n">
        <v>33773.9</v>
      </c>
      <c r="AD18" s="713" t="n">
        <v>58648.25</v>
      </c>
      <c r="AE18" s="706" t="n">
        <v>61691.76</v>
      </c>
      <c r="AF18" s="720" t="n">
        <v>52279.54</v>
      </c>
      <c r="AG18" s="724" t="n">
        <v>28285.21</v>
      </c>
      <c r="AH18" s="722" t="n">
        <v>52996.92</v>
      </c>
      <c r="AI18" s="723" t="n">
        <v>56052.94</v>
      </c>
      <c r="AJ18" s="733" t="n">
        <v>86869.67</v>
      </c>
      <c r="AK18" s="722" t="n">
        <v>49715.31</v>
      </c>
      <c r="AL18" s="721" t="n">
        <v>32222.43</v>
      </c>
      <c r="AM18" s="780" t="n">
        <v>68722.47</v>
      </c>
      <c r="AN18" s="719" t="n">
        <v>31734</v>
      </c>
      <c r="AO18" s="727" t="n">
        <v>1420.52</v>
      </c>
      <c r="AP18" s="728" t="n">
        <v>0</v>
      </c>
      <c r="AQ18" s="727" t="n">
        <v>0</v>
      </c>
      <c r="AR18" s="729" t="n">
        <v>0</v>
      </c>
      <c r="AS18" s="728" t="n">
        <v>0</v>
      </c>
      <c r="AT18" s="727" t="n">
        <v>0</v>
      </c>
      <c r="AU18" s="729" t="n">
        <v>0</v>
      </c>
      <c r="AV18" s="728" t="n">
        <v>0</v>
      </c>
      <c r="AW18" s="727" t="n">
        <v>0</v>
      </c>
      <c r="AX18" s="729" t="n">
        <v>0</v>
      </c>
      <c r="AY18" s="730" t="n">
        <v>0</v>
      </c>
      <c r="AZ18" s="727" t="n">
        <v>0</v>
      </c>
      <c r="BA18" s="729" t="n">
        <v>0</v>
      </c>
    </row>
    <row r="19">
      <c r="B19" s="715" t="n"/>
      <c r="C19" s="716" t="n"/>
      <c r="D19" s="716" t="n"/>
      <c r="E19" s="716" t="n"/>
      <c r="F19" s="716" t="n"/>
      <c r="G19" s="45" t="inlineStr">
        <is>
          <t>Actual Revenues</t>
        </is>
      </c>
      <c r="H19" s="717" t="n">
        <v>1809410.22</v>
      </c>
      <c r="I19" s="706" t="n">
        <v>277570.82</v>
      </c>
      <c r="J19" s="718" t="n">
        <v>43076.13</v>
      </c>
      <c r="K19" s="718" t="n">
        <v>33814.6</v>
      </c>
      <c r="L19" s="718" t="n">
        <v>24050.21</v>
      </c>
      <c r="M19" s="718" t="n">
        <v>17596.85</v>
      </c>
      <c r="N19" s="718" t="n">
        <v>27248.96</v>
      </c>
      <c r="O19" s="718" t="n">
        <v>9652.110000000001</v>
      </c>
      <c r="P19" s="718" t="n">
        <v>9652.35</v>
      </c>
      <c r="Q19" s="718" t="n">
        <v>0</v>
      </c>
      <c r="R19" s="718" t="n">
        <v>15533.8</v>
      </c>
      <c r="S19" s="718" t="n">
        <v>57000.23</v>
      </c>
      <c r="T19" s="718" t="n">
        <v>39046.88</v>
      </c>
      <c r="U19" s="718" t="n">
        <v>23513.13</v>
      </c>
      <c r="V19" s="706" t="n">
        <v>32762.06</v>
      </c>
      <c r="W19" s="706" t="n">
        <v>36485.89</v>
      </c>
      <c r="X19" s="732" t="n">
        <v>36485.88</v>
      </c>
      <c r="Y19" s="713" t="n"/>
      <c r="Z19" s="776" t="n">
        <v>13253.29</v>
      </c>
      <c r="AA19" s="719" t="n">
        <v>10580.63</v>
      </c>
      <c r="AB19" s="713" t="n">
        <v>37221.13</v>
      </c>
      <c r="AC19" s="719" t="n">
        <v>63398.3</v>
      </c>
      <c r="AD19" s="713" t="n">
        <v>108569.53</v>
      </c>
      <c r="AE19" s="706" t="n">
        <v>130382.41</v>
      </c>
      <c r="AF19" s="720" t="n">
        <v>90746.44</v>
      </c>
      <c r="AG19" s="733" t="n">
        <v>50871.94</v>
      </c>
      <c r="AH19" s="722" t="n">
        <v>92339.78</v>
      </c>
      <c r="AI19" s="771" t="n">
        <v>103898.21</v>
      </c>
      <c r="AJ19" s="733" t="n">
        <v>101814.97</v>
      </c>
      <c r="AK19" s="781" t="n">
        <v>84487.67999999999</v>
      </c>
      <c r="AL19" s="774" t="n">
        <v>66144.03999999999</v>
      </c>
      <c r="AM19" s="713" t="n">
        <v>80282.86</v>
      </c>
      <c r="AN19" s="706" t="n">
        <v>81348.48</v>
      </c>
      <c r="AO19" s="727" t="n">
        <v>10580.63</v>
      </c>
      <c r="AP19" s="728" t="n"/>
      <c r="AQ19" s="727" t="n"/>
      <c r="AR19" s="729" t="n"/>
      <c r="AS19" s="728" t="n"/>
      <c r="AT19" s="727" t="n"/>
      <c r="AU19" s="729" t="n"/>
      <c r="AV19" s="728" t="n"/>
      <c r="AW19" s="727" t="n"/>
      <c r="AX19" s="729" t="n"/>
      <c r="AY19" s="730" t="n"/>
      <c r="AZ19" s="727" t="n"/>
      <c r="BA19" s="729" t="n"/>
    </row>
    <row r="20">
      <c r="B20" s="715" t="n"/>
      <c r="C20" s="716" t="n"/>
      <c r="D20" s="716" t="n"/>
      <c r="E20" s="716" t="n"/>
      <c r="F20" s="716" t="n"/>
      <c r="G20" s="45" t="inlineStr">
        <is>
          <t>Actual Cost</t>
        </is>
      </c>
      <c r="H20" s="717" t="n">
        <v>1186478.09</v>
      </c>
      <c r="I20" s="706" t="n">
        <v>171481.08</v>
      </c>
      <c r="J20" s="718" t="n">
        <v>41393.21</v>
      </c>
      <c r="K20" s="718" t="n">
        <v>26404.54</v>
      </c>
      <c r="L20" s="718" t="n">
        <v>17511.96</v>
      </c>
      <c r="M20" s="718" t="n">
        <v>22670.18</v>
      </c>
      <c r="N20" s="718" t="n">
        <v>4653.83</v>
      </c>
      <c r="O20" s="718" t="n">
        <v>7328.98</v>
      </c>
      <c r="P20" s="718" t="n">
        <v>7458.5</v>
      </c>
      <c r="Q20" s="718" t="n">
        <v>977.2</v>
      </c>
      <c r="R20" s="718" t="n">
        <v>9607.5</v>
      </c>
      <c r="S20" s="718" t="n">
        <v>30557.15</v>
      </c>
      <c r="T20" s="718" t="n">
        <v>26173.26</v>
      </c>
      <c r="U20" s="718" t="n">
        <v>19650.38</v>
      </c>
      <c r="V20" s="706" t="n">
        <v>12656.88</v>
      </c>
      <c r="W20" s="706" t="n">
        <v>22529.93</v>
      </c>
      <c r="X20" s="165" t="n">
        <v>27643.56</v>
      </c>
      <c r="Y20" s="713" t="n">
        <v>204.56</v>
      </c>
      <c r="Z20" s="706" t="n">
        <v>11915.8</v>
      </c>
      <c r="AA20" s="719" t="n">
        <v>9506.610000000001</v>
      </c>
      <c r="AB20" s="713" t="n">
        <v>54685.67</v>
      </c>
      <c r="AC20" s="719" t="n">
        <v>33473.79</v>
      </c>
      <c r="AD20" s="713" t="n">
        <v>73496.47</v>
      </c>
      <c r="AE20" s="706" t="n">
        <v>65135.02</v>
      </c>
      <c r="AF20" s="720" t="n">
        <v>56905.73</v>
      </c>
      <c r="AG20" s="724" t="n">
        <v>40587.25</v>
      </c>
      <c r="AH20" s="722" t="n">
        <v>56545.37</v>
      </c>
      <c r="AI20" s="723" t="n">
        <v>53832.37</v>
      </c>
      <c r="AJ20" s="724" t="n">
        <v>76133.22</v>
      </c>
      <c r="AK20" s="722" t="n">
        <v>53888.63</v>
      </c>
      <c r="AL20" s="721" t="n">
        <v>34918.23</v>
      </c>
      <c r="AM20" s="780" t="n">
        <v>79503.67999999999</v>
      </c>
      <c r="AN20" s="719" t="n">
        <v>35735.55</v>
      </c>
      <c r="AO20" s="727" t="n">
        <v>1312.02</v>
      </c>
      <c r="AP20" s="728" t="n">
        <v>0</v>
      </c>
      <c r="AQ20" s="727" t="n">
        <v>0</v>
      </c>
      <c r="AR20" s="729" t="n">
        <v>0</v>
      </c>
      <c r="AS20" s="728" t="n">
        <v>0</v>
      </c>
      <c r="AT20" s="727" t="n">
        <v>0</v>
      </c>
      <c r="AU20" s="729" t="n">
        <v>0</v>
      </c>
      <c r="AV20" s="728" t="n">
        <v>0</v>
      </c>
      <c r="AW20" s="727" t="n">
        <v>0</v>
      </c>
      <c r="AX20" s="729" t="n">
        <v>0</v>
      </c>
      <c r="AY20" s="730" t="n">
        <v>0</v>
      </c>
      <c r="AZ20" s="727" t="n">
        <v>0</v>
      </c>
      <c r="BA20" s="729" t="n">
        <v>0</v>
      </c>
    </row>
    <row r="21">
      <c r="B21" s="715" t="n"/>
      <c r="C21" s="716" t="n"/>
      <c r="D21" s="716" t="n"/>
      <c r="E21" s="716" t="n"/>
      <c r="F21" s="716" t="n"/>
      <c r="G21" s="45" t="inlineStr">
        <is>
          <t>Forecast CCI %</t>
        </is>
      </c>
      <c r="H21" s="735" t="n">
        <v>0.3838803505709094</v>
      </c>
      <c r="I21" s="736" t="n">
        <v>0.3822078101661104</v>
      </c>
      <c r="J21" s="737" t="n">
        <v>0.1707140481074393</v>
      </c>
      <c r="K21" s="737" t="n">
        <v>0.2968275308440851</v>
      </c>
      <c r="L21" s="737" t="n">
        <v>0.3848048151681857</v>
      </c>
      <c r="M21" s="737" t="n">
        <v>0.2839853499033856</v>
      </c>
      <c r="N21" s="737" t="n">
        <v>0.8292108781335731</v>
      </c>
      <c r="O21" s="737" t="n">
        <v>0.3128887315276127</v>
      </c>
      <c r="P21" s="737" t="n">
        <v>0.2772289330306376</v>
      </c>
      <c r="Q21" s="737" t="n">
        <v>0</v>
      </c>
      <c r="R21" s="737" t="n">
        <v>0.3682539798945331</v>
      </c>
      <c r="S21" s="737" t="n">
        <v>0.4222542706080042</v>
      </c>
      <c r="T21" s="737" t="n">
        <v>0.3296963624595253</v>
      </c>
      <c r="U21" s="737" t="n">
        <v>0.3222859745243033</v>
      </c>
      <c r="V21" s="736" t="n">
        <v>0.5924436710861839</v>
      </c>
      <c r="W21" s="736" t="n">
        <v>0.3748053111219596</v>
      </c>
      <c r="X21" s="738" t="n">
        <v>0.2007330147450417</v>
      </c>
      <c r="Y21" s="739" t="n">
        <v>0</v>
      </c>
      <c r="Z21" s="736" t="n">
        <v>0.1186831281783972</v>
      </c>
      <c r="AA21" s="738" t="n">
        <v>0.5351775324604912</v>
      </c>
      <c r="AB21" s="739" t="n">
        <v>-0.509129625346446</v>
      </c>
      <c r="AC21" s="738" t="n">
        <v>0.4672744594943039</v>
      </c>
      <c r="AD21" s="739" t="n">
        <v>0.4598093578974807</v>
      </c>
      <c r="AE21" s="736" t="n">
        <v>0.5268398700126147</v>
      </c>
      <c r="AF21" s="740" t="n">
        <v>0.4238943064950958</v>
      </c>
      <c r="AG21" s="741" t="n">
        <v>0.4439919173733285</v>
      </c>
      <c r="AH21" s="742" t="n">
        <v>0.4260661758626036</v>
      </c>
      <c r="AI21" s="743" t="n">
        <v>0.4605014099743201</v>
      </c>
      <c r="AJ21" s="741" t="n">
        <v>0.1467888504166851</v>
      </c>
      <c r="AK21" s="744" t="n">
        <v>0.4115673776600614</v>
      </c>
      <c r="AL21" s="745" t="n">
        <v>0.5128445473406005</v>
      </c>
      <c r="AM21" s="739" t="n">
        <v>0.1439957248822897</v>
      </c>
      <c r="AN21" s="736" t="n">
        <v>0.6098968177082839</v>
      </c>
      <c r="AO21" s="746" t="n">
        <v>0.8657438621438017</v>
      </c>
      <c r="AP21" s="747" t="n">
        <v>1</v>
      </c>
      <c r="AQ21" s="746" t="n">
        <v>1</v>
      </c>
      <c r="AR21" s="748" t="n">
        <v>1</v>
      </c>
      <c r="AS21" s="747" t="n">
        <v>1</v>
      </c>
      <c r="AT21" s="746" t="n">
        <v>1</v>
      </c>
      <c r="AU21" s="748" t="n">
        <v>1</v>
      </c>
      <c r="AV21" s="747" t="n">
        <v>1</v>
      </c>
      <c r="AW21" s="746" t="n">
        <v>1</v>
      </c>
      <c r="AX21" s="748" t="n">
        <v>1</v>
      </c>
      <c r="AY21" s="749" t="n">
        <v>1</v>
      </c>
      <c r="AZ21" s="746" t="n">
        <v>1</v>
      </c>
      <c r="BA21" s="748" t="n">
        <v>1</v>
      </c>
    </row>
    <row r="22">
      <c r="B22" s="715" t="n"/>
      <c r="C22" s="716" t="n"/>
      <c r="D22" s="716" t="n"/>
      <c r="E22" s="716" t="n"/>
      <c r="F22" s="716" t="n"/>
      <c r="G22" s="45" t="inlineStr">
        <is>
          <t>Actual CCI%</t>
        </is>
      </c>
      <c r="H22" s="735" t="n">
        <v>0.3442735761138744</v>
      </c>
      <c r="I22" s="736" t="n">
        <v>0.3822078101661104</v>
      </c>
      <c r="J22" s="737" t="n">
        <v>0.03906847537873593</v>
      </c>
      <c r="K22" s="737" t="n">
        <v>0.2191378070241085</v>
      </c>
      <c r="L22" s="737" t="n">
        <v>0.2718584004926142</v>
      </c>
      <c r="M22" s="737" t="n">
        <v>-0.288309013526486</v>
      </c>
      <c r="N22" s="737" t="n">
        <v>0.8292108271330506</v>
      </c>
      <c r="O22" s="737" t="n">
        <v>0.2406862251276673</v>
      </c>
      <c r="P22" s="737" t="n">
        <v>0.2272857938897128</v>
      </c>
      <c r="Q22" s="737" t="n">
        <v>0</v>
      </c>
      <c r="R22" s="737" t="n">
        <v>0.381509905800476</v>
      </c>
      <c r="S22" s="737" t="n">
        <v>0.4639117658360212</v>
      </c>
      <c r="T22" s="737" t="n">
        <v>0.3296963624595253</v>
      </c>
      <c r="U22" s="737" t="n">
        <v>0.1642804541440228</v>
      </c>
      <c r="V22" s="736" t="n">
        <v>0.6136725291936258</v>
      </c>
      <c r="W22" s="736" t="n">
        <v>0.3825030124116041</v>
      </c>
      <c r="X22" s="738" t="n">
        <v>0.2423491530231841</v>
      </c>
      <c r="Y22" s="739" t="n">
        <v>0</v>
      </c>
      <c r="Z22" s="736" t="n">
        <v>0.1009179324999433</v>
      </c>
      <c r="AA22" s="738" t="n">
        <v>0.101508369340731</v>
      </c>
      <c r="AB22" s="739" t="n">
        <v>-0.4692104113716922</v>
      </c>
      <c r="AC22" s="738" t="n">
        <v>0.4720081639138528</v>
      </c>
      <c r="AD22" s="739" t="n">
        <v>0.3230470329164312</v>
      </c>
      <c r="AE22" s="736" t="n">
        <v>0.5004309634390353</v>
      </c>
      <c r="AF22" s="740" t="n">
        <v>0.3729150754434816</v>
      </c>
      <c r="AG22" s="741" t="n">
        <v>0.2021681951551585</v>
      </c>
      <c r="AH22" s="742" t="n">
        <v>0.3876380046801832</v>
      </c>
      <c r="AI22" s="743" t="n">
        <v>0.4818739581467731</v>
      </c>
      <c r="AJ22" s="741" t="n">
        <v>0.252239413895007</v>
      </c>
      <c r="AK22" s="744" t="n">
        <v>0.3621717921110345</v>
      </c>
      <c r="AL22" s="745" t="n">
        <v>0.4720880986177602</v>
      </c>
      <c r="AM22" s="739" t="n">
        <v>0.009705368576871213</v>
      </c>
      <c r="AN22" s="736" t="n">
        <v>0.5607103078764334</v>
      </c>
      <c r="AO22" s="746" t="n">
        <v>0.8759981742836236</v>
      </c>
      <c r="AP22" s="747" t="n">
        <v>0</v>
      </c>
      <c r="AQ22" s="746" t="n">
        <v>0</v>
      </c>
      <c r="AR22" s="748" t="n">
        <v>0</v>
      </c>
      <c r="AS22" s="747" t="n">
        <v>0</v>
      </c>
      <c r="AT22" s="746" t="n">
        <v>0</v>
      </c>
      <c r="AU22" s="748" t="n">
        <v>0</v>
      </c>
      <c r="AV22" s="747" t="n">
        <v>0</v>
      </c>
      <c r="AW22" s="746" t="n">
        <v>0</v>
      </c>
      <c r="AX22" s="748" t="n">
        <v>0</v>
      </c>
      <c r="AY22" s="749" t="n">
        <v>0</v>
      </c>
      <c r="AZ22" s="746" t="n">
        <v>0</v>
      </c>
      <c r="BA22" s="748" t="n">
        <v>0</v>
      </c>
    </row>
    <row r="23" ht="15" customHeight="1" s="564" thickBot="1">
      <c r="B23" s="750" t="n"/>
      <c r="C23" s="751" t="n"/>
      <c r="D23" s="751" t="n"/>
      <c r="E23" s="751" t="n"/>
      <c r="F23" s="751" t="n"/>
      <c r="G23" s="229" t="inlineStr">
        <is>
          <t>Delta Cost</t>
        </is>
      </c>
      <c r="H23" s="752" t="n">
        <v>-66651.55</v>
      </c>
      <c r="I23" s="753" t="n">
        <v>0</v>
      </c>
      <c r="J23" s="754" t="n">
        <v>-5670.78</v>
      </c>
      <c r="K23" s="754" t="n">
        <v>-2627.05</v>
      </c>
      <c r="L23" s="754" t="n">
        <v>-2716.38</v>
      </c>
      <c r="M23" s="754" t="n">
        <v>-4244.36</v>
      </c>
      <c r="N23" s="754" t="n">
        <v>0</v>
      </c>
      <c r="O23" s="754" t="n">
        <v>-696.74</v>
      </c>
      <c r="P23" s="754" t="n">
        <v>-482.07</v>
      </c>
      <c r="Q23" s="754" t="n">
        <v>-977.2</v>
      </c>
      <c r="R23" s="754" t="n">
        <v>205.91</v>
      </c>
      <c r="S23" s="754" t="n">
        <v>2374.33</v>
      </c>
      <c r="T23" s="754" t="n">
        <v>0</v>
      </c>
      <c r="U23" s="754" t="n">
        <v>-3715.2</v>
      </c>
      <c r="V23" s="755" t="n">
        <v>695.5</v>
      </c>
      <c r="W23" s="755" t="n">
        <v>280.86</v>
      </c>
      <c r="X23" s="756" t="n">
        <v>1518.4</v>
      </c>
      <c r="Y23" s="764" t="n">
        <v>-204.56</v>
      </c>
      <c r="Z23" s="753" t="n">
        <v>-235.45</v>
      </c>
      <c r="AA23" s="782" t="n">
        <v>-4588.49</v>
      </c>
      <c r="AB23" s="764" t="n">
        <v>1485.84</v>
      </c>
      <c r="AC23" s="782" t="n">
        <v>300.11</v>
      </c>
      <c r="AD23" s="764" t="n">
        <v>-14848.22</v>
      </c>
      <c r="AE23" s="753" t="n">
        <v>-3443.26</v>
      </c>
      <c r="AF23" s="783" t="n">
        <v>-4626.18</v>
      </c>
      <c r="AG23" s="759" t="n">
        <v>-12302.04</v>
      </c>
      <c r="AH23" s="760" t="n">
        <v>-3548.45</v>
      </c>
      <c r="AI23" s="761" t="n">
        <v>2220.57</v>
      </c>
      <c r="AJ23" s="759" t="n">
        <v>10736.45</v>
      </c>
      <c r="AK23" s="762" t="n">
        <v>-4173.32</v>
      </c>
      <c r="AL23" s="763" t="n">
        <v>-2695.8</v>
      </c>
      <c r="AM23" s="764" t="n">
        <v>-10781.21</v>
      </c>
      <c r="AN23" s="753" t="n">
        <v>-4001.25</v>
      </c>
      <c r="AO23" s="765" t="n">
        <v>108.5</v>
      </c>
      <c r="AP23" s="766" t="n">
        <v>0</v>
      </c>
      <c r="AQ23" s="765" t="n">
        <v>0</v>
      </c>
      <c r="AR23" s="767" t="n">
        <v>0</v>
      </c>
      <c r="AS23" s="766" t="n">
        <v>0</v>
      </c>
      <c r="AT23" s="765" t="n">
        <v>0</v>
      </c>
      <c r="AU23" s="767" t="n">
        <v>0</v>
      </c>
      <c r="AV23" s="766" t="n">
        <v>0</v>
      </c>
      <c r="AW23" s="765" t="n">
        <v>0</v>
      </c>
      <c r="AX23" s="767" t="n">
        <v>0</v>
      </c>
      <c r="AY23" s="768" t="n">
        <v>0</v>
      </c>
      <c r="AZ23" s="765" t="n">
        <v>0</v>
      </c>
      <c r="BA23" s="767" t="n">
        <v>0</v>
      </c>
    </row>
    <row r="24" ht="29.5" customHeight="1" s="564" thickBot="1">
      <c r="A24" s="67" t="n"/>
      <c r="B24" s="38" t="inlineStr">
        <is>
          <t>AlphaBank</t>
        </is>
      </c>
      <c r="C24" s="36" t="n"/>
      <c r="D24" s="36" t="n"/>
      <c r="E24" s="35" t="inlineStr">
        <is>
          <t>BYSOX001</t>
        </is>
      </c>
      <c r="F24" s="191" t="inlineStr">
        <is>
          <t>DeltaCorp - Supporto Security Comitato Rischi</t>
        </is>
      </c>
      <c r="G24" s="68" t="inlineStr">
        <is>
          <t>Forecast Costs</t>
        </is>
      </c>
      <c r="H24" s="784" t="n">
        <v>17087.7</v>
      </c>
      <c r="I24" s="785" t="n"/>
      <c r="J24" s="786" t="n"/>
      <c r="K24" s="786" t="n"/>
      <c r="L24" s="786" t="n"/>
      <c r="M24" s="786" t="n"/>
      <c r="N24" s="786" t="n"/>
      <c r="O24" s="786" t="n"/>
      <c r="P24" s="786" t="n"/>
      <c r="Q24" s="786" t="n"/>
      <c r="R24" s="786" t="n"/>
      <c r="S24" s="787" t="n"/>
      <c r="T24" s="788" t="n"/>
      <c r="U24" s="789" t="n"/>
      <c r="V24" s="790" t="n"/>
      <c r="W24" s="791" t="n"/>
      <c r="X24" s="790" t="n"/>
      <c r="Y24" s="792" t="n"/>
      <c r="Z24" s="785" t="n"/>
      <c r="AA24" s="785" t="n"/>
      <c r="AB24" s="785" t="n"/>
      <c r="AC24" s="793" t="n"/>
      <c r="AD24" s="794" t="n"/>
      <c r="AE24" s="795" t="n">
        <v>1553.43</v>
      </c>
      <c r="AF24" s="796" t="n">
        <v>1553.43</v>
      </c>
      <c r="AG24" s="797" t="n">
        <v>1553.43</v>
      </c>
      <c r="AH24" s="798" t="n">
        <v>1553.43</v>
      </c>
      <c r="AI24" s="799" t="n">
        <v>1553.43</v>
      </c>
      <c r="AJ24" s="800" t="n">
        <v>1553.43</v>
      </c>
      <c r="AK24" s="798" t="n">
        <v>1553.43</v>
      </c>
      <c r="AL24" s="801" t="n">
        <v>1553.43</v>
      </c>
      <c r="AM24" s="802" t="n">
        <v>1553.43</v>
      </c>
      <c r="AN24" s="793" t="n">
        <v>1553.43</v>
      </c>
      <c r="AO24" s="803" t="n">
        <v>1553.43</v>
      </c>
      <c r="AP24" s="352" t="n">
        <v>1553.43</v>
      </c>
      <c r="AQ24" s="353" t="n">
        <v>1553.43</v>
      </c>
      <c r="AR24" s="354" t="n">
        <v>1553.43</v>
      </c>
      <c r="AS24" s="352" t="n">
        <v>1553.43</v>
      </c>
      <c r="AT24" s="352" t="n">
        <v>1553.43</v>
      </c>
      <c r="AU24" s="352" t="n">
        <v>1553.43</v>
      </c>
      <c r="AV24" s="352" t="n">
        <v>1553.43</v>
      </c>
      <c r="AW24" s="352" t="n">
        <v>1553.43</v>
      </c>
      <c r="AX24" s="352" t="n">
        <v>1553.43</v>
      </c>
      <c r="AY24" s="352" t="n">
        <v>1553.43</v>
      </c>
      <c r="AZ24" s="352" t="n">
        <v>1553.43</v>
      </c>
      <c r="BA24" s="352" t="n">
        <v>1553.43</v>
      </c>
    </row>
    <row r="25">
      <c r="N25" s="688" t="n"/>
    </row>
    <row r="26">
      <c r="N26" s="688" t="n"/>
      <c r="AJ26" s="596" t="n"/>
      <c r="AM26" s="605" t="n"/>
    </row>
    <row r="27">
      <c r="C27" s="130" t="n"/>
      <c r="D27" s="130" t="n"/>
      <c r="E27" s="130" t="n"/>
      <c r="F27" s="130" t="n"/>
      <c r="G27" s="602" t="n"/>
      <c r="AJ27" s="596" t="n"/>
    </row>
    <row r="28">
      <c r="C28" s="804" t="n"/>
      <c r="E28" s="804" t="n"/>
      <c r="G28" s="596" t="n"/>
      <c r="H28" s="643" t="n"/>
      <c r="AM28" s="597" t="n"/>
    </row>
    <row r="29">
      <c r="C29" s="805" t="n"/>
      <c r="G29" s="643" t="n"/>
      <c r="H29" s="643" t="n"/>
      <c r="J29" s="596" t="n"/>
      <c r="R29" s="596" t="n"/>
      <c r="W29" s="806" t="n"/>
      <c r="X29" s="688" t="n"/>
      <c r="Y29" s="806" t="n"/>
      <c r="Z29" s="688" t="n"/>
    </row>
    <row r="30">
      <c r="J30" s="579" t="n">
        <v>17.41</v>
      </c>
      <c r="V30" s="597" t="n"/>
      <c r="W30" s="806" t="n"/>
      <c r="X30" s="688" t="n"/>
      <c r="Y30" s="806" t="n"/>
      <c r="Z30" s="688" t="n"/>
    </row>
    <row r="31">
      <c r="V31" s="597" t="n"/>
      <c r="AB31" s="657" t="n"/>
      <c r="AD31" s="657" t="n"/>
    </row>
    <row r="32">
      <c r="F32" s="130" t="n"/>
      <c r="O32" s="806" t="e">
        <v>#REF!</v>
      </c>
      <c r="P32" s="579" t="n">
        <v>16718</v>
      </c>
    </row>
    <row r="33">
      <c r="O33" s="688" t="e">
        <v>#REF!</v>
      </c>
      <c r="P33" s="596" t="n">
        <v>22402.5</v>
      </c>
    </row>
    <row r="34">
      <c r="A34" s="596" t="n"/>
      <c r="P34" s="579" t="n">
        <v>27259</v>
      </c>
    </row>
    <row r="35">
      <c r="A35" s="596" t="n"/>
    </row>
    <row r="36"/>
    <row r="37">
      <c r="A37" s="601" t="n"/>
    </row>
    <row r="38">
      <c r="A38" s="601" t="n"/>
    </row>
    <row r="39">
      <c r="A39" s="601" t="n"/>
      <c r="E39" s="145" t="n"/>
    </row>
    <row r="40">
      <c r="A40" s="601" t="n"/>
    </row>
    <row r="41">
      <c r="A41" s="601" t="n"/>
    </row>
    <row r="42">
      <c r="A42" s="601" t="n"/>
    </row>
    <row r="43">
      <c r="A43" s="601" t="n"/>
    </row>
    <row r="44">
      <c r="A44" s="601" t="n"/>
    </row>
    <row r="45">
      <c r="A45" s="601" t="n"/>
    </row>
    <row r="46">
      <c r="A46" s="601" t="n"/>
    </row>
    <row r="47">
      <c r="A47" s="601" t="n"/>
    </row>
    <row r="48">
      <c r="A48" s="601" t="n"/>
    </row>
    <row r="49">
      <c r="A49" s="601" t="n"/>
    </row>
  </sheetData>
  <autoFilter ref="A9:W25"/>
  <mergeCells count="26">
    <mergeCell ref="U2:W2"/>
    <mergeCell ref="AG2:AI2"/>
    <mergeCell ref="B10:B16"/>
    <mergeCell ref="F17:F23"/>
    <mergeCell ref="C17:C23"/>
    <mergeCell ref="AS2:AU2"/>
    <mergeCell ref="B2:C2"/>
    <mergeCell ref="AY2:BA2"/>
    <mergeCell ref="AD2:AF2"/>
    <mergeCell ref="AP2:AR2"/>
    <mergeCell ref="O2:Q2"/>
    <mergeCell ref="D10:D16"/>
    <mergeCell ref="AA2:AC2"/>
    <mergeCell ref="F10:F16"/>
    <mergeCell ref="R2:T2"/>
    <mergeCell ref="E17:E23"/>
    <mergeCell ref="L2:N2"/>
    <mergeCell ref="AM2:AO2"/>
    <mergeCell ref="X2:Z2"/>
    <mergeCell ref="AJ2:AL2"/>
    <mergeCell ref="I2:K2"/>
    <mergeCell ref="B17:B23"/>
    <mergeCell ref="D17:D23"/>
    <mergeCell ref="C10:C16"/>
    <mergeCell ref="E10:E16"/>
    <mergeCell ref="AV2:AX2"/>
  </mergeCells>
  <conditionalFormatting sqref="I1:W1">
    <cfRule type="cellIs" priority="1" operator="lessThan" dxfId="1">
      <formula>0</formula>
    </cfRule>
    <cfRule type="cellIs" priority="2" operator="greaterThan" dxfId="0">
      <formula>0</formula>
    </cfRule>
  </conditionalFormatting>
  <dataValidations disablePrompts="1" count="1">
    <dataValidation sqref="B10 B17 B24" showDropDown="0" showInputMessage="1" showErrorMessage="1" allowBlank="1" type="list">
      <formula1>"BNL,Findomestic"</formula1>
    </dataValidation>
  </dataValidations>
  <pageMargins left="0.7" right="0.7" top="0.75" bottom="0.75" header="0.3" footer="0.3"/>
  <pageSetup orientation="portrait"/>
  <legacyDrawing xmlns:r="http://schemas.openxmlformats.org/officeDocument/2006/relationships" r:id="anysvml"/>
</worksheet>
</file>

<file path=xl/worksheets/sheet9.xml><?xml version="1.0" encoding="utf-8"?>
<worksheet xmlns="http://schemas.openxmlformats.org/spreadsheetml/2006/main">
  <sheetPr codeName="Sheet13">
    <outlinePr summaryBelow="1" summaryRight="1"/>
    <pageSetUpPr/>
  </sheetPr>
  <dimension ref="A1:E13"/>
  <sheetViews>
    <sheetView workbookViewId="0">
      <selection activeCell="D19" sqref="D19"/>
    </sheetView>
  </sheetViews>
  <sheetFormatPr baseColWidth="8" defaultRowHeight="14.5"/>
  <cols>
    <col width="29.08984375" bestFit="1" customWidth="1" style="564" min="2" max="2"/>
    <col width="24.08984375" customWidth="1" style="564" min="3" max="3"/>
    <col width="23.7265625" bestFit="1" customWidth="1" style="564" min="4" max="4"/>
    <col width="14.1796875" bestFit="1" customWidth="1" style="564" min="5" max="5"/>
    <col width="29.08984375" bestFit="1" customWidth="1" style="564" min="8" max="8"/>
    <col width="13.54296875" bestFit="1" customWidth="1" style="564" min="9" max="9"/>
    <col width="19.1796875" customWidth="1" style="564" min="10" max="10"/>
  </cols>
  <sheetData>
    <row r="1">
      <c r="C1" s="807" t="inlineStr">
        <is>
          <t>REVENUE RDE</t>
        </is>
      </c>
      <c r="D1" s="333" t="n"/>
      <c r="E1" s="387" t="n"/>
    </row>
    <row r="2">
      <c r="C2" s="407" t="inlineStr">
        <is>
          <t>CONTRATTO-AlphaBank</t>
        </is>
      </c>
      <c r="D2" s="407" t="inlineStr">
        <is>
          <t>CONTRATTO-BetaCredit</t>
        </is>
      </c>
      <c r="E2" s="500" t="inlineStr">
        <is>
          <t>TOTALE</t>
        </is>
      </c>
    </row>
    <row r="3">
      <c r="B3" s="407" t="inlineStr">
        <is>
          <t>FY25</t>
        </is>
      </c>
      <c r="C3" s="593" t="n">
        <v>365281.17</v>
      </c>
      <c r="D3" s="593" t="n">
        <v>411512.88</v>
      </c>
      <c r="E3" s="593" t="n">
        <v>776794.04</v>
      </c>
    </row>
    <row r="4">
      <c r="B4" s="407" t="inlineStr">
        <is>
          <t>FY26</t>
        </is>
      </c>
      <c r="C4" s="593" t="n">
        <v>1002507.26</v>
      </c>
      <c r="D4" s="593" t="n">
        <v>588028.1899999999</v>
      </c>
      <c r="E4" s="663" t="n">
        <v>1590535.45</v>
      </c>
    </row>
    <row r="5"/>
    <row r="6">
      <c r="C6" s="807" t="inlineStr">
        <is>
          <t>RDE = SECURITY</t>
        </is>
      </c>
      <c r="D6" s="387" t="n"/>
      <c r="E6" s="121" t="n"/>
    </row>
    <row r="7" ht="15" customHeight="1" s="564" thickBot="1">
      <c r="B7" s="134" t="n"/>
      <c r="C7" s="501" t="inlineStr">
        <is>
          <t xml:space="preserve">RDE SALES </t>
        </is>
      </c>
      <c r="D7" s="502" t="inlineStr">
        <is>
          <t>RDE REVENUE</t>
        </is>
      </c>
    </row>
    <row r="8">
      <c r="B8" s="492" t="inlineStr">
        <is>
          <t>Account Plan FY26</t>
        </is>
      </c>
      <c r="C8" s="808" t="n">
        <v>1414146</v>
      </c>
      <c r="D8" s="809" t="n">
        <v>1159135.66</v>
      </c>
    </row>
    <row r="9">
      <c r="B9" s="493" t="inlineStr">
        <is>
          <t>Actual</t>
        </is>
      </c>
      <c r="C9" s="808" t="n">
        <v>1456523</v>
      </c>
      <c r="D9" s="809" t="n">
        <v>1504531</v>
      </c>
    </row>
    <row r="10">
      <c r="B10" s="493" t="inlineStr">
        <is>
          <t>Forecast</t>
        </is>
      </c>
      <c r="C10" s="808" t="n">
        <v>242008</v>
      </c>
      <c r="D10" s="809" t="n">
        <v>242008</v>
      </c>
    </row>
    <row r="11">
      <c r="B11" s="493" t="inlineStr">
        <is>
          <t>Actual+Forecast</t>
        </is>
      </c>
      <c r="C11" s="810" t="n">
        <v>1698531</v>
      </c>
      <c r="D11" s="811" t="n">
        <v>1746540</v>
      </c>
    </row>
    <row r="12">
      <c r="B12" s="493" t="inlineStr">
        <is>
          <t>Delta Actual+Forecast VS AP FY26</t>
        </is>
      </c>
      <c r="C12" s="808" t="n">
        <v>-284386</v>
      </c>
      <c r="D12" s="809" t="n">
        <v>-587403.85</v>
      </c>
    </row>
    <row r="13" ht="15" customHeight="1" s="564" thickBot="1">
      <c r="B13" s="494" t="inlineStr">
        <is>
          <t>Progress VS AP %</t>
        </is>
      </c>
      <c r="C13" s="503" t="n">
        <v>0.98</v>
      </c>
      <c r="D13" s="504" t="n">
        <v>1.23</v>
      </c>
    </row>
  </sheetData>
  <mergeCells count="2">
    <mergeCell ref="C1:E1"/>
    <mergeCell ref="C6:D6"/>
  </mergeCells>
  <conditionalFormatting sqref="C13:D13">
    <cfRule type="dataBar" priority="1">
      <dataBar>
        <cfvo type="num" val="0"/>
        <cfvo type="num" val="1"/>
        <color rgb="FF638EC6"/>
      </dataBar>
    </cfRule>
    <cfRule type="dataBar" priority="2">
      <dataBar>
        <cfvo type="min"/>
        <cfvo type="max"/>
        <color rgb="FF638EC6"/>
      </dataBar>
    </cfRule>
    <cfRule type="dataBar" priority="3">
      <dataBar>
        <cfvo type="min"/>
        <cfvo type="max"/>
        <color rgb="FF638EC6"/>
      </dataBar>
    </cfRule>
    <cfRule type="dataBar" priority="4">
      <dataBar>
        <cfvo type="min"/>
        <cfvo type="max"/>
        <color rgb="FF638EC6"/>
      </dataBar>
    </cfRule>
  </conditionalFormatting>
  <pageMargins left="0.7" right="0.7" top="0.75" bottom="0.75" header="0.3" footer="0.3"/>
  <pageSetup orientation="portrait"/>
</worksheet>
</file>

<file path=xl/worksheets/sheet10.xml><?xml version="1.0" encoding="utf-8"?>
<worksheet xmlns="http://schemas.openxmlformats.org/spreadsheetml/2006/main">
  <sheetPr codeName="Sheet12">
    <tabColor theme="5" tint="0.7999816888943144"/>
    <outlinePr summaryBelow="1" summaryRight="1"/>
    <pageSetUpPr/>
  </sheetPr>
  <dimension ref="A1:Z55"/>
  <sheetViews>
    <sheetView zoomScale="70" zoomScaleNormal="70" workbookViewId="0">
      <pane xSplit="1" ySplit="2" topLeftCell="B8" activePane="bottomRight" state="frozen"/>
      <selection activeCell="E6" sqref="E6"/>
      <selection pane="topRight" activeCell="E6" sqref="E6"/>
      <selection pane="bottomLeft" activeCell="E6" sqref="E6"/>
      <selection pane="bottomRight" activeCell="J24" sqref="J24"/>
    </sheetView>
  </sheetViews>
  <sheetFormatPr baseColWidth="8" defaultRowHeight="14.5" outlineLevelRow="1"/>
  <cols>
    <col width="42.54296875" customWidth="1" style="564" min="1" max="1"/>
    <col width="15.54296875" customWidth="1" style="462" min="2" max="2"/>
    <col width="15" customWidth="1" style="463" min="3" max="3"/>
    <col width="2.54296875" customWidth="1" style="564" min="4" max="4"/>
    <col outlineLevel="1" width="13.81640625" customWidth="1" style="564" min="5" max="5"/>
    <col outlineLevel="1" width="13.6328125" customWidth="1" style="564" min="6" max="6"/>
    <col outlineLevel="1" width="14.36328125" customWidth="1" style="564" min="7" max="7"/>
    <col width="14.1796875" bestFit="1" customWidth="1" style="564" min="8" max="8"/>
    <col hidden="1" width="13.36328125" customWidth="1" style="488" min="9" max="9"/>
    <col outlineLevel="1" width="13.81640625" customWidth="1" style="564" min="10" max="10"/>
    <col outlineLevel="1" width="13.6328125" customWidth="1" style="564" min="11" max="11"/>
    <col outlineLevel="1" width="14.36328125" customWidth="1" style="564" min="12" max="12"/>
    <col width="13.453125" bestFit="1" customWidth="1" style="564" min="13" max="13"/>
    <col outlineLevel="1" width="13.81640625" customWidth="1" style="564" min="14" max="14"/>
    <col outlineLevel="1" width="13.6328125" customWidth="1" style="564" min="15" max="15"/>
    <col outlineLevel="1" width="14.36328125" customWidth="1" style="564" min="16" max="16"/>
    <col width="13.453125" bestFit="1" customWidth="1" style="564" min="17" max="17"/>
    <col outlineLevel="1" width="13.81640625" customWidth="1" style="564" min="18" max="18"/>
    <col outlineLevel="1" width="13.6328125" customWidth="1" style="564" min="19" max="19"/>
    <col outlineLevel="1" width="14.36328125" customWidth="1" style="564" min="20" max="20"/>
    <col width="13.453125" bestFit="1" customWidth="1" style="564" min="21" max="21"/>
    <col outlineLevel="1" width="13.81640625" customWidth="1" style="564" min="22" max="22"/>
    <col outlineLevel="1" width="13.6328125" customWidth="1" style="564" min="23" max="23"/>
    <col outlineLevel="1" width="14.36328125" customWidth="1" style="564" min="24" max="24"/>
    <col width="13.453125" bestFit="1" customWidth="1" style="564" min="25" max="25"/>
    <col width="13.36328125" customWidth="1" style="488" min="26" max="26"/>
  </cols>
  <sheetData>
    <row r="1">
      <c r="A1" s="430" t="n"/>
      <c r="B1" s="431" t="inlineStr">
        <is>
          <t>Previous</t>
        </is>
      </c>
      <c r="C1" s="432" t="inlineStr">
        <is>
          <t>Total Actual</t>
        </is>
      </c>
      <c r="D1" s="433" t="n"/>
      <c r="E1" s="435" t="n">
        <v>46174</v>
      </c>
      <c r="F1" s="435" t="n">
        <v>46204</v>
      </c>
      <c r="G1" s="435" t="n">
        <v>46235</v>
      </c>
      <c r="H1" s="436" t="inlineStr">
        <is>
          <t>Q4FY26</t>
        </is>
      </c>
      <c r="I1" s="485" t="inlineStr">
        <is>
          <t>FY26</t>
        </is>
      </c>
      <c r="J1" s="435" t="n">
        <v>46266</v>
      </c>
      <c r="K1" s="435" t="n">
        <v>46296</v>
      </c>
      <c r="L1" s="435" t="n">
        <v>46327</v>
      </c>
      <c r="M1" s="436" t="inlineStr">
        <is>
          <t>Q1FY27</t>
        </is>
      </c>
      <c r="N1" s="435" t="n">
        <v>46357</v>
      </c>
      <c r="O1" s="435" t="n">
        <v>46388</v>
      </c>
      <c r="P1" s="435" t="n">
        <v>46419</v>
      </c>
      <c r="Q1" s="436" t="inlineStr">
        <is>
          <t>Q2FY27</t>
        </is>
      </c>
      <c r="R1" s="435" t="n">
        <v>46447</v>
      </c>
      <c r="S1" s="435" t="n">
        <v>46478</v>
      </c>
      <c r="T1" s="435" t="n">
        <v>46508</v>
      </c>
      <c r="U1" s="436" t="inlineStr">
        <is>
          <t>Q3FY27</t>
        </is>
      </c>
      <c r="V1" s="435" t="n">
        <v>46539</v>
      </c>
      <c r="W1" s="435" t="n">
        <v>46569</v>
      </c>
      <c r="X1" s="435" t="n">
        <v>46600</v>
      </c>
      <c r="Y1" s="436" t="inlineStr">
        <is>
          <t>Q4FY27</t>
        </is>
      </c>
      <c r="Z1" s="485" t="inlineStr">
        <is>
          <t>FY26</t>
        </is>
      </c>
    </row>
    <row r="2">
      <c r="A2" s="437" t="n"/>
      <c r="B2" s="438" t="n"/>
      <c r="C2" s="439" t="n"/>
      <c r="D2" s="437" t="n"/>
      <c r="E2" s="440" t="inlineStr">
        <is>
          <t>actual</t>
        </is>
      </c>
      <c r="F2" s="440" t="inlineStr">
        <is>
          <t>actual</t>
        </is>
      </c>
      <c r="G2" s="440" t="inlineStr">
        <is>
          <t>actual</t>
        </is>
      </c>
      <c r="H2" s="434" t="n"/>
      <c r="I2" s="485" t="n"/>
      <c r="J2" s="440" t="inlineStr">
        <is>
          <t>forecast</t>
        </is>
      </c>
      <c r="K2" s="440" t="inlineStr">
        <is>
          <t>forecast</t>
        </is>
      </c>
      <c r="L2" s="440" t="inlineStr">
        <is>
          <t>forecast</t>
        </is>
      </c>
      <c r="M2" s="434" t="n"/>
      <c r="N2" s="440" t="inlineStr">
        <is>
          <t>forecast</t>
        </is>
      </c>
      <c r="O2" s="440" t="inlineStr">
        <is>
          <t>forecast</t>
        </is>
      </c>
      <c r="P2" s="440" t="inlineStr">
        <is>
          <t>forecast</t>
        </is>
      </c>
      <c r="Q2" s="434" t="n"/>
      <c r="R2" s="440" t="inlineStr">
        <is>
          <t>forecast</t>
        </is>
      </c>
      <c r="S2" s="440" t="inlineStr">
        <is>
          <t>forecast</t>
        </is>
      </c>
      <c r="T2" s="440" t="inlineStr">
        <is>
          <t>forecast</t>
        </is>
      </c>
      <c r="U2" s="434" t="n"/>
      <c r="V2" s="440" t="inlineStr">
        <is>
          <t>forecast</t>
        </is>
      </c>
      <c r="W2" s="440" t="inlineStr">
        <is>
          <t>forecast</t>
        </is>
      </c>
      <c r="X2" s="440" t="inlineStr">
        <is>
          <t>forecast</t>
        </is>
      </c>
      <c r="Y2" s="434" t="n"/>
      <c r="Z2" s="485" t="n"/>
    </row>
    <row r="3">
      <c r="A3" s="441" t="inlineStr">
        <is>
          <t>Billings</t>
        </is>
      </c>
      <c r="B3" s="812" t="n">
        <v>2766204.04</v>
      </c>
      <c r="C3" s="813" t="n">
        <v>2990125.86</v>
      </c>
      <c r="D3" s="814" t="n"/>
      <c r="E3" s="815" t="n">
        <v>190004.79</v>
      </c>
      <c r="F3" s="815" t="n">
        <v>3700.68</v>
      </c>
      <c r="G3" s="815" t="n">
        <v>30216.35</v>
      </c>
      <c r="H3" s="816" t="n">
        <v>223921.83</v>
      </c>
      <c r="I3" s="817" t="n"/>
      <c r="J3" s="815" t="n">
        <v>79355.91</v>
      </c>
      <c r="K3" s="815" t="n">
        <v>0</v>
      </c>
      <c r="L3" s="815" t="n">
        <v>0</v>
      </c>
      <c r="M3" s="816" t="n">
        <v>79355.91</v>
      </c>
      <c r="N3" s="815" t="n">
        <v>26451.59</v>
      </c>
      <c r="O3" s="815" t="n">
        <v>0</v>
      </c>
      <c r="P3" s="815" t="n">
        <v>0</v>
      </c>
      <c r="Q3" s="816" t="n">
        <v>26451.59</v>
      </c>
      <c r="R3" s="815" t="n">
        <v>26451.59</v>
      </c>
      <c r="S3" s="815" t="n">
        <v>0</v>
      </c>
      <c r="T3" s="815" t="n">
        <v>0</v>
      </c>
      <c r="U3" s="816" t="n">
        <v>26451.59</v>
      </c>
      <c r="V3" s="815" t="n">
        <v>26451.59</v>
      </c>
      <c r="W3" s="815" t="n">
        <v>0</v>
      </c>
      <c r="X3" s="815" t="n">
        <v>0</v>
      </c>
      <c r="Y3" s="816" t="n">
        <v>26451.59</v>
      </c>
      <c r="Z3" s="817" t="n">
        <v>158710.67</v>
      </c>
    </row>
    <row r="4">
      <c r="A4" s="441" t="inlineStr">
        <is>
          <t>Revenues</t>
        </is>
      </c>
      <c r="B4" s="812" t="n">
        <v>2769034.44</v>
      </c>
      <c r="C4" s="813" t="n">
        <v>3044653.87</v>
      </c>
      <c r="D4" s="814" t="n"/>
      <c r="E4" s="815" t="n">
        <v>88660.39</v>
      </c>
      <c r="F4" s="815" t="n">
        <v>81348.48</v>
      </c>
      <c r="G4" s="815" t="n">
        <v>105610.56</v>
      </c>
      <c r="H4" s="816" t="n">
        <v>275619.43</v>
      </c>
      <c r="I4" s="817" t="n"/>
      <c r="J4" s="815" t="n">
        <v>10580.64</v>
      </c>
      <c r="K4" s="815" t="n">
        <v>10580.64</v>
      </c>
      <c r="L4" s="815" t="n">
        <v>10580.64</v>
      </c>
      <c r="M4" s="816" t="n">
        <v>31741.92</v>
      </c>
      <c r="N4" s="815" t="n">
        <v>10580.64</v>
      </c>
      <c r="O4" s="815" t="n">
        <v>10580.64</v>
      </c>
      <c r="P4" s="815" t="n">
        <v>10580.64</v>
      </c>
      <c r="Q4" s="816" t="n">
        <v>31741.92</v>
      </c>
      <c r="R4" s="815" t="n">
        <v>10580.64</v>
      </c>
      <c r="S4" s="815" t="n">
        <v>10580.64</v>
      </c>
      <c r="T4" s="815" t="n">
        <v>10580.64</v>
      </c>
      <c r="U4" s="816" t="n">
        <v>31741.92</v>
      </c>
      <c r="V4" s="815" t="n">
        <v>10580.64</v>
      </c>
      <c r="W4" s="815" t="n">
        <v>10580.64</v>
      </c>
      <c r="X4" s="815" t="n">
        <v>10580.64</v>
      </c>
      <c r="Y4" s="816" t="n">
        <v>31741.92</v>
      </c>
      <c r="Z4" s="817" t="n">
        <v>126967.66</v>
      </c>
    </row>
    <row r="5">
      <c r="A5" s="437" t="inlineStr">
        <is>
          <t>Payroll Costs</t>
        </is>
      </c>
      <c r="B5" s="818" t="n">
        <v>1732945.65</v>
      </c>
      <c r="C5" s="813" t="n">
        <v>1987168.97</v>
      </c>
      <c r="D5" s="819" t="n"/>
      <c r="E5" s="818" t="n">
        <v>92676.10000000001</v>
      </c>
      <c r="F5" s="818" t="n">
        <v>118509.78</v>
      </c>
      <c r="G5" s="818" t="n">
        <v>43037.44</v>
      </c>
      <c r="H5" s="816" t="n">
        <v>254223.32</v>
      </c>
      <c r="I5" s="817" t="n"/>
      <c r="J5" s="818" t="n">
        <v>0</v>
      </c>
      <c r="K5" s="818" t="n">
        <v>0</v>
      </c>
      <c r="L5" s="818" t="n">
        <v>0</v>
      </c>
      <c r="M5" s="816" t="n">
        <v>0</v>
      </c>
      <c r="N5" s="818" t="n">
        <v>0</v>
      </c>
      <c r="O5" s="818" t="n">
        <v>0</v>
      </c>
      <c r="P5" s="818" t="n">
        <v>0</v>
      </c>
      <c r="Q5" s="816" t="n">
        <v>0</v>
      </c>
      <c r="R5" s="818" t="n">
        <v>0</v>
      </c>
      <c r="S5" s="818" t="n">
        <v>0</v>
      </c>
      <c r="T5" s="818" t="n">
        <v>0</v>
      </c>
      <c r="U5" s="816" t="n">
        <v>0</v>
      </c>
      <c r="V5" s="818" t="n">
        <v>0</v>
      </c>
      <c r="W5" s="818" t="n">
        <v>0</v>
      </c>
      <c r="X5" s="818" t="n">
        <v>0</v>
      </c>
      <c r="Y5" s="816" t="n">
        <v>0</v>
      </c>
      <c r="Z5" s="817" t="n">
        <v>0</v>
      </c>
    </row>
    <row r="6">
      <c r="A6" s="437" t="inlineStr">
        <is>
          <t>Non Payroll Costs</t>
        </is>
      </c>
      <c r="B6" s="818" t="n">
        <v>47750.98</v>
      </c>
      <c r="C6" s="813" t="n">
        <v>48729.82</v>
      </c>
      <c r="D6" s="819" t="n"/>
      <c r="E6" s="818" t="n">
        <v>417.31</v>
      </c>
      <c r="F6" s="818" t="n">
        <v>561.53</v>
      </c>
      <c r="G6" s="818" t="n">
        <v>0</v>
      </c>
      <c r="H6" s="816" t="n">
        <v>978.84</v>
      </c>
      <c r="I6" s="817" t="n"/>
      <c r="J6" s="818" t="n">
        <v>0</v>
      </c>
      <c r="K6" s="818" t="n">
        <v>0</v>
      </c>
      <c r="L6" s="818" t="n">
        <v>0</v>
      </c>
      <c r="M6" s="816" t="n">
        <v>0</v>
      </c>
      <c r="N6" s="818" t="n">
        <v>0</v>
      </c>
      <c r="O6" s="818" t="n">
        <v>0</v>
      </c>
      <c r="P6" s="818" t="n">
        <v>0</v>
      </c>
      <c r="Q6" s="816" t="n">
        <v>0</v>
      </c>
      <c r="R6" s="818" t="n">
        <v>0</v>
      </c>
      <c r="S6" s="818" t="n">
        <v>0</v>
      </c>
      <c r="T6" s="818" t="n">
        <v>0</v>
      </c>
      <c r="U6" s="816" t="n">
        <v>0</v>
      </c>
      <c r="V6" s="818" t="n">
        <v>0</v>
      </c>
      <c r="W6" s="818" t="n">
        <v>0</v>
      </c>
      <c r="X6" s="818" t="n">
        <v>0</v>
      </c>
      <c r="Y6" s="816" t="n">
        <v>0</v>
      </c>
      <c r="Z6" s="817" t="n">
        <v>0</v>
      </c>
    </row>
    <row r="7">
      <c r="A7" s="437" t="inlineStr">
        <is>
          <t>Capital Charges</t>
        </is>
      </c>
      <c r="B7" s="818" t="n">
        <v>43724.57</v>
      </c>
      <c r="C7" s="813" t="n">
        <v>53111.62</v>
      </c>
      <c r="D7" s="814" t="n"/>
      <c r="E7" s="818" t="n">
        <v>5443.77</v>
      </c>
      <c r="F7" s="818" t="n">
        <v>3101.68</v>
      </c>
      <c r="G7" s="818" t="n">
        <v>841.61</v>
      </c>
      <c r="H7" s="816" t="n">
        <v>9387.049999999999</v>
      </c>
      <c r="I7" s="817" t="n"/>
      <c r="J7" s="818" t="n">
        <v>327.82</v>
      </c>
      <c r="K7" s="818" t="n">
        <v>491.82</v>
      </c>
      <c r="L7" s="818" t="n">
        <v>264.52</v>
      </c>
      <c r="M7" s="816" t="n">
        <v>1084.17</v>
      </c>
      <c r="N7" s="818" t="n">
        <v>264.52</v>
      </c>
      <c r="O7" s="818" t="n">
        <v>322.71</v>
      </c>
      <c r="P7" s="818" t="n">
        <v>0</v>
      </c>
      <c r="Q7" s="816" t="n">
        <v>587.23</v>
      </c>
      <c r="R7" s="818" t="n">
        <v>264.52</v>
      </c>
      <c r="S7" s="818" t="n">
        <v>322.71</v>
      </c>
      <c r="T7" s="818" t="n">
        <v>0</v>
      </c>
      <c r="U7" s="816" t="n">
        <v>587.23</v>
      </c>
      <c r="V7" s="818" t="n">
        <v>264.52</v>
      </c>
      <c r="W7" s="818" t="n">
        <v>322.71</v>
      </c>
      <c r="X7" s="818" t="n">
        <v>0</v>
      </c>
      <c r="Y7" s="816" t="n">
        <v>587.23</v>
      </c>
      <c r="Z7" s="817" t="n">
        <v>2845.86</v>
      </c>
    </row>
    <row r="8">
      <c r="A8" s="441" t="inlineStr">
        <is>
          <t>Total Costs</t>
        </is>
      </c>
      <c r="B8" s="818" t="n">
        <v>1824421.21</v>
      </c>
      <c r="C8" s="813" t="n">
        <v>2089010.42</v>
      </c>
      <c r="D8" s="814" t="n"/>
      <c r="E8" s="820" t="n">
        <v>98537.17999999999</v>
      </c>
      <c r="F8" s="820" t="n">
        <v>122173</v>
      </c>
      <c r="G8" s="820" t="n">
        <v>43879.05</v>
      </c>
      <c r="H8" s="816" t="n">
        <v>264589.22</v>
      </c>
      <c r="I8" s="817" t="n"/>
      <c r="J8" s="820" t="n">
        <v>327.82</v>
      </c>
      <c r="K8" s="820" t="n">
        <v>491.82</v>
      </c>
      <c r="L8" s="820" t="n">
        <v>264.52</v>
      </c>
      <c r="M8" s="816" t="n">
        <v>1084.17</v>
      </c>
      <c r="N8" s="820" t="n">
        <v>264.52</v>
      </c>
      <c r="O8" s="820" t="n">
        <v>322.71</v>
      </c>
      <c r="P8" s="820" t="n">
        <v>0</v>
      </c>
      <c r="Q8" s="816" t="n">
        <v>587.23</v>
      </c>
      <c r="R8" s="820" t="n">
        <v>264.52</v>
      </c>
      <c r="S8" s="820" t="n">
        <v>322.71</v>
      </c>
      <c r="T8" s="820" t="n">
        <v>0</v>
      </c>
      <c r="U8" s="816" t="n">
        <v>587.23</v>
      </c>
      <c r="V8" s="820" t="n">
        <v>264.52</v>
      </c>
      <c r="W8" s="820" t="n">
        <v>322.71</v>
      </c>
      <c r="X8" s="820" t="n">
        <v>0</v>
      </c>
      <c r="Y8" s="816" t="n">
        <v>587.23</v>
      </c>
      <c r="Z8" s="817" t="n">
        <v>2845.86</v>
      </c>
    </row>
    <row r="9">
      <c r="A9" s="441" t="inlineStr">
        <is>
          <t>Contract CI</t>
        </is>
      </c>
      <c r="B9" s="818" t="n">
        <v>944613.23</v>
      </c>
      <c r="C9" s="821" t="n">
        <v>955643.45</v>
      </c>
      <c r="D9" s="814" t="n"/>
      <c r="E9" s="820" t="n">
        <v>-9876.790000000001</v>
      </c>
      <c r="F9" s="820" t="n">
        <v>-40824.51</v>
      </c>
      <c r="G9" s="820" t="n">
        <v>61731.51</v>
      </c>
      <c r="H9" s="816" t="n">
        <v>11030.22</v>
      </c>
      <c r="I9" s="817" t="n"/>
      <c r="J9" s="820" t="n">
        <v>10252.82</v>
      </c>
      <c r="K9" s="820" t="n">
        <v>10088.81</v>
      </c>
      <c r="L9" s="820" t="n">
        <v>10316.12</v>
      </c>
      <c r="M9" s="816" t="n">
        <v>30657.75</v>
      </c>
      <c r="N9" s="820" t="n">
        <v>10316.12</v>
      </c>
      <c r="O9" s="820" t="n">
        <v>10257.93</v>
      </c>
      <c r="P9" s="820" t="n">
        <v>10580.64</v>
      </c>
      <c r="Q9" s="816" t="n">
        <v>31154.69</v>
      </c>
      <c r="R9" s="820" t="n">
        <v>10316.12</v>
      </c>
      <c r="S9" s="820" t="n">
        <v>10257.93</v>
      </c>
      <c r="T9" s="820" t="n">
        <v>10580.64</v>
      </c>
      <c r="U9" s="816" t="n">
        <v>31154.69</v>
      </c>
      <c r="V9" s="820" t="n">
        <v>10316.12</v>
      </c>
      <c r="W9" s="820" t="n">
        <v>10257.93</v>
      </c>
      <c r="X9" s="820" t="n">
        <v>10580.64</v>
      </c>
      <c r="Y9" s="816" t="n">
        <v>31154.69</v>
      </c>
      <c r="Z9" s="817" t="n">
        <v>124121.81</v>
      </c>
    </row>
    <row r="10">
      <c r="A10" s="441" t="inlineStr">
        <is>
          <t>Contract CI</t>
        </is>
      </c>
      <c r="B10" s="822" t="n">
        <v>0.3411345191904879</v>
      </c>
      <c r="C10" s="823" t="n">
        <v>0.3138758918163645</v>
      </c>
      <c r="D10" s="824" t="n"/>
      <c r="E10" s="825" t="n">
        <v>-0.111400229589767</v>
      </c>
      <c r="F10" s="825" t="n">
        <v>-0.5018472385946082</v>
      </c>
      <c r="G10" s="825" t="n">
        <v>0.5845202739737426</v>
      </c>
      <c r="H10" s="456" t="n">
        <v>0.04001973880477488</v>
      </c>
      <c r="I10" s="826" t="n"/>
      <c r="J10" s="825" t="n">
        <v>0.9690166667692062</v>
      </c>
      <c r="K10" s="825" t="n">
        <v>0.9535165406456296</v>
      </c>
      <c r="L10" s="825" t="n">
        <v>0.9749998461907604</v>
      </c>
      <c r="M10" s="456" t="n">
        <v>0.9658443512018654</v>
      </c>
      <c r="N10" s="825" t="n">
        <v>0.9749998461907604</v>
      </c>
      <c r="O10" s="825" t="n">
        <v>0.9694996277816401</v>
      </c>
      <c r="P10" s="825" t="n">
        <v>1</v>
      </c>
      <c r="Q10" s="456" t="n">
        <v>0.9814998246574668</v>
      </c>
      <c r="R10" s="825" t="n">
        <v>0.9749998461907604</v>
      </c>
      <c r="S10" s="825" t="n">
        <v>0.9694996277816401</v>
      </c>
      <c r="T10" s="825" t="n">
        <v>1</v>
      </c>
      <c r="U10" s="456" t="n">
        <v>0.9814998246574668</v>
      </c>
      <c r="V10" s="825" t="n">
        <v>0.9749998461907604</v>
      </c>
      <c r="W10" s="825" t="n">
        <v>0.9694996277816401</v>
      </c>
      <c r="X10" s="825" t="n">
        <v>1</v>
      </c>
      <c r="Y10" s="456" t="n">
        <v>0.9814998246574668</v>
      </c>
      <c r="Z10" s="826" t="n">
        <v>0.9775859562935665</v>
      </c>
    </row>
    <row r="11">
      <c r="A11" s="441" t="n"/>
      <c r="B11" s="822" t="n"/>
      <c r="C11" s="823" t="n"/>
      <c r="D11" s="824" t="n"/>
      <c r="H11" s="456" t="n"/>
      <c r="I11" s="487" t="n"/>
      <c r="M11" s="456" t="n"/>
      <c r="Q11" s="456" t="n"/>
      <c r="U11" s="456" t="n"/>
      <c r="Y11" s="456" t="n"/>
      <c r="Z11" s="487" t="n"/>
    </row>
    <row r="12" customFormat="1" s="461">
      <c r="A12" s="458" t="n"/>
      <c r="B12" s="459" t="n"/>
      <c r="C12" s="459" t="n"/>
      <c r="D12" s="460" t="n"/>
      <c r="H12" s="459" t="n"/>
      <c r="I12" s="459" t="n"/>
      <c r="J12" s="459" t="n"/>
      <c r="M12" s="459" t="n"/>
      <c r="Q12" s="459" t="n"/>
      <c r="U12" s="459" t="n"/>
      <c r="Y12" s="459" t="n"/>
      <c r="Z12" s="459" t="n"/>
    </row>
    <row r="13" ht="17.25" customHeight="1" s="564">
      <c r="A13" s="480" t="inlineStr">
        <is>
          <t>9915583648 - BetaCredit studio accesso terze parti</t>
        </is>
      </c>
      <c r="H13" s="464" t="n"/>
      <c r="I13" s="487" t="n"/>
      <c r="M13" s="464" t="n"/>
      <c r="Q13" s="464" t="n"/>
      <c r="U13" s="464" t="n"/>
      <c r="Y13" s="464" t="n"/>
      <c r="Z13" s="487" t="n"/>
    </row>
    <row r="14" customFormat="1" s="469">
      <c r="A14" s="481" t="inlineStr">
        <is>
          <t>BJRYD001</t>
        </is>
      </c>
      <c r="B14" s="467" t="n"/>
      <c r="C14" s="468" t="n"/>
      <c r="H14" s="468" t="n"/>
      <c r="I14" s="468" t="n"/>
      <c r="M14" s="468" t="n"/>
      <c r="Q14" s="468" t="n"/>
      <c r="U14" s="468" t="n"/>
      <c r="Y14" s="468" t="n"/>
      <c r="Z14" s="468" t="n"/>
    </row>
    <row r="15" outlineLevel="1" s="564">
      <c r="A15" s="441" t="inlineStr">
        <is>
          <t>Billing</t>
        </is>
      </c>
      <c r="B15" s="827" t="n">
        <v>1050494.69</v>
      </c>
      <c r="C15" s="813" t="n">
        <v>1058872.23</v>
      </c>
      <c r="D15" s="814" t="n"/>
      <c r="E15" s="827" t="n">
        <v>8377.540000000001</v>
      </c>
      <c r="F15" s="827" t="n">
        <v>0</v>
      </c>
      <c r="G15" s="827" t="n">
        <v>0</v>
      </c>
      <c r="H15" s="816" t="n">
        <v>8377.540000000001</v>
      </c>
      <c r="I15" s="817" t="n">
        <v>513908.24</v>
      </c>
      <c r="J15" s="827" t="n">
        <v>0</v>
      </c>
      <c r="K15" s="827" t="n">
        <v>0</v>
      </c>
      <c r="L15" s="827" t="n">
        <v>0</v>
      </c>
      <c r="M15" s="816" t="n">
        <v>0</v>
      </c>
      <c r="N15" s="827" t="n">
        <v>0</v>
      </c>
      <c r="O15" s="827" t="n">
        <v>0</v>
      </c>
      <c r="P15" s="827" t="n">
        <v>0</v>
      </c>
      <c r="Q15" s="816" t="n">
        <v>0</v>
      </c>
      <c r="R15" s="827" t="n">
        <v>0</v>
      </c>
      <c r="S15" s="827" t="n">
        <v>0</v>
      </c>
      <c r="T15" s="827" t="n">
        <v>0</v>
      </c>
      <c r="U15" s="816" t="n">
        <v>0</v>
      </c>
      <c r="V15" s="827" t="n">
        <v>0</v>
      </c>
      <c r="W15" s="827" t="n">
        <v>0</v>
      </c>
      <c r="X15" s="827" t="n">
        <v>0</v>
      </c>
      <c r="Y15" s="816" t="n">
        <v>0</v>
      </c>
      <c r="Z15" s="817" t="n">
        <v>0</v>
      </c>
    </row>
    <row r="16" outlineLevel="1" s="564">
      <c r="A16" s="441" t="inlineStr">
        <is>
          <t>Revenue</t>
        </is>
      </c>
      <c r="B16" s="827" t="n">
        <v>1050512.6</v>
      </c>
      <c r="C16" s="813" t="n">
        <v>1153920.06</v>
      </c>
      <c r="D16" s="814" t="n"/>
      <c r="E16" s="827" t="n">
        <v>8377.540000000001</v>
      </c>
      <c r="F16" s="827" t="n">
        <v>0</v>
      </c>
      <c r="G16" s="827" t="n">
        <v>95029.92</v>
      </c>
      <c r="H16" s="816" t="n">
        <v>103407.46</v>
      </c>
      <c r="I16" s="817" t="n">
        <v>1257327.52</v>
      </c>
      <c r="J16" s="827" t="n"/>
      <c r="K16" s="827" t="n">
        <v>0</v>
      </c>
      <c r="L16" s="827" t="n">
        <v>0</v>
      </c>
      <c r="M16" s="816" t="n">
        <v>0</v>
      </c>
      <c r="N16" s="827" t="n"/>
      <c r="O16" s="827" t="n">
        <v>0</v>
      </c>
      <c r="P16" s="827" t="n">
        <v>0</v>
      </c>
      <c r="Q16" s="816" t="n">
        <v>0</v>
      </c>
      <c r="R16" s="827" t="n"/>
      <c r="S16" s="827" t="n">
        <v>0</v>
      </c>
      <c r="T16" s="827" t="n">
        <v>0</v>
      </c>
      <c r="U16" s="816" t="n">
        <v>0</v>
      </c>
      <c r="V16" s="827" t="n"/>
      <c r="W16" s="827" t="n">
        <v>0</v>
      </c>
      <c r="X16" s="827" t="n">
        <v>0</v>
      </c>
      <c r="Y16" s="816" t="n">
        <v>0</v>
      </c>
      <c r="Z16" s="817" t="n">
        <v>0</v>
      </c>
    </row>
    <row r="17" outlineLevel="1" s="564">
      <c r="A17" s="437" t="inlineStr">
        <is>
          <t>Payroll</t>
        </is>
      </c>
      <c r="B17" s="827" t="n">
        <v>642777.88</v>
      </c>
      <c r="C17" s="828" t="n">
        <v>787379.6800000001</v>
      </c>
      <c r="D17" s="814" t="n"/>
      <c r="E17" s="829" t="n">
        <v>17066.73</v>
      </c>
      <c r="F17" s="829" t="n">
        <v>85917.97</v>
      </c>
      <c r="G17" s="829" t="n">
        <v>41617.1</v>
      </c>
      <c r="H17" s="816" t="n">
        <v>144601.8</v>
      </c>
      <c r="I17" s="817" t="n">
        <v>931981.49</v>
      </c>
      <c r="J17" s="829" t="n">
        <v>0</v>
      </c>
      <c r="K17" s="829" t="n">
        <v>0</v>
      </c>
      <c r="L17" s="829" t="n">
        <v>0</v>
      </c>
      <c r="M17" s="816" t="n">
        <v>0</v>
      </c>
      <c r="N17" s="829" t="n">
        <v>0</v>
      </c>
      <c r="O17" s="829" t="n">
        <v>0</v>
      </c>
      <c r="P17" s="829" t="n">
        <v>0</v>
      </c>
      <c r="Q17" s="816" t="n">
        <v>0</v>
      </c>
      <c r="R17" s="829" t="n">
        <v>0</v>
      </c>
      <c r="S17" s="829" t="n">
        <v>0</v>
      </c>
      <c r="T17" s="829" t="n">
        <v>0</v>
      </c>
      <c r="U17" s="816" t="n">
        <v>0</v>
      </c>
      <c r="V17" s="829" t="n">
        <v>0</v>
      </c>
      <c r="W17" s="829" t="n">
        <v>0</v>
      </c>
      <c r="X17" s="829" t="n">
        <v>0</v>
      </c>
      <c r="Y17" s="816" t="n">
        <v>0</v>
      </c>
      <c r="Z17" s="817" t="n">
        <v>0</v>
      </c>
    </row>
    <row r="18" outlineLevel="1" ht="12.5" customHeight="1" s="564">
      <c r="A18" s="437" t="inlineStr">
        <is>
          <t>Non Payroll</t>
        </is>
      </c>
      <c r="B18" s="827" t="n">
        <v>1825.85</v>
      </c>
      <c r="C18" s="828" t="n">
        <v>2144.84</v>
      </c>
      <c r="D18" s="814" t="n"/>
      <c r="E18" s="827" t="n">
        <v>200.25</v>
      </c>
      <c r="F18" s="827" t="n">
        <v>118.74</v>
      </c>
      <c r="G18" s="827" t="n">
        <v>0</v>
      </c>
      <c r="H18" s="816" t="n">
        <v>318.99</v>
      </c>
      <c r="I18" s="817" t="n">
        <v>2463.83</v>
      </c>
      <c r="J18" s="827" t="n">
        <v>0</v>
      </c>
      <c r="K18" s="827" t="n">
        <v>0</v>
      </c>
      <c r="L18" s="827" t="n">
        <v>0</v>
      </c>
      <c r="M18" s="816" t="n">
        <v>0</v>
      </c>
      <c r="N18" s="827" t="n">
        <v>0</v>
      </c>
      <c r="O18" s="827" t="n">
        <v>0</v>
      </c>
      <c r="P18" s="827" t="n">
        <v>0</v>
      </c>
      <c r="Q18" s="816" t="n">
        <v>0</v>
      </c>
      <c r="R18" s="827" t="n">
        <v>0</v>
      </c>
      <c r="S18" s="827" t="n">
        <v>0</v>
      </c>
      <c r="T18" s="827" t="n">
        <v>0</v>
      </c>
      <c r="U18" s="816" t="n">
        <v>0</v>
      </c>
      <c r="V18" s="827" t="n">
        <v>0</v>
      </c>
      <c r="W18" s="827" t="n">
        <v>0</v>
      </c>
      <c r="X18" s="827" t="n">
        <v>0</v>
      </c>
      <c r="Y18" s="816" t="n">
        <v>0</v>
      </c>
      <c r="Z18" s="817" t="n">
        <v>0</v>
      </c>
    </row>
    <row r="19" outlineLevel="1" s="564">
      <c r="A19" s="437" t="inlineStr">
        <is>
          <t>Capital Charge</t>
        </is>
      </c>
      <c r="B19" s="827" t="n">
        <v>19650.49</v>
      </c>
      <c r="C19" s="830" t="n">
        <v>21817.73</v>
      </c>
      <c r="D19" s="814" t="n"/>
      <c r="E19" s="827" t="n">
        <v>1766.52</v>
      </c>
      <c r="F19" s="827" t="n">
        <v>400.72</v>
      </c>
      <c r="G19" s="827" t="n">
        <v>0</v>
      </c>
      <c r="H19" s="816" t="n">
        <v>2167.24</v>
      </c>
      <c r="I19" s="817" t="n">
        <v>23984.97</v>
      </c>
      <c r="J19" s="827" t="n">
        <v>0</v>
      </c>
      <c r="K19" s="827" t="n">
        <v>0</v>
      </c>
      <c r="L19" s="827" t="n">
        <v>0</v>
      </c>
      <c r="M19" s="816" t="n">
        <v>0</v>
      </c>
      <c r="N19" s="827" t="n">
        <v>0</v>
      </c>
      <c r="O19" s="827" t="n">
        <v>0</v>
      </c>
      <c r="P19" s="827" t="n">
        <v>0</v>
      </c>
      <c r="Q19" s="816" t="n">
        <v>0</v>
      </c>
      <c r="R19" s="827" t="n">
        <v>0</v>
      </c>
      <c r="S19" s="827" t="n">
        <v>0</v>
      </c>
      <c r="T19" s="827" t="n">
        <v>0</v>
      </c>
      <c r="U19" s="816" t="n">
        <v>0</v>
      </c>
      <c r="V19" s="827" t="n">
        <v>0</v>
      </c>
      <c r="W19" s="827" t="n">
        <v>0</v>
      </c>
      <c r="X19" s="827" t="n">
        <v>0</v>
      </c>
      <c r="Y19" s="816" t="n">
        <v>0</v>
      </c>
      <c r="Z19" s="817" t="n">
        <v>0</v>
      </c>
    </row>
    <row r="20" outlineLevel="1" s="564">
      <c r="A20" s="441" t="inlineStr">
        <is>
          <t>Total Cost</t>
        </is>
      </c>
      <c r="B20" s="812" t="n">
        <v>664254.21</v>
      </c>
      <c r="C20" s="813" t="n">
        <v>811342.25</v>
      </c>
      <c r="D20" s="814" t="n"/>
      <c r="E20" s="812" t="n">
        <v>19033.5</v>
      </c>
      <c r="F20" s="812" t="n">
        <v>86437.44</v>
      </c>
      <c r="G20" s="812" t="n">
        <v>41617.1</v>
      </c>
      <c r="H20" s="816" t="n">
        <v>147088.04</v>
      </c>
      <c r="I20" s="817" t="n">
        <v>958430.29</v>
      </c>
      <c r="J20" s="812" t="n">
        <v>0</v>
      </c>
      <c r="K20" s="812" t="n">
        <v>0</v>
      </c>
      <c r="L20" s="812" t="n">
        <v>0</v>
      </c>
      <c r="M20" s="816" t="n">
        <v>0</v>
      </c>
      <c r="N20" s="812" t="n">
        <v>0</v>
      </c>
      <c r="O20" s="812" t="n">
        <v>0</v>
      </c>
      <c r="P20" s="812" t="n">
        <v>0</v>
      </c>
      <c r="Q20" s="816" t="n">
        <v>0</v>
      </c>
      <c r="R20" s="812" t="n">
        <v>0</v>
      </c>
      <c r="S20" s="812" t="n">
        <v>0</v>
      </c>
      <c r="T20" s="812" t="n">
        <v>0</v>
      </c>
      <c r="U20" s="816" t="n">
        <v>0</v>
      </c>
      <c r="V20" s="812" t="n">
        <v>0</v>
      </c>
      <c r="W20" s="812" t="n">
        <v>0</v>
      </c>
      <c r="X20" s="812" t="n">
        <v>0</v>
      </c>
      <c r="Y20" s="816" t="n">
        <v>0</v>
      </c>
      <c r="Z20" s="817" t="n">
        <v>0</v>
      </c>
    </row>
    <row r="21" outlineLevel="1" s="564">
      <c r="A21" s="441" t="inlineStr">
        <is>
          <t>CCI</t>
        </is>
      </c>
      <c r="B21" s="818" t="n">
        <v>386258.39</v>
      </c>
      <c r="C21" s="813" t="n">
        <v>342577.81</v>
      </c>
      <c r="D21" s="814" t="n"/>
      <c r="E21" s="818" t="n">
        <v>-10655.96</v>
      </c>
      <c r="F21" s="818" t="n">
        <v>-86437.44</v>
      </c>
      <c r="G21" s="818" t="n">
        <v>53412.82</v>
      </c>
      <c r="H21" s="816" t="n">
        <v>-43680.58</v>
      </c>
      <c r="I21" s="817" t="n">
        <v>298897.23</v>
      </c>
      <c r="J21" s="818" t="n">
        <v>0</v>
      </c>
      <c r="K21" s="818" t="n">
        <v>0</v>
      </c>
      <c r="L21" s="818" t="n">
        <v>0</v>
      </c>
      <c r="M21" s="816" t="n">
        <v>0</v>
      </c>
      <c r="N21" s="818" t="n">
        <v>0</v>
      </c>
      <c r="O21" s="818" t="n">
        <v>0</v>
      </c>
      <c r="P21" s="818" t="n">
        <v>0</v>
      </c>
      <c r="Q21" s="816" t="n">
        <v>0</v>
      </c>
      <c r="R21" s="818" t="n">
        <v>0</v>
      </c>
      <c r="S21" s="818" t="n">
        <v>0</v>
      </c>
      <c r="T21" s="818" t="n">
        <v>0</v>
      </c>
      <c r="U21" s="816" t="n">
        <v>0</v>
      </c>
      <c r="V21" s="818" t="n">
        <v>0</v>
      </c>
      <c r="W21" s="818" t="n">
        <v>0</v>
      </c>
      <c r="X21" s="818" t="n">
        <v>0</v>
      </c>
      <c r="Y21" s="816" t="n">
        <v>0</v>
      </c>
      <c r="Z21" s="817" t="n">
        <v>0</v>
      </c>
    </row>
    <row r="22" outlineLevel="1" s="564">
      <c r="A22" s="441" t="inlineStr">
        <is>
          <t>CCI %</t>
        </is>
      </c>
      <c r="B22" s="822" t="n">
        <v>0.3676856286339586</v>
      </c>
      <c r="C22" s="823" t="n">
        <v>0.2968817504669544</v>
      </c>
      <c r="D22" s="824" t="n"/>
      <c r="E22" s="822" t="n">
        <v>-1.04</v>
      </c>
      <c r="F22" s="822" t="n">
        <v>0</v>
      </c>
      <c r="G22" s="822" t="n">
        <v>0.5620632085202328</v>
      </c>
      <c r="H22" s="831" t="n">
        <v>-0.4224122449708665</v>
      </c>
      <c r="I22" s="826" t="n">
        <v>0.2377242399677365</v>
      </c>
      <c r="J22" s="822" t="n">
        <v>0</v>
      </c>
      <c r="K22" s="822" t="n">
        <v>0</v>
      </c>
      <c r="L22" s="822" t="n">
        <v>0</v>
      </c>
      <c r="M22" s="831" t="n">
        <v>0</v>
      </c>
      <c r="N22" s="822" t="n">
        <v>0</v>
      </c>
      <c r="O22" s="822" t="n">
        <v>0</v>
      </c>
      <c r="P22" s="822" t="n">
        <v>0</v>
      </c>
      <c r="Q22" s="831" t="n">
        <v>0</v>
      </c>
      <c r="R22" s="822" t="n">
        <v>0</v>
      </c>
      <c r="S22" s="822" t="n">
        <v>0</v>
      </c>
      <c r="T22" s="822" t="n">
        <v>0</v>
      </c>
      <c r="U22" s="831" t="n">
        <v>0</v>
      </c>
      <c r="V22" s="822" t="n">
        <v>0</v>
      </c>
      <c r="W22" s="822" t="n">
        <v>0</v>
      </c>
      <c r="X22" s="822" t="n">
        <v>0</v>
      </c>
      <c r="Y22" s="831" t="n">
        <v>0</v>
      </c>
      <c r="Z22" s="826" t="e">
        <v>#DIV/0!</v>
      </c>
    </row>
    <row r="23">
      <c r="A23" s="441" t="n"/>
      <c r="B23" s="475" t="n"/>
      <c r="C23" s="823" t="n"/>
      <c r="D23" s="824" t="n"/>
      <c r="E23" s="822" t="n"/>
      <c r="F23" s="822" t="n"/>
      <c r="G23" s="822" t="n"/>
      <c r="H23" s="831" t="n"/>
      <c r="I23" s="487" t="n"/>
      <c r="J23" s="822" t="n"/>
      <c r="K23" s="822" t="n"/>
      <c r="L23" s="822" t="n"/>
      <c r="M23" s="831" t="n"/>
      <c r="N23" s="822" t="n"/>
      <c r="O23" s="822" t="n"/>
      <c r="P23" s="822" t="n"/>
      <c r="Q23" s="831" t="n"/>
      <c r="R23" s="822" t="n"/>
      <c r="S23" s="822" t="n"/>
      <c r="T23" s="822" t="n"/>
      <c r="U23" s="831" t="n"/>
      <c r="V23" s="822" t="n"/>
      <c r="W23" s="822" t="n"/>
      <c r="X23" s="822" t="n"/>
      <c r="Y23" s="831" t="n"/>
      <c r="Z23" s="487" t="n"/>
    </row>
    <row r="24">
      <c r="A24" s="441" t="n"/>
      <c r="B24" s="475" t="n"/>
      <c r="C24" s="823" t="n"/>
      <c r="D24" s="824" t="n"/>
      <c r="E24" s="822" t="n"/>
      <c r="F24" s="822" t="n"/>
      <c r="G24" s="822" t="n"/>
      <c r="H24" s="831" t="n"/>
      <c r="I24" s="487" t="n"/>
      <c r="J24" s="822" t="n"/>
      <c r="K24" s="822" t="n"/>
      <c r="L24" s="822" t="n"/>
      <c r="M24" s="831" t="n"/>
      <c r="N24" s="822" t="n"/>
      <c r="O24" s="822" t="n"/>
      <c r="P24" s="822" t="n"/>
      <c r="Q24" s="831" t="n"/>
      <c r="R24" s="822" t="n"/>
      <c r="S24" s="822" t="n"/>
      <c r="T24" s="822" t="n"/>
      <c r="U24" s="831" t="n"/>
      <c r="V24" s="822" t="n"/>
      <c r="W24" s="822" t="n"/>
      <c r="X24" s="822" t="n"/>
      <c r="Y24" s="831" t="n"/>
      <c r="Z24" s="487" t="n"/>
    </row>
    <row r="25">
      <c r="A25" s="476" t="inlineStr">
        <is>
          <t>9997412455 - Supporto in ambito logon</t>
        </is>
      </c>
      <c r="B25" s="477" t="n"/>
      <c r="H25" s="464" t="n"/>
      <c r="I25" s="487" t="n"/>
      <c r="M25" s="464" t="n"/>
      <c r="Q25" s="464" t="n"/>
      <c r="U25" s="464" t="n"/>
      <c r="Y25" s="464" t="n"/>
      <c r="Z25" s="487" t="n"/>
    </row>
    <row r="26" customFormat="1" s="469">
      <c r="A26" s="466" t="inlineStr">
        <is>
          <t>BGTY8001</t>
        </is>
      </c>
      <c r="B26" s="467" t="n"/>
      <c r="C26" s="468" t="n"/>
      <c r="H26" s="468" t="n"/>
      <c r="I26" s="468" t="n"/>
      <c r="M26" s="468" t="n"/>
      <c r="Q26" s="468" t="n"/>
      <c r="U26" s="468" t="n"/>
      <c r="Y26" s="468" t="n"/>
      <c r="Z26" s="468" t="n"/>
    </row>
    <row r="27" outlineLevel="1" s="564">
      <c r="A27" s="441" t="inlineStr">
        <is>
          <t>Billing</t>
        </is>
      </c>
      <c r="B27" s="827" t="n">
        <v>1715709.35</v>
      </c>
      <c r="C27" s="813" t="n">
        <v>1931253.64</v>
      </c>
      <c r="E27" s="827" t="n">
        <v>181627.25</v>
      </c>
      <c r="F27" s="827" t="n">
        <v>3700.68</v>
      </c>
      <c r="G27" s="827" t="n">
        <v>30216.35</v>
      </c>
      <c r="H27" s="816" t="n">
        <v>215544.29</v>
      </c>
      <c r="I27" s="817" t="n">
        <v>1009532.19</v>
      </c>
      <c r="J27" s="827" t="n">
        <v>79355.91</v>
      </c>
      <c r="K27" s="827" t="n">
        <v>0</v>
      </c>
      <c r="L27" s="827" t="n">
        <v>0</v>
      </c>
      <c r="M27" s="816" t="n">
        <v>79355.91</v>
      </c>
      <c r="N27" s="827" t="n">
        <v>26451.59</v>
      </c>
      <c r="O27" s="827" t="n">
        <v>0</v>
      </c>
      <c r="P27" s="827" t="n">
        <v>0</v>
      </c>
      <c r="Q27" s="816" t="n">
        <v>26451.59</v>
      </c>
      <c r="R27" s="827" t="n">
        <v>26451.59</v>
      </c>
      <c r="S27" s="827" t="n">
        <v>0</v>
      </c>
      <c r="T27" s="827" t="n">
        <v>0</v>
      </c>
      <c r="U27" s="816" t="n">
        <v>26451.59</v>
      </c>
      <c r="V27" s="827" t="n">
        <v>26451.59</v>
      </c>
      <c r="W27" s="827" t="n">
        <v>0</v>
      </c>
      <c r="X27" s="827" t="n">
        <v>0</v>
      </c>
      <c r="Y27" s="816" t="n">
        <v>26451.59</v>
      </c>
      <c r="Z27" s="817" t="n">
        <v>158710.67</v>
      </c>
    </row>
    <row r="28" outlineLevel="1" s="564">
      <c r="A28" s="441" t="inlineStr">
        <is>
          <t>Revenue</t>
        </is>
      </c>
      <c r="B28" s="827" t="n">
        <v>1718521.84</v>
      </c>
      <c r="C28" s="813" t="n">
        <v>1890733.81</v>
      </c>
      <c r="D28" s="814" t="n"/>
      <c r="E28" s="827" t="n">
        <v>80282.86</v>
      </c>
      <c r="F28" s="827" t="n">
        <v>81348.48</v>
      </c>
      <c r="G28" s="827" t="n">
        <v>10580.64</v>
      </c>
      <c r="H28" s="816" t="n">
        <v>172211.97</v>
      </c>
      <c r="I28" s="817" t="n">
        <v>1002507.26</v>
      </c>
      <c r="J28" s="827" t="n">
        <v>10580.64</v>
      </c>
      <c r="K28" s="827" t="n">
        <v>10580.64</v>
      </c>
      <c r="L28" s="827" t="n">
        <v>10580.64</v>
      </c>
      <c r="M28" s="816" t="n">
        <v>31741.92</v>
      </c>
      <c r="N28" s="827" t="n">
        <v>10580.64</v>
      </c>
      <c r="O28" s="827" t="n">
        <v>10580.64</v>
      </c>
      <c r="P28" s="827" t="n">
        <v>10580.64</v>
      </c>
      <c r="Q28" s="816" t="n">
        <v>31741.92</v>
      </c>
      <c r="R28" s="827" t="n">
        <v>10580.64</v>
      </c>
      <c r="S28" s="827" t="n">
        <v>10580.64</v>
      </c>
      <c r="T28" s="827" t="n">
        <v>10580.64</v>
      </c>
      <c r="U28" s="816" t="n">
        <v>31741.92</v>
      </c>
      <c r="V28" s="827" t="n">
        <v>10580.64</v>
      </c>
      <c r="W28" s="827" t="n">
        <v>10580.64</v>
      </c>
      <c r="X28" s="827" t="n">
        <v>10580.64</v>
      </c>
      <c r="Y28" s="816" t="n">
        <v>31741.92</v>
      </c>
      <c r="Z28" s="817" t="n">
        <v>126967.66</v>
      </c>
    </row>
    <row r="29" outlineLevel="1" s="564">
      <c r="A29" s="437" t="inlineStr">
        <is>
          <t>Payroll</t>
        </is>
      </c>
      <c r="B29" s="827" t="n">
        <v>1090167.77</v>
      </c>
      <c r="C29" s="828" t="n">
        <v>1199789.29</v>
      </c>
      <c r="D29" s="814" t="n"/>
      <c r="E29" s="829" t="n">
        <v>75609.37</v>
      </c>
      <c r="F29" s="829" t="n">
        <v>32591.81</v>
      </c>
      <c r="G29" s="829" t="n">
        <v>1420.34</v>
      </c>
      <c r="H29" s="816" t="n">
        <v>109621.52</v>
      </c>
      <c r="I29" s="817" t="n">
        <v>587712.11</v>
      </c>
      <c r="J29" s="829" t="n">
        <v>0</v>
      </c>
      <c r="K29" s="829" t="n">
        <v>0</v>
      </c>
      <c r="L29" s="829" t="n">
        <v>0</v>
      </c>
      <c r="M29" s="816" t="n">
        <v>0</v>
      </c>
      <c r="N29" s="829" t="n">
        <v>0</v>
      </c>
      <c r="O29" s="829" t="n">
        <v>0</v>
      </c>
      <c r="P29" s="829" t="n">
        <v>0</v>
      </c>
      <c r="Q29" s="816" t="n">
        <v>0</v>
      </c>
      <c r="R29" s="829" t="n">
        <v>0</v>
      </c>
      <c r="S29" s="829" t="n">
        <v>0</v>
      </c>
      <c r="T29" s="829" t="n">
        <v>0</v>
      </c>
      <c r="U29" s="816" t="n">
        <v>0</v>
      </c>
      <c r="V29" s="829" t="n">
        <v>0</v>
      </c>
      <c r="W29" s="829" t="n">
        <v>0</v>
      </c>
      <c r="X29" s="829" t="n">
        <v>0</v>
      </c>
      <c r="Y29" s="816" t="n">
        <v>0</v>
      </c>
      <c r="Z29" s="817" t="n">
        <v>0</v>
      </c>
    </row>
    <row r="30" outlineLevel="1" s="564">
      <c r="A30" s="437" t="inlineStr">
        <is>
          <t>Non Payroll</t>
        </is>
      </c>
      <c r="B30" s="827" t="n">
        <v>45925.14</v>
      </c>
      <c r="C30" s="828" t="n">
        <v>46584.98</v>
      </c>
      <c r="D30" s="814" t="n"/>
      <c r="E30" s="827" t="n">
        <v>217.06</v>
      </c>
      <c r="F30" s="827" t="n">
        <v>442.78</v>
      </c>
      <c r="G30" s="827" t="n"/>
      <c r="H30" s="816" t="n">
        <v>659.85</v>
      </c>
      <c r="I30" s="817" t="n">
        <v>23470.88</v>
      </c>
      <c r="J30" s="827" t="n"/>
      <c r="K30" s="827" t="n">
        <v>0</v>
      </c>
      <c r="L30" s="827" t="n">
        <v>0</v>
      </c>
      <c r="M30" s="816" t="n">
        <v>0</v>
      </c>
      <c r="N30" s="827" t="n"/>
      <c r="O30" s="827" t="n">
        <v>0</v>
      </c>
      <c r="P30" s="827" t="n">
        <v>0</v>
      </c>
      <c r="Q30" s="816" t="n">
        <v>0</v>
      </c>
      <c r="R30" s="827" t="n"/>
      <c r="S30" s="827" t="n">
        <v>0</v>
      </c>
      <c r="T30" s="827" t="n">
        <v>0</v>
      </c>
      <c r="U30" s="816" t="n">
        <v>0</v>
      </c>
      <c r="V30" s="827" t="n"/>
      <c r="W30" s="827" t="n">
        <v>0</v>
      </c>
      <c r="X30" s="827" t="n">
        <v>0</v>
      </c>
      <c r="Y30" s="816" t="n">
        <v>0</v>
      </c>
      <c r="Z30" s="817" t="n">
        <v>0</v>
      </c>
    </row>
    <row r="31" outlineLevel="1" s="564">
      <c r="A31" s="437" t="inlineStr">
        <is>
          <t>Capital Charge</t>
        </is>
      </c>
      <c r="B31" s="827" t="n">
        <v>24074.08</v>
      </c>
      <c r="C31" s="832" t="n">
        <v>31293.89</v>
      </c>
      <c r="D31" s="814" t="n"/>
      <c r="E31" s="827" t="n">
        <v>3677.25</v>
      </c>
      <c r="F31" s="827" t="n">
        <v>2700.96</v>
      </c>
      <c r="G31" s="827" t="n">
        <v>841.61</v>
      </c>
      <c r="H31" s="816" t="n">
        <v>7219.81</v>
      </c>
      <c r="I31" s="817" t="n">
        <v>27805.46</v>
      </c>
      <c r="J31" s="827" t="n">
        <v>327.82</v>
      </c>
      <c r="K31" s="827" t="n">
        <v>491.82</v>
      </c>
      <c r="L31" s="827" t="n">
        <v>264.52</v>
      </c>
      <c r="M31" s="816" t="n">
        <v>1084.17</v>
      </c>
      <c r="N31" s="827" t="n">
        <v>264.52</v>
      </c>
      <c r="O31" s="827" t="n">
        <v>322.71</v>
      </c>
      <c r="P31" s="827" t="n">
        <v>0</v>
      </c>
      <c r="Q31" s="816" t="n">
        <v>587.23</v>
      </c>
      <c r="R31" s="827" t="n">
        <v>264.52</v>
      </c>
      <c r="S31" s="827" t="n">
        <v>322.71</v>
      </c>
      <c r="T31" s="827" t="n">
        <v>0</v>
      </c>
      <c r="U31" s="816" t="n">
        <v>587.23</v>
      </c>
      <c r="V31" s="827" t="n">
        <v>264.52</v>
      </c>
      <c r="W31" s="827" t="n">
        <v>322.71</v>
      </c>
      <c r="X31" s="827" t="n">
        <v>0</v>
      </c>
      <c r="Y31" s="816" t="n">
        <v>587.23</v>
      </c>
      <c r="Z31" s="817" t="n">
        <v>2845.86</v>
      </c>
    </row>
    <row r="32" outlineLevel="1" s="564">
      <c r="A32" s="441" t="inlineStr">
        <is>
          <t>Total Cost</t>
        </is>
      </c>
      <c r="B32" s="812" t="n">
        <v>1160166.99</v>
      </c>
      <c r="C32" s="813" t="n">
        <v>1277668.17</v>
      </c>
      <c r="D32" s="814" t="n"/>
      <c r="E32" s="812" t="n">
        <v>79503.67999999999</v>
      </c>
      <c r="F32" s="812" t="n">
        <v>35735.55</v>
      </c>
      <c r="G32" s="812" t="n">
        <v>2261.95</v>
      </c>
      <c r="H32" s="816" t="n">
        <v>117501.18</v>
      </c>
      <c r="I32" s="817" t="n">
        <v>638988.45</v>
      </c>
      <c r="J32" s="812" t="n">
        <v>327.82</v>
      </c>
      <c r="K32" s="812" t="n">
        <v>491.82</v>
      </c>
      <c r="L32" s="812" t="n">
        <v>264.52</v>
      </c>
      <c r="M32" s="816" t="n">
        <v>1084.17</v>
      </c>
      <c r="N32" s="812" t="n">
        <v>264.52</v>
      </c>
      <c r="O32" s="812" t="n">
        <v>322.71</v>
      </c>
      <c r="P32" s="812" t="n">
        <v>0</v>
      </c>
      <c r="Q32" s="816" t="n">
        <v>587.23</v>
      </c>
      <c r="R32" s="812" t="n">
        <v>264.52</v>
      </c>
      <c r="S32" s="812" t="n">
        <v>322.71</v>
      </c>
      <c r="T32" s="812" t="n">
        <v>0</v>
      </c>
      <c r="U32" s="816" t="n">
        <v>587.23</v>
      </c>
      <c r="V32" s="812" t="n">
        <v>264.52</v>
      </c>
      <c r="W32" s="812" t="n">
        <v>322.71</v>
      </c>
      <c r="X32" s="812" t="n">
        <v>0</v>
      </c>
      <c r="Y32" s="816" t="n">
        <v>587.23</v>
      </c>
      <c r="Z32" s="817" t="n">
        <v>2845.86</v>
      </c>
    </row>
    <row r="33" outlineLevel="1" s="564">
      <c r="A33" s="441" t="inlineStr">
        <is>
          <t>CCI</t>
        </is>
      </c>
      <c r="B33" s="812" t="n">
        <v>558354.85</v>
      </c>
      <c r="C33" s="813" t="n">
        <v>613065.64</v>
      </c>
      <c r="D33" s="814" t="n"/>
      <c r="E33" s="818" t="n">
        <v>779.17</v>
      </c>
      <c r="F33" s="818" t="n">
        <v>45612.93</v>
      </c>
      <c r="G33" s="818" t="n">
        <v>8318.690000000001</v>
      </c>
      <c r="H33" s="816" t="n">
        <v>54710.8</v>
      </c>
      <c r="I33" s="817" t="n">
        <v>363518.82</v>
      </c>
      <c r="J33" s="818" t="n">
        <v>10252.82</v>
      </c>
      <c r="K33" s="818" t="n">
        <v>10088.81</v>
      </c>
      <c r="L33" s="818" t="n">
        <v>10316.12</v>
      </c>
      <c r="M33" s="816" t="n">
        <v>30657.75</v>
      </c>
      <c r="N33" s="818" t="n">
        <v>10316.12</v>
      </c>
      <c r="O33" s="818" t="n">
        <v>10257.93</v>
      </c>
      <c r="P33" s="818" t="n">
        <v>10580.64</v>
      </c>
      <c r="Q33" s="816" t="n">
        <v>31154.69</v>
      </c>
      <c r="R33" s="818" t="n">
        <v>10316.12</v>
      </c>
      <c r="S33" s="818" t="n">
        <v>10257.93</v>
      </c>
      <c r="T33" s="818" t="n">
        <v>10580.64</v>
      </c>
      <c r="U33" s="816" t="n">
        <v>31154.69</v>
      </c>
      <c r="V33" s="818" t="n">
        <v>10316.12</v>
      </c>
      <c r="W33" s="818" t="n">
        <v>10257.93</v>
      </c>
      <c r="X33" s="818" t="n">
        <v>10580.64</v>
      </c>
      <c r="Y33" s="816" t="n">
        <v>31154.69</v>
      </c>
      <c r="Z33" s="817" t="n">
        <v>124121.81</v>
      </c>
    </row>
    <row r="34" outlineLevel="1" s="564">
      <c r="A34" s="441" t="inlineStr">
        <is>
          <t>CCI %</t>
        </is>
      </c>
      <c r="B34" s="822" t="n">
        <v>0.3249041318749036</v>
      </c>
      <c r="C34" s="823" t="n">
        <v>0.324247463181648</v>
      </c>
      <c r="D34" s="824" t="n"/>
      <c r="E34" s="822" t="n">
        <v>0.00970536857687136</v>
      </c>
      <c r="F34" s="822" t="n">
        <v>0.5607103078764334</v>
      </c>
      <c r="G34" s="822" t="n">
        <v>0.7862182307015547</v>
      </c>
      <c r="H34" s="831" t="n">
        <v>0.317694495508471</v>
      </c>
      <c r="I34" s="826" t="n">
        <v>0.3626096576586387</v>
      </c>
      <c r="J34" s="822" t="n">
        <v>0.9690166667692062</v>
      </c>
      <c r="K34" s="822" t="n">
        <v>0.9535165406456296</v>
      </c>
      <c r="L34" s="822" t="n">
        <v>0.9749998461907604</v>
      </c>
      <c r="M34" s="831" t="n">
        <v>0.9658443512018654</v>
      </c>
      <c r="N34" s="822" t="n">
        <v>0.9749998461907604</v>
      </c>
      <c r="O34" s="822" t="n">
        <v>0.9694996277816401</v>
      </c>
      <c r="P34" s="822" t="n">
        <v>1</v>
      </c>
      <c r="Q34" s="831" t="n">
        <v>0.9814998246574668</v>
      </c>
      <c r="R34" s="822" t="n">
        <v>0.9749998461907604</v>
      </c>
      <c r="S34" s="822" t="n">
        <v>0.9694996277816401</v>
      </c>
      <c r="T34" s="822" t="n">
        <v>1</v>
      </c>
      <c r="U34" s="831" t="n">
        <v>0.9814998246574668</v>
      </c>
      <c r="V34" s="822" t="n">
        <v>0.9749998461907604</v>
      </c>
      <c r="W34" s="822" t="n">
        <v>0.9694996277816401</v>
      </c>
      <c r="X34" s="822" t="n">
        <v>1</v>
      </c>
      <c r="Y34" s="831" t="n">
        <v>0.9814998246574668</v>
      </c>
      <c r="Z34" s="826" t="n">
        <v>0.9775859562935665</v>
      </c>
    </row>
    <row r="35" outlineLevel="1" s="564">
      <c r="A35" s="441" t="n"/>
      <c r="B35" s="822" t="n"/>
      <c r="C35" s="823" t="n"/>
      <c r="D35" s="824" t="n"/>
      <c r="E35" s="833" t="n"/>
      <c r="F35" s="833" t="n"/>
      <c r="G35" s="833" t="n"/>
      <c r="H35" s="831" t="n"/>
      <c r="I35" s="487" t="n"/>
      <c r="J35" s="833" t="n"/>
      <c r="K35" s="833" t="n"/>
      <c r="L35" s="833" t="n"/>
      <c r="M35" s="831" t="n"/>
      <c r="N35" s="833" t="n"/>
      <c r="O35" s="833" t="n"/>
      <c r="P35" s="833" t="n"/>
      <c r="Q35" s="831" t="n"/>
      <c r="R35" s="833" t="n"/>
      <c r="S35" s="833" t="n"/>
      <c r="T35" s="833" t="n"/>
      <c r="U35" s="831" t="n"/>
      <c r="V35" s="833" t="n"/>
      <c r="W35" s="833" t="n"/>
      <c r="X35" s="833" t="n"/>
      <c r="Y35" s="831" t="n"/>
      <c r="Z35" s="487" t="n"/>
    </row>
    <row r="36" outlineLevel="1" s="564">
      <c r="A36" s="441" t="n"/>
      <c r="B36" s="822" t="n"/>
      <c r="C36" s="823" t="n"/>
      <c r="D36" s="824" t="n"/>
      <c r="E36" s="833" t="n"/>
      <c r="F36" s="833" t="n"/>
      <c r="G36" s="833" t="n"/>
      <c r="H36" s="831" t="n"/>
      <c r="I36" s="487" t="n"/>
      <c r="J36" s="833" t="n"/>
      <c r="K36" s="833" t="n"/>
      <c r="L36" s="833" t="n"/>
      <c r="M36" s="831" t="n"/>
      <c r="N36" s="833" t="n"/>
      <c r="O36" s="833" t="n"/>
      <c r="P36" s="833" t="n"/>
      <c r="Q36" s="831" t="n"/>
      <c r="R36" s="833" t="n"/>
      <c r="S36" s="833" t="n"/>
      <c r="T36" s="833" t="n"/>
      <c r="U36" s="831" t="n"/>
      <c r="V36" s="833" t="n"/>
      <c r="W36" s="833" t="n"/>
      <c r="X36" s="833" t="n"/>
      <c r="Y36" s="831" t="n"/>
      <c r="Z36" s="487" t="n"/>
    </row>
    <row r="37">
      <c r="F37" s="167" t="n"/>
      <c r="I37" s="487" t="n"/>
      <c r="Z37" s="487" t="n"/>
    </row>
    <row r="38">
      <c r="F38" s="167" t="n"/>
      <c r="I38" s="487" t="n"/>
      <c r="Z38" s="487" t="n"/>
    </row>
    <row r="39">
      <c r="F39" s="121" t="n"/>
      <c r="G39" s="121" t="n"/>
      <c r="H39" s="588" t="n"/>
      <c r="I39" s="834" t="n"/>
      <c r="J39" s="121" t="n"/>
      <c r="K39" s="121" t="n"/>
      <c r="Z39" s="834" t="n"/>
    </row>
    <row r="40">
      <c r="E40" s="121" t="n"/>
      <c r="F40" s="121" t="n"/>
      <c r="H40" s="588" t="n"/>
      <c r="I40" s="834" t="n"/>
      <c r="J40" s="121" t="n"/>
      <c r="K40" s="121" t="n"/>
      <c r="P40" s="121" t="n"/>
      <c r="Q40" s="121" t="n"/>
      <c r="T40" s="121" t="n"/>
      <c r="U40" s="121" t="n"/>
      <c r="X40" s="121" t="n"/>
      <c r="Y40" s="121" t="n"/>
      <c r="Z40" s="834" t="n"/>
    </row>
    <row r="41">
      <c r="E41" s="121" t="n"/>
      <c r="F41" s="121" t="n"/>
      <c r="G41" s="121" t="n"/>
      <c r="H41" s="588" t="n"/>
      <c r="I41" s="834" t="n"/>
      <c r="J41" s="121" t="n"/>
      <c r="K41" s="121" t="n"/>
      <c r="Z41" s="834" t="n"/>
    </row>
    <row r="42">
      <c r="E42" s="121" t="n"/>
      <c r="F42" s="121" t="n"/>
      <c r="G42" s="121" t="n"/>
      <c r="H42" s="588" t="n"/>
      <c r="I42" s="834" t="n"/>
      <c r="J42" s="121" t="n"/>
      <c r="K42" s="121" t="n"/>
      <c r="L42" s="121" t="n"/>
      <c r="M42" s="121" t="n"/>
      <c r="N42" s="121" t="n"/>
      <c r="R42" s="121" t="n"/>
      <c r="V42" s="121" t="n"/>
      <c r="Z42" s="834" t="n"/>
    </row>
    <row r="43">
      <c r="E43" s="121" t="n"/>
      <c r="H43" s="588" t="n"/>
      <c r="I43" s="834" t="n"/>
      <c r="J43" s="121" t="n"/>
      <c r="K43" s="121" t="n"/>
      <c r="Z43" s="834" t="n"/>
    </row>
    <row r="44">
      <c r="H44" s="588" t="n"/>
      <c r="I44" s="834" t="n"/>
      <c r="J44" s="121" t="n"/>
      <c r="Z44" s="834" t="n"/>
    </row>
    <row r="45">
      <c r="G45" s="121" t="n"/>
      <c r="I45" s="487" t="n"/>
      <c r="Z45" s="487" t="n"/>
    </row>
    <row r="46">
      <c r="I46" s="487" t="n"/>
      <c r="Z46" s="487" t="n"/>
    </row>
    <row r="47">
      <c r="I47" s="487" t="n"/>
      <c r="Z47" s="487" t="n"/>
    </row>
    <row r="48">
      <c r="I48" s="487" t="n"/>
      <c r="Z48" s="487" t="n"/>
    </row>
    <row r="49">
      <c r="I49" s="487" t="n"/>
      <c r="Z49" s="487" t="n"/>
    </row>
    <row r="50">
      <c r="I50" s="487" t="n"/>
      <c r="Z50" s="487" t="n"/>
    </row>
    <row r="51">
      <c r="I51" s="487" t="n"/>
      <c r="Z51" s="487" t="n"/>
    </row>
    <row r="52">
      <c r="I52" s="487" t="n"/>
      <c r="Z52" s="487" t="n"/>
    </row>
    <row r="53">
      <c r="I53" s="487" t="n"/>
      <c r="Z53" s="487" t="n"/>
    </row>
    <row r="54">
      <c r="I54" s="487" t="n"/>
      <c r="Z54" s="487" t="n"/>
    </row>
    <row r="55">
      <c r="I55" s="835" t="n"/>
      <c r="Z55" s="835" t="n"/>
    </row>
  </sheetData>
  <scenarios current="2" show="2">
    <scenario name="sac 2 - originale" locked="1" hidden="0" user="Author" count="1">
      <inputCells r="K20" deleted="0" undone="1" val="-134000"/>
    </scenario>
    <scenario name="sac2 - prima 15na" locked="1" hidden="0" user="Author" count="1">
      <inputCells r="K20" deleted="0" undone="1" val="0" numFmtId="164"/>
    </scenario>
    <scenario name="sac2 - seconda 15na" locked="1" hidden="0" user="Author" count="1">
      <inputCells r="K20" deleted="0" undone="1" val="0" numFmtId="164"/>
    </scenario>
  </scenarios>
  <autoFilter ref="A1:C1"/>
  <conditionalFormatting sqref="E2:G2">
    <cfRule type="timePeriod" priority="9" dxfId="1" timePeriod="yesterday">
      <formula>FLOOR(E2,1)=TODAY()-1</formula>
    </cfRule>
  </conditionalFormatting>
  <conditionalFormatting sqref="I2">
    <cfRule type="cellIs" priority="5" operator="equal" dxfId="46">
      <formula>"forecast"</formula>
    </cfRule>
    <cfRule type="cellIs" priority="6" operator="equal" dxfId="0">
      <formula>"actual"</formula>
    </cfRule>
  </conditionalFormatting>
  <conditionalFormatting sqref="J2">
    <cfRule type="timePeriod" priority="11" dxfId="1" timePeriod="yesterday">
      <formula>FLOOR(J2,1)=TODAY()-1</formula>
    </cfRule>
  </conditionalFormatting>
  <conditionalFormatting sqref="A2:H2 J2:Y2">
    <cfRule type="cellIs" priority="16" operator="equal" dxfId="46">
      <formula>"forecast"</formula>
    </cfRule>
    <cfRule type="cellIs" priority="17" operator="equal" dxfId="0">
      <formula>"actual"</formula>
    </cfRule>
  </conditionalFormatting>
  <conditionalFormatting sqref="N2">
    <cfRule type="timePeriod" priority="12" dxfId="1" timePeriod="yesterday">
      <formula>FLOOR(N2,1)=TODAY()-1</formula>
    </cfRule>
  </conditionalFormatting>
  <conditionalFormatting sqref="R2">
    <cfRule type="timePeriod" priority="4" dxfId="1" timePeriod="yesterday">
      <formula>FLOOR(R2,1)=TODAY()-1</formula>
    </cfRule>
  </conditionalFormatting>
  <conditionalFormatting sqref="V2">
    <cfRule type="timePeriod" priority="3" dxfId="1" timePeriod="yesterday">
      <formula>FLOOR(V2,1)=TODAY()-1</formula>
    </cfRule>
  </conditionalFormatting>
  <conditionalFormatting sqref="Z2:XFD2">
    <cfRule type="cellIs" priority="1" operator="equal" dxfId="46">
      <formula>"forecast"</formula>
    </cfRule>
    <cfRule type="cellIs" priority="2" operator="equal" dxfId="0">
      <formula>"actual"</formula>
    </cfRule>
  </conditionalFormatting>
  <pageMargins left="0.7" right="0.7" top="0.75" bottom="0.75" header="0.3" footer="0.3"/>
  <pageSetup orientation="portrait"/>
</worksheet>
</file>

<file path=xl/worksheets/sheet11.xml><?xml version="1.0" encoding="utf-8"?>
<worksheet xmlns="http://schemas.openxmlformats.org/spreadsheetml/2006/main">
  <sheetPr codeName="Sheet4">
    <tabColor theme="9"/>
    <outlinePr summaryBelow="1" summaryRight="1"/>
    <pageSetUpPr/>
  </sheetPr>
  <dimension ref="A1:S64"/>
  <sheetViews>
    <sheetView showGridLines="0" zoomScale="54" zoomScaleNormal="54" workbookViewId="0">
      <pane ySplit="2" topLeftCell="A3" activePane="bottomLeft" state="frozen"/>
      <selection pane="bottomLeft" activeCell="R14" sqref="R14"/>
    </sheetView>
  </sheetViews>
  <sheetFormatPr baseColWidth="8" defaultColWidth="12.54296875" defaultRowHeight="14.5"/>
  <cols>
    <col width="6.26953125" customWidth="1" style="579" min="1" max="1"/>
    <col width="19" bestFit="1" customWidth="1" style="564" min="2" max="2"/>
    <col width="7.90625" bestFit="1" customWidth="1" style="564" min="3" max="3"/>
    <col width="11.54296875" bestFit="1" customWidth="1" style="564" min="4" max="4"/>
    <col width="10" bestFit="1" customWidth="1" style="564" min="5" max="5"/>
    <col width="3.453125" customWidth="1" style="579" min="6" max="6"/>
    <col width="29.54296875" customWidth="1" style="579" min="7" max="7"/>
    <col width="11.453125" customWidth="1" style="579" min="8" max="11"/>
    <col width="12.54296875" customWidth="1" style="579" min="12" max="17"/>
    <col width="14.453125" bestFit="1" customWidth="1" style="579" min="18" max="18"/>
    <col width="12.54296875" customWidth="1" style="579" min="19" max="16384"/>
  </cols>
  <sheetData>
    <row r="1" ht="15" customHeight="1" s="564" thickBot="1">
      <c r="A1" s="258" t="inlineStr">
        <is>
          <t>BetaCredit</t>
        </is>
      </c>
      <c r="B1" s="256" t="inlineStr">
        <is>
          <t>Resource</t>
        </is>
      </c>
      <c r="C1" s="25" t="inlineStr">
        <is>
          <t>LC</t>
        </is>
      </c>
      <c r="D1" s="25" t="inlineStr">
        <is>
          <t>LP</t>
        </is>
      </c>
      <c r="E1" s="31" t="inlineStr">
        <is>
          <t>UC</t>
        </is>
      </c>
    </row>
    <row r="2" ht="15" customHeight="1" s="564">
      <c r="B2" s="22" t="inlineStr">
        <is>
          <t>martina.costa</t>
        </is>
      </c>
      <c r="C2" s="3" t="n">
        <v>88.64</v>
      </c>
      <c r="D2" s="836" t="n">
        <v>594.46</v>
      </c>
      <c r="E2" s="836" t="n">
        <v>49.87</v>
      </c>
      <c r="H2" s="26" t="n">
        <v>45901</v>
      </c>
      <c r="I2" s="26" t="n">
        <v>45931</v>
      </c>
      <c r="J2" s="26" t="n">
        <v>45962</v>
      </c>
      <c r="K2" s="26" t="n">
        <v>45992</v>
      </c>
      <c r="L2" s="26" t="n">
        <v>46023</v>
      </c>
      <c r="M2" s="26" t="n">
        <v>46054</v>
      </c>
      <c r="N2" s="26" t="n">
        <v>46082</v>
      </c>
      <c r="O2" s="26" t="n">
        <v>46113</v>
      </c>
      <c r="P2" s="26" t="n">
        <v>46143</v>
      </c>
      <c r="Q2" s="26" t="n">
        <v>46174</v>
      </c>
      <c r="R2" s="26" t="n">
        <v>46204</v>
      </c>
      <c r="S2" s="26" t="n">
        <v>46235</v>
      </c>
    </row>
    <row r="3">
      <c r="B3" s="22" t="inlineStr">
        <is>
          <t>matteo.costa</t>
        </is>
      </c>
      <c r="C3" s="3" t="n">
        <v>34.61</v>
      </c>
      <c r="D3" s="836" t="n">
        <v>294.69</v>
      </c>
      <c r="E3" s="836" t="n"/>
      <c r="G3" s="6" t="inlineStr">
        <is>
          <t>martina.costa</t>
        </is>
      </c>
      <c r="H3" s="559" t="n"/>
      <c r="I3" s="559" t="n"/>
      <c r="J3" s="559" t="n"/>
      <c r="K3" s="559" t="n"/>
      <c r="L3" s="5" t="n"/>
      <c r="M3" s="559" t="n">
        <v>94.88</v>
      </c>
      <c r="N3" s="559" t="n"/>
      <c r="O3" s="559" t="n"/>
      <c r="P3" s="559" t="n">
        <v>89.18000000000001</v>
      </c>
      <c r="Q3" s="559" t="n">
        <v>3.82</v>
      </c>
      <c r="R3" s="559" t="n">
        <v>56.55</v>
      </c>
      <c r="S3" s="559" t="n"/>
    </row>
    <row r="4">
      <c r="B4" s="22" t="inlineStr">
        <is>
          <t>nicola.fontana</t>
        </is>
      </c>
      <c r="C4" s="3" t="n">
        <v>29.14</v>
      </c>
      <c r="D4" s="836" t="n">
        <v>203.03</v>
      </c>
      <c r="E4" s="836" t="n">
        <v>20.3</v>
      </c>
      <c r="G4" s="15" t="inlineStr">
        <is>
          <t>cost per month</t>
        </is>
      </c>
      <c r="H4" s="837" t="n">
        <v>0</v>
      </c>
      <c r="I4" s="837" t="n">
        <v>0</v>
      </c>
      <c r="J4" s="837" t="n">
        <v>0</v>
      </c>
      <c r="K4" s="837" t="n">
        <v>0</v>
      </c>
      <c r="L4" s="837" t="n">
        <v>0</v>
      </c>
      <c r="M4" s="837" t="n">
        <v>9723.99</v>
      </c>
      <c r="N4" s="837" t="n">
        <v>0</v>
      </c>
      <c r="O4" s="837" t="n">
        <v>0</v>
      </c>
      <c r="P4" s="837" t="n">
        <v>9140.209999999999</v>
      </c>
      <c r="Q4" s="837" t="n">
        <v>416.63</v>
      </c>
      <c r="R4" s="837" t="n">
        <v>6160.79</v>
      </c>
      <c r="S4" s="837" t="n">
        <v>0</v>
      </c>
    </row>
    <row r="5">
      <c r="B5" s="22" t="inlineStr">
        <is>
          <t>luca.leone</t>
        </is>
      </c>
      <c r="C5" s="3" t="n">
        <v>227.98</v>
      </c>
      <c r="D5" s="836" t="n">
        <v>1512.05</v>
      </c>
      <c r="E5" s="836" t="n">
        <v>127.08</v>
      </c>
      <c r="G5" s="6" t="inlineStr">
        <is>
          <t>matteo.costa</t>
        </is>
      </c>
      <c r="H5" s="559" t="n"/>
      <c r="I5" s="559" t="n">
        <v>67.37</v>
      </c>
      <c r="J5" s="559" t="n"/>
      <c r="K5" s="559" t="n">
        <v>35.15</v>
      </c>
      <c r="L5" s="559" t="n">
        <v>113.51</v>
      </c>
      <c r="M5" s="559" t="n">
        <v>114.49</v>
      </c>
      <c r="N5" s="559" t="n">
        <v>123.03</v>
      </c>
      <c r="O5" s="5" t="n"/>
      <c r="P5" s="559" t="n">
        <v>111.31</v>
      </c>
      <c r="Q5" s="559" t="n">
        <v>52.73</v>
      </c>
      <c r="R5" s="559" t="n">
        <v>129.22</v>
      </c>
      <c r="S5" s="559" t="n">
        <v>64.45</v>
      </c>
    </row>
    <row r="6" ht="14.5" customHeight="1" s="564">
      <c r="B6" s="22" t="inlineStr">
        <is>
          <t>alberto lotito</t>
        </is>
      </c>
      <c r="C6" s="3" t="n">
        <v>91.34999999999999</v>
      </c>
      <c r="D6" s="836" t="n">
        <v>736</v>
      </c>
      <c r="E6" s="836" t="n">
        <v>61.71</v>
      </c>
      <c r="G6" s="15" t="inlineStr">
        <is>
          <t>cost per month</t>
        </is>
      </c>
      <c r="H6" s="837" t="n">
        <v>0</v>
      </c>
      <c r="I6" s="837" t="n">
        <v>2845.22</v>
      </c>
      <c r="J6" s="837" t="n">
        <v>0</v>
      </c>
      <c r="K6" s="837" t="n">
        <v>1495.01</v>
      </c>
      <c r="L6" s="837" t="n">
        <v>4827.63</v>
      </c>
      <c r="M6" s="837" t="n">
        <v>4869.16</v>
      </c>
      <c r="N6" s="837" t="n">
        <v>5232.53</v>
      </c>
      <c r="O6" s="837" t="n">
        <v>0</v>
      </c>
      <c r="P6" s="837" t="n">
        <v>4734.19</v>
      </c>
      <c r="Q6" s="837" t="n">
        <v>2242.51</v>
      </c>
      <c r="R6" s="837" t="n">
        <v>5495.54</v>
      </c>
      <c r="S6" s="837" t="n">
        <v>2740.85</v>
      </c>
    </row>
    <row r="7" ht="14.5" customHeight="1" s="564">
      <c r="B7" s="22" t="inlineStr">
        <is>
          <t>sara.rinaldi</t>
        </is>
      </c>
      <c r="C7" s="3" t="n">
        <v>40.49</v>
      </c>
      <c r="D7" s="836" t="n">
        <v>0</v>
      </c>
      <c r="E7" s="836" t="n"/>
      <c r="G7" s="6" t="inlineStr">
        <is>
          <t>nicola.fontana</t>
        </is>
      </c>
      <c r="H7" s="559" t="n"/>
      <c r="I7" s="559" t="n"/>
      <c r="J7" s="559" t="n">
        <v>57.94</v>
      </c>
      <c r="K7" s="559" t="n"/>
      <c r="L7" s="559" t="n">
        <v>57.94</v>
      </c>
      <c r="M7" s="559" t="n"/>
      <c r="N7" s="559" t="n"/>
      <c r="O7" s="559" t="n"/>
      <c r="P7" s="559" t="n">
        <v>86.90000000000001</v>
      </c>
      <c r="Q7" s="559" t="n"/>
      <c r="R7" s="559" t="n">
        <v>133.28</v>
      </c>
      <c r="S7" s="559" t="n">
        <v>121.65</v>
      </c>
    </row>
    <row r="8" ht="14.5" customHeight="1" s="564">
      <c r="B8" s="22" t="inlineStr">
        <is>
          <t>serena.rossi</t>
        </is>
      </c>
      <c r="C8" s="3" t="n">
        <v>43.5</v>
      </c>
      <c r="D8" s="836" t="n">
        <v>300.42</v>
      </c>
      <c r="E8" s="836" t="n">
        <v>26.75</v>
      </c>
      <c r="G8" s="15" t="inlineStr">
        <is>
          <t>cost per month</t>
        </is>
      </c>
      <c r="H8" s="838" t="n">
        <v>0</v>
      </c>
      <c r="I8" s="838" t="n">
        <v>0</v>
      </c>
      <c r="J8" s="838" t="n">
        <v>1807.01</v>
      </c>
      <c r="K8" s="838" t="n">
        <v>0</v>
      </c>
      <c r="L8" s="837" t="n">
        <v>2074.67</v>
      </c>
      <c r="M8" s="837" t="n">
        <v>0</v>
      </c>
      <c r="N8" s="837" t="n">
        <v>0</v>
      </c>
      <c r="O8" s="837" t="n">
        <v>0</v>
      </c>
      <c r="P8" s="837" t="n">
        <v>3112</v>
      </c>
      <c r="Q8" s="837" t="n">
        <v>0</v>
      </c>
      <c r="R8" s="837" t="n">
        <v>4772.9</v>
      </c>
      <c r="S8" s="837" t="n">
        <v>4356.22</v>
      </c>
    </row>
    <row r="9">
      <c r="B9" s="22" t="inlineStr">
        <is>
          <t>matteo.romano</t>
        </is>
      </c>
      <c r="C9" s="3" t="n">
        <v>33.35</v>
      </c>
      <c r="D9" s="836" t="n">
        <v>202.12</v>
      </c>
      <c r="E9" s="836" t="n">
        <v>22.38</v>
      </c>
      <c r="G9" s="6" t="inlineStr">
        <is>
          <t>serena.rossi</t>
        </is>
      </c>
      <c r="H9" s="559" t="n"/>
      <c r="I9" s="559" t="n"/>
      <c r="J9" s="559" t="n">
        <v>44.18</v>
      </c>
      <c r="K9" s="559" t="n"/>
      <c r="L9" s="559" t="n">
        <v>63</v>
      </c>
      <c r="M9" s="5" t="n"/>
      <c r="N9" s="5" t="n"/>
      <c r="O9" s="5" t="n"/>
      <c r="P9" s="5" t="n"/>
      <c r="Q9" s="559" t="n"/>
      <c r="R9" s="559" t="n">
        <v>64.77</v>
      </c>
      <c r="S9" s="559" t="n">
        <v>31.33</v>
      </c>
    </row>
    <row r="10">
      <c r="B10" s="22" t="inlineStr">
        <is>
          <t>sara.colombo</t>
        </is>
      </c>
      <c r="C10" s="3" t="n">
        <v>33.35</v>
      </c>
      <c r="D10" s="836" t="n">
        <v>202.12</v>
      </c>
      <c r="E10" s="836" t="n">
        <v>18.96</v>
      </c>
      <c r="G10" s="15" t="inlineStr">
        <is>
          <t>cost per month</t>
        </is>
      </c>
      <c r="H10" s="837" t="n">
        <v>0</v>
      </c>
      <c r="I10" s="837" t="n">
        <v>0</v>
      </c>
      <c r="J10" s="837" t="n">
        <v>2038.65</v>
      </c>
      <c r="K10" s="837" t="n">
        <v>0</v>
      </c>
      <c r="L10" s="837" t="n">
        <v>2566.23</v>
      </c>
      <c r="M10" s="837" t="n">
        <v>0</v>
      </c>
      <c r="N10" s="837" t="n">
        <v>0</v>
      </c>
      <c r="O10" s="837" t="n">
        <v>0</v>
      </c>
      <c r="P10" s="837" t="n">
        <v>0</v>
      </c>
      <c r="Q10" s="837" t="n">
        <v>0</v>
      </c>
      <c r="R10" s="837" t="n">
        <v>3462.63</v>
      </c>
      <c r="S10" s="837" t="n">
        <v>1674.77</v>
      </c>
    </row>
    <row r="11">
      <c r="B11" s="22" t="inlineStr">
        <is>
          <t>stefano.greco</t>
        </is>
      </c>
      <c r="C11" s="3" t="n">
        <v>33.35</v>
      </c>
      <c r="D11" s="836" t="n">
        <v>263.44</v>
      </c>
      <c r="E11" s="836" t="n">
        <v>22.1</v>
      </c>
      <c r="G11" s="6" t="inlineStr">
        <is>
          <t>matteo.ferrari</t>
        </is>
      </c>
      <c r="H11" s="559" t="n"/>
      <c r="I11" s="559" t="n">
        <v>23.43</v>
      </c>
      <c r="J11" s="559" t="n">
        <v>22.86</v>
      </c>
      <c r="K11" s="559" t="n"/>
      <c r="L11" s="5" t="n"/>
      <c r="M11" s="5" t="n"/>
      <c r="N11" s="5" t="n"/>
      <c r="O11" s="5" t="n"/>
      <c r="P11" s="5" t="n"/>
      <c r="Q11" s="5" t="n"/>
      <c r="R11" s="559" t="n">
        <v>66.40000000000001</v>
      </c>
      <c r="S11" s="5" t="n"/>
    </row>
    <row r="12">
      <c r="B12" s="22" t="inlineStr">
        <is>
          <t>laura.moretti</t>
        </is>
      </c>
      <c r="C12" s="3" t="n">
        <v>26.48</v>
      </c>
      <c r="D12" s="836" t="n"/>
      <c r="E12" s="836" t="n"/>
      <c r="G12" s="15" t="inlineStr">
        <is>
          <t>cost per month</t>
        </is>
      </c>
      <c r="H12" s="838" t="n">
        <v>0</v>
      </c>
      <c r="I12" s="838" t="n">
        <v>2630.76</v>
      </c>
      <c r="J12" s="838" t="n">
        <v>2566.82</v>
      </c>
      <c r="K12" s="838" t="n">
        <v>0</v>
      </c>
      <c r="L12" s="837" t="n">
        <v>0</v>
      </c>
      <c r="M12" s="837" t="n">
        <v>0</v>
      </c>
      <c r="N12" s="837" t="n">
        <v>0</v>
      </c>
      <c r="O12" s="837" t="n">
        <v>0</v>
      </c>
      <c r="P12" s="837" t="n">
        <v>0</v>
      </c>
      <c r="Q12" s="837" t="n">
        <v>0</v>
      </c>
      <c r="R12" s="837" t="n">
        <v>7453.83</v>
      </c>
      <c r="S12" s="837" t="n">
        <v>0</v>
      </c>
    </row>
    <row r="13">
      <c r="B13" s="22" t="inlineStr">
        <is>
          <t>anna.ferrari</t>
        </is>
      </c>
      <c r="C13" s="3" t="n">
        <v>79.64</v>
      </c>
      <c r="D13" s="836" t="n"/>
      <c r="E13" s="836" t="n"/>
      <c r="G13" s="6" t="inlineStr">
        <is>
          <t>matteo.romano</t>
        </is>
      </c>
      <c r="H13" s="559" t="n"/>
      <c r="I13" s="559" t="n"/>
      <c r="J13" s="559" t="n">
        <v>55.82</v>
      </c>
      <c r="K13" s="559" t="n"/>
      <c r="L13" s="559" t="n">
        <v>28.72</v>
      </c>
      <c r="M13" s="559" t="n">
        <v>23.11</v>
      </c>
      <c r="N13" s="559" t="n"/>
      <c r="O13" s="5" t="n"/>
      <c r="P13" s="5" t="n"/>
      <c r="Q13" s="5" t="n"/>
      <c r="R13" s="559" t="n">
        <v>62.57</v>
      </c>
      <c r="S13" s="559" t="n"/>
    </row>
    <row r="14">
      <c r="B14" s="22" t="inlineStr">
        <is>
          <t>ilaria.esposito</t>
        </is>
      </c>
      <c r="C14" s="3" t="n">
        <v>29.14</v>
      </c>
      <c r="D14" s="836" t="n"/>
      <c r="E14" s="836" t="n"/>
      <c r="G14" s="15" t="inlineStr">
        <is>
          <t>cost per month</t>
        </is>
      </c>
      <c r="H14" s="837" t="n">
        <v>0</v>
      </c>
      <c r="I14" s="837" t="n">
        <v>0</v>
      </c>
      <c r="J14" s="837" t="n">
        <v>1809.68</v>
      </c>
      <c r="K14" s="837" t="n">
        <v>0</v>
      </c>
      <c r="L14" s="837" t="n">
        <v>1177.09</v>
      </c>
      <c r="M14" s="837" t="n">
        <v>947.01</v>
      </c>
      <c r="N14" s="837" t="n">
        <v>0</v>
      </c>
      <c r="O14" s="837" t="n">
        <v>0</v>
      </c>
      <c r="P14" s="837" t="n">
        <v>0</v>
      </c>
      <c r="Q14" s="837" t="n">
        <v>0</v>
      </c>
      <c r="R14" s="837" t="n">
        <v>2564.26</v>
      </c>
      <c r="S14" s="837" t="n">
        <v>0</v>
      </c>
    </row>
    <row r="15">
      <c r="B15" s="22" t="inlineStr">
        <is>
          <t>roberto.costa</t>
        </is>
      </c>
      <c r="C15" s="3" t="n">
        <v>29.14</v>
      </c>
      <c r="D15" s="836" t="n"/>
      <c r="E15" s="836" t="n"/>
      <c r="G15" s="6" t="inlineStr">
        <is>
          <t>sara.colombo</t>
        </is>
      </c>
      <c r="H15" s="559" t="n"/>
      <c r="I15" s="559" t="n">
        <v>17.41</v>
      </c>
      <c r="J15" s="559" t="n">
        <v>42</v>
      </c>
      <c r="K15" s="559" t="n">
        <v>25.88</v>
      </c>
      <c r="L15" s="5" t="n"/>
      <c r="M15" s="5" t="n"/>
      <c r="N15" s="5" t="n"/>
      <c r="O15" s="5" t="n"/>
      <c r="P15" s="5" t="n"/>
      <c r="Q15" s="559" t="n"/>
      <c r="R15" s="559" t="n">
        <v>77</v>
      </c>
      <c r="S15" s="559" t="n"/>
    </row>
    <row r="16">
      <c r="B16" s="22" t="inlineStr">
        <is>
          <t>ilaria.fontana</t>
        </is>
      </c>
      <c r="C16" s="3" t="e">
        <v>#N/A</v>
      </c>
      <c r="D16" s="5" t="n"/>
      <c r="E16" s="836" t="n"/>
      <c r="G16" s="15" t="inlineStr">
        <is>
          <t>cost per month</t>
        </is>
      </c>
      <c r="H16" s="837" t="n">
        <v>0</v>
      </c>
      <c r="I16" s="837" t="n">
        <v>564.54</v>
      </c>
      <c r="J16" s="837" t="n">
        <v>1107.97</v>
      </c>
      <c r="K16" s="837" t="n">
        <v>898.4</v>
      </c>
      <c r="L16" s="837" t="n">
        <v>0</v>
      </c>
      <c r="M16" s="837" t="n">
        <v>0</v>
      </c>
      <c r="N16" s="837" t="n">
        <v>0</v>
      </c>
      <c r="O16" s="837" t="n">
        <v>0</v>
      </c>
      <c r="P16" s="837" t="n">
        <v>0</v>
      </c>
      <c r="Q16" s="837" t="n">
        <v>0</v>
      </c>
      <c r="R16" s="837" t="n">
        <v>2567.6</v>
      </c>
      <c r="S16" s="837" t="n">
        <v>0</v>
      </c>
    </row>
    <row r="17">
      <c r="B17" s="22" t="inlineStr">
        <is>
          <t>serena.mariani</t>
        </is>
      </c>
      <c r="C17" s="3" t="n">
        <v>29.14</v>
      </c>
      <c r="D17" s="5" t="n"/>
      <c r="E17" s="836" t="n"/>
      <c r="G17" s="6" t="inlineStr">
        <is>
          <t>stefano.greco</t>
        </is>
      </c>
      <c r="H17" s="839" t="n"/>
      <c r="I17" s="839" t="n"/>
      <c r="J17" s="559" t="n"/>
      <c r="K17" s="559" t="n">
        <v>97</v>
      </c>
      <c r="L17" s="559" t="n"/>
      <c r="M17" s="559" t="n"/>
      <c r="N17" s="559" t="n"/>
      <c r="O17" s="559" t="n"/>
      <c r="P17" s="559" t="n"/>
      <c r="Q17" s="559" t="n"/>
      <c r="R17" s="559" t="n">
        <v>63.88</v>
      </c>
      <c r="S17" s="559" t="n">
        <v>17.33</v>
      </c>
    </row>
    <row r="18">
      <c r="B18" s="22" t="inlineStr">
        <is>
          <t>riccardo.gentile</t>
        </is>
      </c>
      <c r="C18" s="3" t="n">
        <v>79.64</v>
      </c>
      <c r="D18" s="5" t="n">
        <v>63.71</v>
      </c>
      <c r="E18" s="836" t="n"/>
      <c r="G18" s="15" t="inlineStr">
        <is>
          <t>cost per month</t>
        </is>
      </c>
      <c r="H18" s="837" t="n">
        <v>0</v>
      </c>
      <c r="I18" s="837" t="n">
        <v>0</v>
      </c>
      <c r="J18" s="837" t="n">
        <v>0</v>
      </c>
      <c r="K18" s="837" t="n">
        <v>3234.51</v>
      </c>
      <c r="L18" s="837" t="n">
        <v>0</v>
      </c>
      <c r="M18" s="837" t="n">
        <v>0</v>
      </c>
      <c r="N18" s="837" t="n">
        <v>0</v>
      </c>
      <c r="O18" s="837" t="n">
        <v>0</v>
      </c>
      <c r="P18" s="837" t="n">
        <v>0</v>
      </c>
      <c r="Q18" s="837" t="n">
        <v>0</v>
      </c>
      <c r="R18" s="837" t="n">
        <v>2617.62</v>
      </c>
      <c r="S18" s="837" t="n">
        <v>710.26</v>
      </c>
    </row>
    <row r="19">
      <c r="B19" s="22" t="inlineStr">
        <is>
          <t>fabio.ferrara</t>
        </is>
      </c>
      <c r="C19" s="3" t="n">
        <v>25.58</v>
      </c>
      <c r="D19" s="5" t="n"/>
      <c r="E19" s="836" t="n"/>
      <c r="G19" s="6" t="inlineStr">
        <is>
          <t>sara.rinaldi</t>
        </is>
      </c>
      <c r="H19" s="559" t="n"/>
      <c r="I19" s="559" t="n"/>
      <c r="J19" s="559" t="n">
        <v>70</v>
      </c>
      <c r="K19" s="559" t="n"/>
      <c r="L19" s="559" t="n">
        <v>126</v>
      </c>
      <c r="M19" s="559" t="n">
        <v>126</v>
      </c>
      <c r="N19" s="559" t="n"/>
      <c r="O19" s="559" t="n"/>
      <c r="P19" s="559" t="n">
        <v>70</v>
      </c>
      <c r="Q19" s="559" t="n"/>
      <c r="R19" s="5" t="n"/>
      <c r="S19" s="5" t="n"/>
    </row>
    <row r="20">
      <c r="B20" s="22" t="inlineStr">
        <is>
          <t>ilaria.ferrara</t>
        </is>
      </c>
      <c r="C20" s="3" t="e">
        <v>#N/A</v>
      </c>
      <c r="D20" s="5" t="n"/>
      <c r="E20" s="836" t="n"/>
      <c r="G20" s="15" t="inlineStr">
        <is>
          <t>cost per month</t>
        </is>
      </c>
      <c r="H20" s="838" t="n">
        <v>0</v>
      </c>
      <c r="I20" s="838" t="n">
        <v>0</v>
      </c>
      <c r="J20" s="838" t="n">
        <v>2579.1</v>
      </c>
      <c r="K20" s="838" t="n">
        <v>0</v>
      </c>
      <c r="L20" s="837" t="n">
        <v>5101.7</v>
      </c>
      <c r="M20" s="837" t="n">
        <v>5101.7</v>
      </c>
      <c r="N20" s="837" t="n">
        <v>0</v>
      </c>
      <c r="O20" s="837" t="n">
        <v>0</v>
      </c>
      <c r="P20" s="837" t="n">
        <v>2834.28</v>
      </c>
      <c r="Q20" s="837" t="n">
        <v>0</v>
      </c>
      <c r="R20" s="837" t="n">
        <v>0</v>
      </c>
      <c r="S20" s="837" t="n">
        <v>0</v>
      </c>
    </row>
    <row r="21">
      <c r="B21" s="22" t="inlineStr">
        <is>
          <t>paolo.greco</t>
        </is>
      </c>
      <c r="C21" s="3" t="n">
        <v>28.25</v>
      </c>
      <c r="D21" s="5" t="n"/>
      <c r="E21" s="836" t="n"/>
      <c r="G21" s="6" t="inlineStr">
        <is>
          <t>Tomasina/Buonocore</t>
        </is>
      </c>
      <c r="H21" s="559" t="n"/>
      <c r="I21" s="559" t="n"/>
      <c r="J21" s="559" t="n"/>
      <c r="K21" s="559" t="n"/>
      <c r="L21" s="5" t="n"/>
      <c r="M21" s="5" t="n"/>
      <c r="N21" s="5" t="n"/>
      <c r="O21" s="5" t="n"/>
      <c r="P21" s="5" t="n"/>
      <c r="Q21" s="5" t="n"/>
      <c r="R21" s="5" t="n"/>
      <c r="S21" s="5" t="n"/>
    </row>
    <row r="22">
      <c r="B22" s="22" t="inlineStr">
        <is>
          <t>andrea.conti</t>
        </is>
      </c>
      <c r="C22" s="3" t="n">
        <v>28.25</v>
      </c>
      <c r="D22" s="5" t="n"/>
      <c r="E22" s="836" t="n">
        <v>16.4</v>
      </c>
      <c r="G22" s="15" t="inlineStr">
        <is>
          <t>cost per month</t>
        </is>
      </c>
      <c r="H22" s="837" t="n">
        <v>0</v>
      </c>
      <c r="I22" s="837" t="n">
        <v>548.76</v>
      </c>
      <c r="J22" s="837" t="n">
        <v>548.76</v>
      </c>
      <c r="K22" s="837" t="n">
        <v>13069.45</v>
      </c>
      <c r="L22" s="837" t="n">
        <v>0</v>
      </c>
      <c r="M22" s="837" t="n">
        <v>0</v>
      </c>
      <c r="N22" s="837" t="n">
        <v>5043.88</v>
      </c>
      <c r="O22" s="837" t="n">
        <v>35803</v>
      </c>
      <c r="P22" s="837" t="n">
        <v>7323</v>
      </c>
      <c r="Q22" s="837" t="n">
        <v>15460</v>
      </c>
      <c r="R22" s="837" t="n">
        <v>8951</v>
      </c>
      <c r="S22" s="837" t="n">
        <v>7323</v>
      </c>
    </row>
    <row r="23">
      <c r="B23" s="236" t="n"/>
      <c r="D23" s="579" t="n"/>
      <c r="E23" s="840" t="n"/>
      <c r="G23" s="6" t="inlineStr">
        <is>
          <t>laura.moretti</t>
        </is>
      </c>
      <c r="H23" s="559" t="n">
        <v>63.06</v>
      </c>
      <c r="I23" s="838" t="n"/>
      <c r="J23" s="838" t="n"/>
      <c r="K23" s="838" t="n"/>
      <c r="L23" s="5" t="n"/>
      <c r="M23" s="5" t="n"/>
      <c r="N23" s="5" t="n"/>
      <c r="O23" s="5" t="n"/>
      <c r="P23" s="559" t="n">
        <v>57.94</v>
      </c>
      <c r="Q23" s="559" t="n"/>
      <c r="R23" s="559" t="n">
        <v>75.27</v>
      </c>
      <c r="S23" s="559" t="n">
        <v>121.65</v>
      </c>
    </row>
    <row r="24">
      <c r="B24" s="236" t="n"/>
      <c r="C24" s="139" t="n"/>
      <c r="D24" s="579" t="n"/>
      <c r="E24" s="840" t="n"/>
      <c r="G24" s="15" t="inlineStr">
        <is>
          <t>cost per month</t>
        </is>
      </c>
      <c r="H24" s="837" t="n">
        <v>1966.9</v>
      </c>
      <c r="I24" s="837" t="n">
        <v>0</v>
      </c>
      <c r="J24" s="837" t="n">
        <v>0</v>
      </c>
      <c r="K24" s="837" t="n">
        <v>0</v>
      </c>
      <c r="L24" s="837" t="n">
        <v>0</v>
      </c>
      <c r="M24" s="837" t="n">
        <v>0</v>
      </c>
      <c r="N24" s="837" t="n">
        <v>0</v>
      </c>
      <c r="O24" s="837" t="n">
        <v>0</v>
      </c>
      <c r="P24" s="837" t="n">
        <v>1885.22</v>
      </c>
      <c r="Q24" s="837" t="n">
        <v>0</v>
      </c>
      <c r="R24" s="837" t="n">
        <v>2449.2</v>
      </c>
      <c r="S24" s="837" t="n">
        <v>3958.43</v>
      </c>
    </row>
    <row r="25">
      <c r="B25" s="236" t="n"/>
      <c r="C25" s="139" t="n"/>
      <c r="D25" s="579" t="n"/>
      <c r="E25" s="840" t="n"/>
      <c r="G25" s="6" t="inlineStr">
        <is>
          <t>anna.ferrari</t>
        </is>
      </c>
      <c r="H25" s="559" t="n"/>
      <c r="I25" s="559" t="n"/>
      <c r="J25" s="559" t="n"/>
      <c r="K25" s="559" t="n">
        <v>41.25</v>
      </c>
      <c r="L25" s="559" t="n"/>
      <c r="M25" s="559" t="n"/>
      <c r="N25" s="559" t="n">
        <v>61.19</v>
      </c>
      <c r="O25" s="559" t="n"/>
      <c r="P25" s="559" t="n">
        <v>61.19</v>
      </c>
      <c r="Q25" s="559" t="n"/>
      <c r="R25" s="559" t="n">
        <v>63.14</v>
      </c>
      <c r="S25" s="559" t="n">
        <v>17.98</v>
      </c>
    </row>
    <row r="26">
      <c r="B26" s="579" t="n"/>
      <c r="C26" s="579" t="n"/>
      <c r="D26" s="579" t="n"/>
      <c r="E26" s="579" t="n"/>
      <c r="G26" s="15" t="inlineStr">
        <is>
          <t>cost per month</t>
        </is>
      </c>
      <c r="H26" s="837" t="n">
        <v>0</v>
      </c>
      <c r="I26" s="837" t="n">
        <v>0</v>
      </c>
      <c r="J26" s="837" t="n">
        <v>0</v>
      </c>
      <c r="K26" s="837" t="n">
        <v>4037.59</v>
      </c>
      <c r="L26" s="837" t="n">
        <v>0</v>
      </c>
      <c r="M26" s="837" t="n">
        <v>0</v>
      </c>
      <c r="N26" s="837" t="n">
        <v>5988.69</v>
      </c>
      <c r="O26" s="837" t="n">
        <v>0</v>
      </c>
      <c r="P26" s="837" t="n">
        <v>5988.69</v>
      </c>
      <c r="Q26" s="837" t="n">
        <v>0</v>
      </c>
      <c r="R26" s="837" t="n">
        <v>6179.82</v>
      </c>
      <c r="S26" s="837" t="n">
        <v>1759.97</v>
      </c>
    </row>
    <row r="27" ht="14.5" customHeight="1" s="564">
      <c r="B27" s="579" t="n"/>
      <c r="C27" s="579" t="n"/>
      <c r="D27" s="579" t="n"/>
      <c r="G27" s="6" t="inlineStr">
        <is>
          <t>ilaria.esposito</t>
        </is>
      </c>
      <c r="H27" s="559" t="n"/>
      <c r="I27" s="559" t="n"/>
      <c r="J27" s="559" t="n">
        <v>57.94</v>
      </c>
      <c r="K27" s="559" t="n">
        <v>97.73</v>
      </c>
      <c r="L27" s="5" t="n"/>
      <c r="M27" s="5" t="n"/>
      <c r="N27" s="5" t="n"/>
      <c r="O27" s="5" t="n"/>
      <c r="P27" s="5" t="n"/>
      <c r="Q27" s="5" t="n"/>
      <c r="R27" s="559" t="n">
        <v>120.92</v>
      </c>
      <c r="S27" s="559" t="n">
        <v>35.4</v>
      </c>
    </row>
    <row r="28" ht="14.5" customHeight="1" s="564">
      <c r="B28" s="579" t="n"/>
      <c r="C28" s="579" t="n"/>
      <c r="D28" s="579" t="n"/>
      <c r="E28" s="579" t="n"/>
      <c r="G28" s="15" t="inlineStr">
        <is>
          <t>cost per month</t>
        </is>
      </c>
      <c r="H28" s="837" t="n">
        <v>0</v>
      </c>
      <c r="I28" s="837" t="n">
        <v>0</v>
      </c>
      <c r="J28" s="837" t="n">
        <v>2025.42</v>
      </c>
      <c r="K28" s="837" t="n">
        <v>3499.55</v>
      </c>
      <c r="L28" s="837" t="n">
        <v>0</v>
      </c>
      <c r="M28" s="837" t="n">
        <v>0</v>
      </c>
      <c r="N28" s="837" t="n">
        <v>0</v>
      </c>
      <c r="O28" s="837" t="n">
        <v>0</v>
      </c>
      <c r="P28" s="837" t="n">
        <v>0</v>
      </c>
      <c r="Q28" s="837" t="n">
        <v>0</v>
      </c>
      <c r="R28" s="837" t="n">
        <v>4330</v>
      </c>
      <c r="S28" s="837" t="n">
        <v>1267.53</v>
      </c>
    </row>
    <row r="29">
      <c r="B29" s="579" t="n"/>
      <c r="C29" s="579" t="n"/>
      <c r="D29" s="579" t="n"/>
      <c r="E29" s="579" t="n"/>
      <c r="G29" s="6" t="inlineStr">
        <is>
          <t>roberto.costa</t>
        </is>
      </c>
      <c r="H29" s="559" t="n"/>
      <c r="I29" s="559" t="n"/>
      <c r="J29" s="559" t="n">
        <v>28.97</v>
      </c>
      <c r="K29" s="559" t="n">
        <v>40.52</v>
      </c>
      <c r="L29" s="5" t="n"/>
      <c r="M29" s="5" t="n"/>
      <c r="N29" s="559" t="n">
        <v>57.94</v>
      </c>
      <c r="O29" s="559" t="n"/>
      <c r="P29" s="559" t="n"/>
      <c r="Q29" s="559" t="n"/>
      <c r="R29" s="559" t="n">
        <v>107.16</v>
      </c>
      <c r="S29" s="559" t="n">
        <v>57.94</v>
      </c>
    </row>
    <row r="30">
      <c r="D30" s="589" t="n"/>
      <c r="G30" s="15" t="inlineStr">
        <is>
          <t>cost per month</t>
        </is>
      </c>
      <c r="H30" s="837" t="n">
        <v>0</v>
      </c>
      <c r="I30" s="837" t="n">
        <v>0</v>
      </c>
      <c r="J30" s="837" t="n">
        <v>1012.71</v>
      </c>
      <c r="K30" s="837" t="n">
        <v>1451.1</v>
      </c>
      <c r="L30" s="837" t="n">
        <v>0</v>
      </c>
      <c r="M30" s="837" t="n">
        <v>0</v>
      </c>
      <c r="N30" s="837" t="n">
        <v>2074.67</v>
      </c>
      <c r="O30" s="837" t="n">
        <v>0</v>
      </c>
      <c r="P30" s="837" t="n">
        <v>0</v>
      </c>
      <c r="Q30" s="837" t="n">
        <v>0</v>
      </c>
      <c r="R30" s="837" t="n">
        <v>3837.55</v>
      </c>
      <c r="S30" s="837" t="n">
        <v>2074.67</v>
      </c>
    </row>
    <row r="31">
      <c r="D31" s="589" t="n"/>
      <c r="G31" s="6" t="inlineStr">
        <is>
          <t>riccardo.gentile</t>
        </is>
      </c>
      <c r="H31" s="837" t="n"/>
      <c r="I31" s="559" t="n">
        <v>33.2</v>
      </c>
      <c r="J31" s="837" t="n"/>
      <c r="K31" s="559" t="n">
        <v>52</v>
      </c>
      <c r="L31" s="559" t="n"/>
      <c r="M31" s="559" t="n">
        <v>80</v>
      </c>
      <c r="N31" s="559" t="n">
        <v>83</v>
      </c>
      <c r="O31" s="559" t="n"/>
      <c r="P31" s="559" t="n">
        <v>80</v>
      </c>
      <c r="Q31" s="559" t="n"/>
      <c r="R31" s="559" t="n">
        <v>102</v>
      </c>
      <c r="S31" s="559" t="n">
        <v>45.81</v>
      </c>
    </row>
    <row r="32">
      <c r="G32" s="15" t="inlineStr">
        <is>
          <t>cost per month</t>
        </is>
      </c>
      <c r="H32" s="837" t="n">
        <v>0</v>
      </c>
      <c r="I32" s="837" t="n">
        <v>3373.68</v>
      </c>
      <c r="J32" s="837" t="n">
        <v>0</v>
      </c>
      <c r="K32" s="837" t="n">
        <v>4141.11</v>
      </c>
      <c r="L32" s="837" t="n">
        <v>0</v>
      </c>
      <c r="M32" s="837" t="n">
        <v>6370.95</v>
      </c>
      <c r="N32" s="837" t="n">
        <v>6609.86</v>
      </c>
      <c r="O32" s="837" t="n">
        <v>0</v>
      </c>
      <c r="P32" s="837" t="n">
        <v>6370.95</v>
      </c>
      <c r="Q32" s="837" t="n">
        <v>0</v>
      </c>
      <c r="R32" s="837" t="n">
        <v>8122.96</v>
      </c>
      <c r="S32" s="837" t="n">
        <v>4483.55</v>
      </c>
    </row>
    <row r="33">
      <c r="A33" s="579" t="inlineStr">
        <is>
          <t xml:space="preserve"> </t>
        </is>
      </c>
      <c r="G33" s="6" t="inlineStr">
        <is>
          <t>fabio.ferrara</t>
        </is>
      </c>
      <c r="H33" s="837" t="n"/>
      <c r="I33" s="837" t="n"/>
      <c r="J33" s="837" t="n"/>
      <c r="K33" s="837" t="n"/>
      <c r="L33" s="5" t="n"/>
      <c r="M33" s="559" t="n"/>
      <c r="N33" s="559" t="n">
        <v>129.87</v>
      </c>
      <c r="O33" s="559" t="n"/>
      <c r="P33" s="559" t="n">
        <v>152</v>
      </c>
      <c r="Q33" s="559" t="n"/>
      <c r="R33" s="559" t="n">
        <v>134.1</v>
      </c>
      <c r="S33" s="559" t="n">
        <v>49.47</v>
      </c>
    </row>
    <row r="34">
      <c r="G34" s="15" t="inlineStr">
        <is>
          <t>cost per month</t>
        </is>
      </c>
      <c r="H34" s="837" t="n">
        <v>0</v>
      </c>
      <c r="I34" s="837" t="n">
        <v>0</v>
      </c>
      <c r="J34" s="837" t="n">
        <v>0</v>
      </c>
      <c r="K34" s="837" t="n">
        <v>0</v>
      </c>
      <c r="L34" s="837" t="n">
        <v>0</v>
      </c>
      <c r="M34" s="837" t="n">
        <v>0</v>
      </c>
      <c r="N34" s="837" t="n">
        <v>4083</v>
      </c>
      <c r="O34" s="837" t="n">
        <v>0</v>
      </c>
      <c r="P34" s="837" t="n">
        <v>3888.57</v>
      </c>
      <c r="Q34" s="837" t="n">
        <v>0</v>
      </c>
      <c r="R34" s="837" t="n">
        <v>4216.03</v>
      </c>
      <c r="S34" s="837" t="n">
        <v>1555.43</v>
      </c>
    </row>
    <row r="35" hidden="1" s="564">
      <c r="G35" s="6" t="inlineStr">
        <is>
          <t>ilaria.fontana</t>
        </is>
      </c>
      <c r="H35" s="559" t="n">
        <v>63.71</v>
      </c>
      <c r="I35" s="559" t="n"/>
      <c r="J35" s="559" t="n">
        <v>64</v>
      </c>
      <c r="K35" s="559" t="n"/>
      <c r="L35" s="5" t="n"/>
      <c r="M35" s="5" t="n"/>
      <c r="N35" s="5" t="n"/>
      <c r="O35" s="5" t="n"/>
      <c r="P35" s="5" t="n"/>
      <c r="Q35" s="5" t="n"/>
      <c r="R35" s="5" t="n"/>
      <c r="S35" s="5" t="n"/>
    </row>
    <row r="36" hidden="1" s="564">
      <c r="G36" s="15" t="inlineStr">
        <is>
          <t>cost per month</t>
        </is>
      </c>
      <c r="H36" s="837" t="n">
        <v>1987.2</v>
      </c>
      <c r="I36" s="837" t="n">
        <v>0</v>
      </c>
      <c r="J36" s="837" t="n">
        <v>1624.28</v>
      </c>
      <c r="K36" s="837" t="n">
        <v>0</v>
      </c>
      <c r="L36" s="837" t="n">
        <v>0</v>
      </c>
      <c r="M36" s="837" t="n">
        <v>0</v>
      </c>
      <c r="N36" s="837" t="n">
        <v>0</v>
      </c>
      <c r="O36" s="837" t="n">
        <v>0</v>
      </c>
      <c r="P36" s="837" t="n">
        <v>0</v>
      </c>
      <c r="Q36" s="837" t="n">
        <v>0</v>
      </c>
      <c r="R36" s="837" t="n">
        <v>0</v>
      </c>
      <c r="S36" s="837" t="n">
        <v>0</v>
      </c>
    </row>
    <row r="37" hidden="1" s="564">
      <c r="G37" s="6" t="inlineStr">
        <is>
          <t>ilaria.ferrara</t>
        </is>
      </c>
      <c r="H37" s="6" t="n"/>
      <c r="I37" s="6" t="n"/>
      <c r="J37" s="6" t="n"/>
      <c r="K37" s="6" t="n"/>
      <c r="L37" s="5" t="n"/>
      <c r="M37" s="5" t="n"/>
      <c r="N37" s="5" t="n"/>
      <c r="O37" s="5" t="n"/>
      <c r="P37" s="5" t="n"/>
      <c r="Q37" s="5" t="n"/>
      <c r="R37" s="5" t="n"/>
      <c r="S37" s="5" t="n"/>
    </row>
    <row r="38" hidden="1" s="564">
      <c r="B38" s="590" t="n"/>
      <c r="G38" s="15" t="inlineStr">
        <is>
          <t>cost per month</t>
        </is>
      </c>
      <c r="H38" s="837" t="n">
        <v>0</v>
      </c>
      <c r="I38" s="837" t="n">
        <v>0</v>
      </c>
      <c r="J38" s="837" t="n">
        <v>0</v>
      </c>
      <c r="K38" s="837" t="n">
        <v>0</v>
      </c>
      <c r="L38" s="837" t="n">
        <v>0</v>
      </c>
      <c r="M38" s="837" t="n">
        <v>0</v>
      </c>
      <c r="N38" s="837" t="n">
        <v>0</v>
      </c>
      <c r="O38" s="837" t="n">
        <v>0</v>
      </c>
      <c r="P38" s="837" t="n">
        <v>0</v>
      </c>
      <c r="Q38" s="837" t="n">
        <v>0</v>
      </c>
      <c r="R38" s="837" t="n">
        <v>0</v>
      </c>
      <c r="S38" s="837" t="n">
        <v>0</v>
      </c>
    </row>
    <row r="39">
      <c r="B39" s="590" t="n"/>
      <c r="G39" s="6" t="inlineStr">
        <is>
          <t>serena.mariani</t>
        </is>
      </c>
      <c r="H39" s="837" t="n"/>
      <c r="I39" s="837" t="n"/>
      <c r="J39" s="837" t="n"/>
      <c r="K39" s="559" t="n">
        <v>57</v>
      </c>
      <c r="L39" s="5" t="n"/>
      <c r="M39" s="5" t="n"/>
      <c r="N39" s="559" t="n">
        <v>23.19</v>
      </c>
      <c r="O39" s="559" t="n"/>
      <c r="P39" s="559" t="n">
        <v>110.09</v>
      </c>
      <c r="Q39" s="559" t="n"/>
      <c r="R39" s="559" t="n">
        <v>127.51</v>
      </c>
      <c r="S39" s="559" t="n">
        <v>110.01</v>
      </c>
    </row>
    <row r="40">
      <c r="B40" s="590" t="n"/>
      <c r="G40" s="15" t="inlineStr">
        <is>
          <t>cost per month</t>
        </is>
      </c>
      <c r="H40" s="837" t="n">
        <v>0</v>
      </c>
      <c r="I40" s="837" t="n">
        <v>0</v>
      </c>
      <c r="J40" s="837" t="n">
        <v>0</v>
      </c>
      <c r="K40" s="837" t="n">
        <v>1660.9</v>
      </c>
      <c r="L40" s="837" t="n">
        <v>0</v>
      </c>
      <c r="M40" s="837" t="n">
        <v>0</v>
      </c>
      <c r="N40" s="837" t="n">
        <v>830.45</v>
      </c>
      <c r="O40" s="837" t="n">
        <v>0</v>
      </c>
      <c r="P40" s="837" t="n">
        <v>3942.45</v>
      </c>
      <c r="Q40" s="837" t="n">
        <v>0</v>
      </c>
      <c r="R40" s="837" t="n">
        <v>4566.02</v>
      </c>
      <c r="S40" s="837" t="n">
        <v>3939.54</v>
      </c>
    </row>
    <row r="41">
      <c r="B41" s="590" t="n"/>
      <c r="G41" s="6" t="inlineStr">
        <is>
          <t>paolo.greco</t>
        </is>
      </c>
      <c r="H41" s="837" t="n"/>
      <c r="I41" s="837" t="n"/>
      <c r="J41" s="559" t="n"/>
      <c r="K41" s="559" t="n">
        <v>138</v>
      </c>
      <c r="L41" s="559" t="n">
        <v>94.8</v>
      </c>
      <c r="M41" s="5" t="n"/>
      <c r="N41" s="559" t="n"/>
      <c r="O41" s="5" t="n"/>
      <c r="P41" s="5" t="n"/>
      <c r="Q41" s="5" t="n"/>
      <c r="R41" s="559" t="n">
        <v>125.23</v>
      </c>
      <c r="S41" s="559" t="n">
        <v>83.97</v>
      </c>
    </row>
    <row r="42">
      <c r="B42" s="590" t="n"/>
      <c r="G42" s="15" t="inlineStr">
        <is>
          <t>cost per month</t>
        </is>
      </c>
      <c r="H42" s="837" t="n">
        <v>0</v>
      </c>
      <c r="I42" s="837" t="n">
        <v>0</v>
      </c>
      <c r="J42" s="837" t="n">
        <v>0</v>
      </c>
      <c r="K42" s="837" t="n">
        <v>3372.09</v>
      </c>
      <c r="L42" s="837" t="n">
        <v>2846.73</v>
      </c>
      <c r="M42" s="837" t="n">
        <v>0</v>
      </c>
      <c r="N42" s="837" t="n">
        <v>0</v>
      </c>
      <c r="O42" s="837" t="n">
        <v>0</v>
      </c>
      <c r="P42" s="837" t="n">
        <v>0</v>
      </c>
      <c r="Q42" s="837" t="n">
        <v>0</v>
      </c>
      <c r="R42" s="837" t="n">
        <v>4347.93</v>
      </c>
      <c r="S42" s="837" t="n">
        <v>2915.57</v>
      </c>
    </row>
    <row r="43">
      <c r="B43" s="590" t="n"/>
      <c r="G43" s="6" t="inlineStr">
        <is>
          <t>luca.leone</t>
        </is>
      </c>
      <c r="H43" s="559" t="n"/>
      <c r="I43" s="559" t="n"/>
      <c r="J43" s="559" t="n">
        <v>11</v>
      </c>
      <c r="K43" s="837" t="n"/>
      <c r="L43" s="5" t="n"/>
      <c r="M43" s="5" t="n"/>
      <c r="N43" s="559" t="n">
        <v>9</v>
      </c>
      <c r="O43" s="559" t="n"/>
      <c r="P43" s="559" t="n"/>
      <c r="Q43" s="559" t="n"/>
      <c r="R43" s="559" t="n">
        <v>9</v>
      </c>
      <c r="S43" s="559" t="n">
        <v>9</v>
      </c>
    </row>
    <row r="44">
      <c r="B44" s="590" t="n"/>
      <c r="G44" s="15" t="inlineStr">
        <is>
          <t>cost per month</t>
        </is>
      </c>
      <c r="H44" s="837" t="n">
        <v>0</v>
      </c>
      <c r="I44" s="837" t="n">
        <v>0</v>
      </c>
      <c r="J44" s="837" t="n">
        <v>2098.67</v>
      </c>
      <c r="K44" s="837" t="n">
        <v>0</v>
      </c>
      <c r="L44" s="837" t="n">
        <v>0</v>
      </c>
      <c r="M44" s="837" t="n">
        <v>0</v>
      </c>
      <c r="N44" s="837" t="n">
        <v>1704.06</v>
      </c>
      <c r="O44" s="837" t="n">
        <v>0</v>
      </c>
      <c r="P44" s="837" t="n">
        <v>0</v>
      </c>
      <c r="Q44" s="837" t="n">
        <v>0</v>
      </c>
      <c r="R44" s="837" t="n">
        <v>2051.84</v>
      </c>
      <c r="S44" s="837" t="n">
        <v>2051.84</v>
      </c>
    </row>
    <row r="45">
      <c r="B45" s="590" t="n"/>
      <c r="G45" s="6" t="inlineStr">
        <is>
          <t>andrea.conti</t>
        </is>
      </c>
      <c r="H45" s="837" t="n"/>
      <c r="I45" s="837" t="n"/>
      <c r="J45" s="559" t="n">
        <v>57.94</v>
      </c>
      <c r="K45" s="559" t="n"/>
      <c r="L45" s="5" t="n"/>
      <c r="M45" s="5" t="n"/>
      <c r="N45" s="559" t="n">
        <v>31.9</v>
      </c>
      <c r="O45" s="5" t="n"/>
      <c r="P45" s="5" t="n"/>
      <c r="Q45" s="5" t="n"/>
      <c r="R45" s="559" t="n">
        <v>33.28</v>
      </c>
      <c r="S45" s="559" t="n">
        <v>23.19</v>
      </c>
    </row>
    <row r="46">
      <c r="B46" s="590" t="n"/>
      <c r="G46" s="15" t="inlineStr">
        <is>
          <t>cost per month</t>
        </is>
      </c>
      <c r="H46" s="837" t="n">
        <v>0</v>
      </c>
      <c r="I46" s="837" t="n">
        <v>0</v>
      </c>
      <c r="J46" s="837" t="n">
        <v>1740.38</v>
      </c>
      <c r="K46" s="837" t="n">
        <v>0</v>
      </c>
      <c r="L46" s="837" t="n">
        <v>0</v>
      </c>
      <c r="M46" s="837" t="n">
        <v>0</v>
      </c>
      <c r="N46" s="837" t="n">
        <v>1034.1</v>
      </c>
      <c r="O46" s="837" t="n">
        <v>0</v>
      </c>
      <c r="P46" s="837" t="n">
        <v>0</v>
      </c>
      <c r="Q46" s="837" t="n">
        <v>0</v>
      </c>
      <c r="R46" s="837" t="n">
        <v>1155.49</v>
      </c>
      <c r="S46" s="837" t="n">
        <v>805.17</v>
      </c>
    </row>
    <row r="47" ht="19" customHeight="1" s="564">
      <c r="B47" s="590" t="n"/>
      <c r="G47" s="27" t="inlineStr">
        <is>
          <t>Costs</t>
        </is>
      </c>
      <c r="H47" s="841" t="n">
        <v>3954.1</v>
      </c>
      <c r="I47" s="841" t="n">
        <v>9962.959999999999</v>
      </c>
      <c r="J47" s="841" t="n">
        <v>20959.44</v>
      </c>
      <c r="K47" s="841" t="n">
        <v>36859.71</v>
      </c>
      <c r="L47" s="842" t="n">
        <v>18594.05</v>
      </c>
      <c r="M47" s="842" t="n">
        <v>27012.8</v>
      </c>
      <c r="N47" s="842" t="n">
        <v>33451.66</v>
      </c>
      <c r="O47" s="842" t="n">
        <v>35803</v>
      </c>
      <c r="P47" s="842" t="n">
        <v>49219.87</v>
      </c>
      <c r="Q47" s="842" t="n">
        <v>18119.44</v>
      </c>
      <c r="R47" s="842" t="n">
        <v>85302.71000000001</v>
      </c>
      <c r="S47" s="842" t="n">
        <v>41617.1</v>
      </c>
    </row>
    <row r="48">
      <c r="B48" s="590" t="n"/>
      <c r="G48" s="27" t="inlineStr">
        <is>
          <t>Spese &amp; Costi on Top</t>
        </is>
      </c>
      <c r="H48" s="841" t="n">
        <v>0</v>
      </c>
      <c r="I48" s="841" t="n">
        <v>0</v>
      </c>
      <c r="J48" s="841" t="n">
        <v>0</v>
      </c>
      <c r="K48" s="841" t="n">
        <v>0</v>
      </c>
      <c r="L48" s="842" t="n">
        <v>0</v>
      </c>
      <c r="M48" s="842" t="n">
        <v>0</v>
      </c>
      <c r="N48" s="842" t="n">
        <v>0</v>
      </c>
      <c r="O48" s="842" t="n">
        <v>0</v>
      </c>
      <c r="P48" s="842" t="n">
        <v>0</v>
      </c>
      <c r="Q48" s="842" t="n">
        <v>0</v>
      </c>
      <c r="R48" s="842" t="n">
        <v>0</v>
      </c>
      <c r="S48" s="842" t="n">
        <v>0</v>
      </c>
    </row>
    <row r="49">
      <c r="B49" s="590" t="n"/>
    </row>
    <row r="50">
      <c r="B50" s="590" t="n"/>
      <c r="G50" s="27" t="inlineStr">
        <is>
          <t>Giulia Mariani</t>
        </is>
      </c>
      <c r="H50" s="841" t="n">
        <v>3954.1</v>
      </c>
      <c r="I50" s="841" t="n">
        <v>9962.959999999999</v>
      </c>
      <c r="J50" s="841" t="n">
        <v>20959.44</v>
      </c>
      <c r="K50" s="841" t="n">
        <v>36859.71</v>
      </c>
      <c r="L50" s="842" t="n">
        <v>18594.05</v>
      </c>
      <c r="M50" s="842" t="n">
        <v>27012.8</v>
      </c>
      <c r="N50" s="842" t="n">
        <v>33451.66</v>
      </c>
      <c r="O50" s="842" t="n">
        <v>35803</v>
      </c>
      <c r="P50" s="842" t="n">
        <v>49219.87</v>
      </c>
      <c r="Q50" s="842" t="n">
        <v>18119.44</v>
      </c>
      <c r="R50" s="842" t="n">
        <v>85302.71000000001</v>
      </c>
      <c r="S50" s="842" t="n">
        <v>41617.1</v>
      </c>
    </row>
    <row r="51">
      <c r="B51" s="590" t="n"/>
    </row>
    <row r="52"/>
    <row r="53"/>
    <row r="54">
      <c r="G54" s="843" t="n"/>
    </row>
    <row r="55">
      <c r="G55" s="843" t="n"/>
    </row>
    <row r="56"/>
    <row r="57">
      <c r="G57" s="614" t="n"/>
    </row>
    <row r="58">
      <c r="G58" s="596" t="n"/>
    </row>
    <row r="59"/>
    <row r="60">
      <c r="G60" s="614" t="n"/>
    </row>
    <row r="61"/>
    <row r="62"/>
    <row r="63"/>
    <row r="64">
      <c r="G64" s="614" t="n"/>
    </row>
  </sheetData>
  <conditionalFormatting sqref="B2">
    <cfRule type="duplicateValues" priority="6" dxfId="1"/>
  </conditionalFormatting>
  <conditionalFormatting sqref="B3:B7">
    <cfRule type="duplicateValues" priority="9" dxfId="1"/>
  </conditionalFormatting>
  <conditionalFormatting sqref="B8">
    <cfRule type="duplicateValues" priority="5" dxfId="1"/>
  </conditionalFormatting>
  <conditionalFormatting sqref="B9:B10">
    <cfRule type="duplicateValues" priority="10" dxfId="1"/>
  </conditionalFormatting>
  <conditionalFormatting sqref="B11">
    <cfRule type="duplicateValues" priority="4" dxfId="1"/>
  </conditionalFormatting>
  <conditionalFormatting sqref="B12:B13">
    <cfRule type="duplicateValues" priority="8" dxfId="1"/>
  </conditionalFormatting>
  <conditionalFormatting sqref="B14:B15">
    <cfRule type="duplicateValues" priority="7" dxfId="1"/>
  </conditionalFormatting>
  <conditionalFormatting sqref="B16">
    <cfRule type="duplicateValues" priority="3" dxfId="1"/>
  </conditionalFormatting>
  <conditionalFormatting sqref="B17">
    <cfRule type="duplicateValues" priority="2" dxfId="1"/>
  </conditionalFormatting>
  <conditionalFormatting sqref="B18:B19">
    <cfRule type="duplicateValues" priority="11" dxfId="1"/>
  </conditionalFormatting>
  <conditionalFormatting sqref="B20:B25">
    <cfRule type="duplicateValues" priority="1" dxfId="1"/>
  </conditionalFormatting>
  <pageMargins left="0.7" right="0.7" top="0.75" bottom="0.75" header="0.3" footer="0.3"/>
  <pageSetup orientation="portrait"/>
  <legacyDrawing xmlns:r="http://schemas.openxmlformats.org/officeDocument/2006/relationships" r:id="anysvml"/>
</worksheet>
</file>

<file path=xl/worksheets/sheet12.xml><?xml version="1.0" encoding="utf-8"?>
<worksheet xmlns="http://schemas.openxmlformats.org/spreadsheetml/2006/main">
  <sheetPr codeName="Sheet5">
    <tabColor theme="9"/>
    <outlinePr summaryBelow="1" summaryRight="1"/>
    <pageSetUpPr/>
  </sheetPr>
  <dimension ref="A1:U68"/>
  <sheetViews>
    <sheetView showGridLines="0" zoomScale="59" zoomScaleNormal="57" workbookViewId="0">
      <pane ySplit="2" topLeftCell="A3" activePane="bottomLeft" state="frozen"/>
      <selection pane="bottomLeft" activeCell="R51" sqref="R51"/>
    </sheetView>
  </sheetViews>
  <sheetFormatPr baseColWidth="8" defaultColWidth="12.54296875" defaultRowHeight="14.5"/>
  <cols>
    <col width="4.26953125" bestFit="1" customWidth="1" style="579" min="1" max="1"/>
    <col width="19" bestFit="1" customWidth="1" style="564" min="2" max="2"/>
    <col width="7.7265625" bestFit="1" customWidth="1" style="564" min="3" max="3"/>
    <col width="11.54296875" bestFit="1" customWidth="1" style="564" min="4" max="4"/>
    <col width="10" bestFit="1" customWidth="1" style="564" min="5" max="5"/>
    <col width="3.453125" customWidth="1" style="579" min="6" max="6"/>
    <col width="29.54296875" customWidth="1" style="579" min="7" max="7"/>
    <col width="11.453125" customWidth="1" style="579" min="8" max="11"/>
    <col width="12.54296875" customWidth="1" style="579" min="12" max="16384"/>
  </cols>
  <sheetData>
    <row r="1" ht="15" customHeight="1" s="564" thickBot="1">
      <c r="A1" s="257" t="inlineStr">
        <is>
          <t>AlphaBank</t>
        </is>
      </c>
      <c r="B1" s="256" t="inlineStr">
        <is>
          <t>Resource</t>
        </is>
      </c>
      <c r="C1" s="25" t="inlineStr">
        <is>
          <t>LC</t>
        </is>
      </c>
      <c r="D1" s="25" t="inlineStr">
        <is>
          <t>LP</t>
        </is>
      </c>
      <c r="E1" s="31" t="inlineStr">
        <is>
          <t>UC</t>
        </is>
      </c>
    </row>
    <row r="2" ht="15" customHeight="1" s="564">
      <c r="B2" s="22" t="inlineStr">
        <is>
          <t>martina.costa</t>
        </is>
      </c>
      <c r="C2" s="3" t="n">
        <v>88.64</v>
      </c>
      <c r="D2" s="836" t="n">
        <v>594.46</v>
      </c>
      <c r="E2" s="836" t="n">
        <v>49.87</v>
      </c>
      <c r="H2" s="26" t="n">
        <v>45901</v>
      </c>
      <c r="I2" s="26" t="n">
        <v>45931</v>
      </c>
      <c r="J2" s="26" t="n">
        <v>45962</v>
      </c>
      <c r="K2" s="26" t="n">
        <v>45992</v>
      </c>
      <c r="L2" s="26" t="n">
        <v>46023</v>
      </c>
      <c r="M2" s="26" t="n">
        <v>46054</v>
      </c>
      <c r="N2" s="26" t="n">
        <v>46082</v>
      </c>
      <c r="O2" s="26" t="n">
        <v>46113</v>
      </c>
      <c r="P2" s="26" t="n">
        <v>46143</v>
      </c>
      <c r="Q2" s="26" t="n">
        <v>46174</v>
      </c>
      <c r="R2" s="26" t="n">
        <v>46204</v>
      </c>
      <c r="S2" s="26" t="n">
        <v>46235</v>
      </c>
    </row>
    <row r="3">
      <c r="B3" s="22" t="inlineStr">
        <is>
          <t>matteo.costa</t>
        </is>
      </c>
      <c r="C3" s="3" t="n">
        <v>34.61</v>
      </c>
      <c r="D3" s="836" t="n">
        <v>294.69</v>
      </c>
      <c r="E3" s="836" t="n"/>
      <c r="G3" s="6" t="inlineStr">
        <is>
          <t>martina.costa</t>
        </is>
      </c>
      <c r="H3" s="559" t="n"/>
      <c r="I3" s="559" t="n"/>
      <c r="J3" s="559" t="n"/>
      <c r="K3" s="238" t="n"/>
      <c r="L3" s="559" t="n">
        <v>94.8</v>
      </c>
      <c r="M3" s="5" t="n"/>
      <c r="N3" s="5" t="n"/>
      <c r="O3" s="5" t="n"/>
      <c r="P3" s="559" t="n"/>
      <c r="Q3" s="559" t="n"/>
      <c r="R3" s="559" t="n"/>
      <c r="S3" s="559" t="n"/>
    </row>
    <row r="4" ht="15" customHeight="1" s="564">
      <c r="B4" s="22" t="inlineStr">
        <is>
          <t>nicola.fontana</t>
        </is>
      </c>
      <c r="C4" s="3" t="n">
        <v>29.14</v>
      </c>
      <c r="D4" s="836" t="n">
        <v>203.03</v>
      </c>
      <c r="E4" s="836" t="n"/>
      <c r="G4" s="15" t="inlineStr">
        <is>
          <t>cost per month</t>
        </is>
      </c>
      <c r="H4" s="837" t="n">
        <v>0</v>
      </c>
      <c r="I4" s="837" t="n">
        <v>0</v>
      </c>
      <c r="J4" s="837" t="n">
        <v>0</v>
      </c>
      <c r="K4" s="844" t="n">
        <v>0</v>
      </c>
      <c r="L4" s="837" t="n">
        <v>9715.65</v>
      </c>
      <c r="M4" s="837" t="n">
        <v>0</v>
      </c>
      <c r="N4" s="837" t="n">
        <v>0</v>
      </c>
      <c r="O4" s="837" t="n">
        <v>0</v>
      </c>
      <c r="P4" s="837" t="n">
        <v>0</v>
      </c>
      <c r="Q4" s="837" t="n">
        <v>0</v>
      </c>
      <c r="R4" s="837" t="n">
        <v>0</v>
      </c>
      <c r="S4" s="837" t="n">
        <v>0</v>
      </c>
    </row>
    <row r="5">
      <c r="B5" s="22" t="inlineStr">
        <is>
          <t>luca.leone</t>
        </is>
      </c>
      <c r="C5" s="3" t="n">
        <v>227.98</v>
      </c>
      <c r="D5" s="836" t="n">
        <v>1512.05</v>
      </c>
      <c r="E5" s="836" t="n">
        <v>126.85</v>
      </c>
      <c r="G5" s="6" t="inlineStr">
        <is>
          <t>matteo.costa</t>
        </is>
      </c>
      <c r="H5" s="559" t="n">
        <v>120.75</v>
      </c>
      <c r="I5" s="559" t="n">
        <v>64.45</v>
      </c>
      <c r="J5" s="559" t="n">
        <v>70.3</v>
      </c>
      <c r="K5" s="238" t="n"/>
      <c r="L5" s="5" t="n"/>
      <c r="M5" s="5" t="n"/>
      <c r="N5" s="5" t="n"/>
      <c r="O5" s="559" t="n">
        <v>122.3</v>
      </c>
      <c r="P5" s="559" t="n"/>
      <c r="Q5" s="559" t="n">
        <v>72</v>
      </c>
      <c r="R5" s="559" t="n"/>
      <c r="S5" s="559" t="n"/>
    </row>
    <row r="6">
      <c r="B6" s="22" t="inlineStr">
        <is>
          <t>alberto lotito</t>
        </is>
      </c>
      <c r="C6" s="3" t="n">
        <v>91.34999999999999</v>
      </c>
      <c r="D6" s="836" t="n">
        <v>736</v>
      </c>
      <c r="E6" s="836" t="n">
        <v>61.71</v>
      </c>
      <c r="G6" s="15" t="inlineStr">
        <is>
          <t>cost per month</t>
        </is>
      </c>
      <c r="H6" s="837" t="n">
        <v>5099.4</v>
      </c>
      <c r="I6" s="837" t="n">
        <v>2721.51</v>
      </c>
      <c r="J6" s="837" t="n">
        <v>2968.92</v>
      </c>
      <c r="K6" s="844" t="n">
        <v>0</v>
      </c>
      <c r="L6" s="837" t="n">
        <v>0</v>
      </c>
      <c r="M6" s="837" t="n">
        <v>0</v>
      </c>
      <c r="N6" s="837" t="n">
        <v>0</v>
      </c>
      <c r="O6" s="837" t="n">
        <v>5201.38</v>
      </c>
      <c r="P6" s="837" t="n">
        <v>0</v>
      </c>
      <c r="Q6" s="837" t="n">
        <v>2491.68</v>
      </c>
      <c r="R6" s="837" t="n">
        <v>0</v>
      </c>
      <c r="S6" s="837" t="n">
        <v>0</v>
      </c>
    </row>
    <row r="7">
      <c r="B7" s="22" t="inlineStr">
        <is>
          <t>sara.rinaldi</t>
        </is>
      </c>
      <c r="C7" s="3" t="n">
        <v>40.49</v>
      </c>
      <c r="D7" s="836" t="n">
        <v>323.92</v>
      </c>
      <c r="E7" s="836" t="n"/>
      <c r="G7" s="6" t="inlineStr">
        <is>
          <t>nicola.fontana</t>
        </is>
      </c>
      <c r="H7" s="559" t="n">
        <v>127.43</v>
      </c>
      <c r="I7" s="559" t="n">
        <v>34.74</v>
      </c>
      <c r="J7" s="559" t="n">
        <v>57.94</v>
      </c>
      <c r="K7" s="559" t="n">
        <v>92.68000000000001</v>
      </c>
      <c r="L7" s="559" t="n"/>
      <c r="M7" s="559" t="n">
        <v>92.44</v>
      </c>
      <c r="N7" s="559" t="n"/>
      <c r="O7" s="559" t="n"/>
      <c r="P7" s="559" t="n"/>
      <c r="Q7" s="559" t="n"/>
      <c r="R7" s="559" t="n"/>
      <c r="S7" s="559" t="n"/>
    </row>
    <row r="8">
      <c r="B8" s="22" t="inlineStr">
        <is>
          <t>serena.rossi</t>
        </is>
      </c>
      <c r="C8" s="3" t="n">
        <v>43.5</v>
      </c>
      <c r="D8" s="836" t="n">
        <v>348</v>
      </c>
      <c r="E8" s="836" t="n"/>
      <c r="G8" s="15" t="inlineStr">
        <is>
          <t>cost per month</t>
        </is>
      </c>
      <c r="H8" s="838" t="n">
        <v>3974.4</v>
      </c>
      <c r="I8" s="838" t="n">
        <v>1083.7</v>
      </c>
      <c r="J8" s="838" t="n">
        <v>1807.01</v>
      </c>
      <c r="K8" s="845" t="n">
        <v>3318.89</v>
      </c>
      <c r="L8" s="837" t="n">
        <v>0</v>
      </c>
      <c r="M8" s="837" t="n">
        <v>3310.14</v>
      </c>
      <c r="N8" s="837" t="n">
        <v>0</v>
      </c>
      <c r="O8" s="837" t="n">
        <v>0</v>
      </c>
      <c r="P8" s="837" t="n">
        <v>0</v>
      </c>
      <c r="Q8" s="837" t="n">
        <v>0</v>
      </c>
      <c r="R8" s="837" t="n">
        <v>0</v>
      </c>
      <c r="S8" s="838" t="n">
        <v>0</v>
      </c>
      <c r="U8" s="614" t="n"/>
    </row>
    <row r="9">
      <c r="B9" s="22" t="inlineStr">
        <is>
          <t>matteo.romano</t>
        </is>
      </c>
      <c r="C9" s="3" t="n">
        <v>33.35</v>
      </c>
      <c r="D9" s="836" t="n">
        <v>266.76</v>
      </c>
      <c r="E9" s="836" t="n">
        <v>16.96</v>
      </c>
      <c r="G9" s="6" t="inlineStr">
        <is>
          <t>serena.rossi</t>
        </is>
      </c>
      <c r="H9" s="559" t="n">
        <v>59.81</v>
      </c>
      <c r="I9" s="559" t="n">
        <v>65.5</v>
      </c>
      <c r="J9" s="559" t="n"/>
      <c r="K9" s="238" t="n">
        <v>44.83</v>
      </c>
      <c r="L9" s="5" t="n"/>
      <c r="M9" s="238" t="n">
        <v>70</v>
      </c>
      <c r="N9" s="238" t="n"/>
      <c r="O9" s="238" t="n"/>
      <c r="P9" s="238" t="n">
        <v>54</v>
      </c>
      <c r="Q9" s="238" t="n">
        <v>31.33</v>
      </c>
      <c r="R9" s="238" t="n"/>
      <c r="S9" s="6" t="n"/>
    </row>
    <row r="10">
      <c r="B10" s="22" t="inlineStr">
        <is>
          <t>sara.colombo</t>
        </is>
      </c>
      <c r="C10" s="3" t="n">
        <v>33.35</v>
      </c>
      <c r="D10" s="836" t="n">
        <v>266.76</v>
      </c>
      <c r="E10" s="836" t="n">
        <v>16.96</v>
      </c>
      <c r="G10" s="15" t="inlineStr">
        <is>
          <t>cost per month</t>
        </is>
      </c>
      <c r="H10" s="837" t="n">
        <v>2759.49</v>
      </c>
      <c r="I10" s="837" t="n">
        <v>3022.3</v>
      </c>
      <c r="J10" s="837" t="n">
        <v>0</v>
      </c>
      <c r="K10" s="844" t="n">
        <v>2244.43</v>
      </c>
      <c r="L10" s="837" t="n">
        <v>0</v>
      </c>
      <c r="M10" s="837" t="n">
        <v>2851.37</v>
      </c>
      <c r="N10" s="837" t="n">
        <v>0</v>
      </c>
      <c r="O10" s="837" t="n">
        <v>0</v>
      </c>
      <c r="P10" s="837" t="n">
        <v>2199.63</v>
      </c>
      <c r="Q10" s="837" t="n">
        <v>1674.77</v>
      </c>
      <c r="R10" s="837" t="n">
        <v>0</v>
      </c>
      <c r="S10" s="846" t="n">
        <v>0</v>
      </c>
    </row>
    <row r="11">
      <c r="B11" s="22" t="inlineStr">
        <is>
          <t>stefano.greco</t>
        </is>
      </c>
      <c r="C11" s="3" t="n">
        <v>33.35</v>
      </c>
      <c r="D11" s="836" t="n">
        <v>266.76</v>
      </c>
      <c r="E11" s="836" t="n">
        <v>22.1</v>
      </c>
      <c r="G11" s="6" t="inlineStr">
        <is>
          <t>matteo.ferrari</t>
        </is>
      </c>
      <c r="H11" s="559" t="n">
        <v>78.03</v>
      </c>
      <c r="I11" s="559" t="n">
        <v>39.55</v>
      </c>
      <c r="J11" s="559" t="n">
        <v>31</v>
      </c>
      <c r="K11" s="559" t="n">
        <v>40.85</v>
      </c>
      <c r="L11" s="559" t="n">
        <v>51.83</v>
      </c>
      <c r="M11" s="559" t="n">
        <v>59.07</v>
      </c>
      <c r="N11" s="559" t="n"/>
      <c r="O11" s="559" t="n"/>
      <c r="P11" s="559" t="n">
        <v>59.07</v>
      </c>
      <c r="Q11" s="559" t="n">
        <v>48.17</v>
      </c>
      <c r="R11" s="559" t="n"/>
      <c r="S11" s="559" t="n"/>
    </row>
    <row r="12">
      <c r="B12" s="22" t="inlineStr">
        <is>
          <t>laura.moretti</t>
        </is>
      </c>
      <c r="C12" s="3" t="n">
        <v>26.48</v>
      </c>
      <c r="D12" s="836" t="n">
        <v>211.82</v>
      </c>
      <c r="E12" s="836" t="n"/>
      <c r="G12" s="15" t="inlineStr">
        <is>
          <t>cost per month</t>
        </is>
      </c>
      <c r="H12" s="838" t="n">
        <v>8760.08</v>
      </c>
      <c r="I12" s="838" t="n">
        <v>4439.41</v>
      </c>
      <c r="J12" s="838" t="n">
        <v>3480.28</v>
      </c>
      <c r="K12" s="845" t="n">
        <v>4585.57</v>
      </c>
      <c r="L12" s="837" t="n">
        <v>5818.74</v>
      </c>
      <c r="M12" s="837" t="n">
        <v>6631.72</v>
      </c>
      <c r="N12" s="837" t="n">
        <v>0</v>
      </c>
      <c r="O12" s="837" t="n">
        <v>0</v>
      </c>
      <c r="P12" s="837" t="n">
        <v>6631.72</v>
      </c>
      <c r="Q12" s="837" t="n">
        <v>5407.68</v>
      </c>
      <c r="R12" s="837" t="n">
        <v>0</v>
      </c>
      <c r="S12" s="837" t="n">
        <v>0</v>
      </c>
    </row>
    <row r="13">
      <c r="B13" s="22" t="inlineStr">
        <is>
          <t>anna.ferrari</t>
        </is>
      </c>
      <c r="C13" s="3" t="n">
        <v>79.64</v>
      </c>
      <c r="D13" s="836" t="n">
        <v>637.09</v>
      </c>
      <c r="E13" s="836" t="n"/>
      <c r="G13" s="6" t="inlineStr">
        <is>
          <t>matteo.romano</t>
        </is>
      </c>
      <c r="H13" s="6" t="n">
        <v>61.52</v>
      </c>
      <c r="I13" s="6" t="n">
        <v>65.5</v>
      </c>
      <c r="J13" s="559" t="n"/>
      <c r="K13" s="238" t="n">
        <v>44.18</v>
      </c>
      <c r="L13" s="5" t="n"/>
      <c r="M13" s="238" t="n">
        <v>27.83</v>
      </c>
      <c r="N13" s="5" t="n"/>
      <c r="O13" s="238" t="n">
        <v>53.87</v>
      </c>
      <c r="P13" s="238" t="n">
        <v>55.01</v>
      </c>
      <c r="Q13" s="238" t="n">
        <v>26.12</v>
      </c>
      <c r="R13" s="238" t="n"/>
      <c r="S13" s="6" t="n">
        <v>17.33</v>
      </c>
    </row>
    <row r="14">
      <c r="B14" s="22" t="inlineStr">
        <is>
          <t>ilaria.esposito</t>
        </is>
      </c>
      <c r="C14" s="3" t="n">
        <v>29.14</v>
      </c>
      <c r="D14" s="836" t="n">
        <v>233.11</v>
      </c>
      <c r="E14" s="836" t="n"/>
      <c r="G14" s="15" t="inlineStr">
        <is>
          <t>cost per month</t>
        </is>
      </c>
      <c r="H14" s="837" t="n">
        <v>1994.34</v>
      </c>
      <c r="I14" s="837" t="n">
        <v>2123.6</v>
      </c>
      <c r="J14" s="837" t="n">
        <v>0</v>
      </c>
      <c r="K14" s="844" t="n">
        <v>1810.66</v>
      </c>
      <c r="L14" s="837" t="n">
        <v>0</v>
      </c>
      <c r="M14" s="837" t="n">
        <v>1140.41</v>
      </c>
      <c r="N14" s="837" t="n">
        <v>0</v>
      </c>
      <c r="O14" s="837" t="n">
        <v>2207.47</v>
      </c>
      <c r="P14" s="837" t="n">
        <v>2254.15</v>
      </c>
      <c r="Q14" s="837" t="n">
        <v>1070.39</v>
      </c>
      <c r="R14" s="837" t="n">
        <v>0</v>
      </c>
      <c r="S14" s="837" t="n">
        <v>710.26</v>
      </c>
    </row>
    <row r="15">
      <c r="B15" s="22" t="inlineStr">
        <is>
          <t>roberto.costa</t>
        </is>
      </c>
      <c r="C15" s="3" t="n">
        <v>29.14</v>
      </c>
      <c r="D15" s="836" t="n">
        <v>233.11</v>
      </c>
      <c r="E15" s="836" t="n"/>
      <c r="G15" s="6" t="inlineStr">
        <is>
          <t>sara.colombo</t>
        </is>
      </c>
      <c r="H15" s="6" t="n">
        <v>53.62</v>
      </c>
      <c r="I15" s="6" t="n">
        <v>19.12</v>
      </c>
      <c r="J15" s="559" t="n"/>
      <c r="K15" s="238" t="n"/>
      <c r="L15" s="559" t="n">
        <v>28.4</v>
      </c>
      <c r="M15" s="559" t="n">
        <v>29.46</v>
      </c>
      <c r="N15" s="559" t="n"/>
      <c r="O15" s="559" t="n">
        <v>29</v>
      </c>
      <c r="P15" s="559" t="n">
        <v>52.65</v>
      </c>
      <c r="Q15" s="559" t="n">
        <v>28.97</v>
      </c>
      <c r="R15" s="559" t="n"/>
      <c r="S15" s="559" t="n">
        <v>17.33</v>
      </c>
    </row>
    <row r="16">
      <c r="B16" s="22" t="inlineStr">
        <is>
          <t>ilaria.fontana</t>
        </is>
      </c>
      <c r="C16" s="3" t="e">
        <v>#N/A</v>
      </c>
      <c r="D16" s="836" t="e">
        <v>#N/A</v>
      </c>
      <c r="E16" s="5" t="n"/>
      <c r="G16" s="15" t="inlineStr">
        <is>
          <t>cost per month</t>
        </is>
      </c>
      <c r="H16" s="837" t="n">
        <v>1738.45</v>
      </c>
      <c r="I16" s="837" t="n">
        <v>619.9299999999999</v>
      </c>
      <c r="J16" s="837" t="n">
        <v>0</v>
      </c>
      <c r="K16" s="844" t="n">
        <v>0</v>
      </c>
      <c r="L16" s="837" t="n">
        <v>985.98</v>
      </c>
      <c r="M16" s="837" t="n">
        <v>1022.71</v>
      </c>
      <c r="N16" s="837" t="n">
        <v>0</v>
      </c>
      <c r="O16" s="837" t="n">
        <v>819.3</v>
      </c>
      <c r="P16" s="837" t="n">
        <v>1827.88</v>
      </c>
      <c r="Q16" s="837" t="n">
        <v>1187.1</v>
      </c>
      <c r="R16" s="837" t="n">
        <v>0</v>
      </c>
      <c r="S16" s="837" t="n">
        <v>710.26</v>
      </c>
    </row>
    <row r="17">
      <c r="B17" s="22" t="inlineStr">
        <is>
          <t>serena.mariani</t>
        </is>
      </c>
      <c r="C17" s="3" t="n">
        <v>29.14</v>
      </c>
      <c r="D17" s="836" t="n">
        <v>233.11</v>
      </c>
      <c r="E17" s="5" t="n"/>
      <c r="G17" s="6" t="inlineStr">
        <is>
          <t>stefano.greco</t>
        </is>
      </c>
      <c r="H17" s="559" t="n">
        <v>59.89</v>
      </c>
      <c r="I17" s="559" t="n">
        <v>117.25</v>
      </c>
      <c r="J17" s="559" t="n">
        <v>129</v>
      </c>
      <c r="K17" s="559" t="n"/>
      <c r="L17" s="559" t="n">
        <v>87.55</v>
      </c>
      <c r="M17" s="559" t="n">
        <v>101.31</v>
      </c>
      <c r="N17" s="559" t="n"/>
      <c r="O17" s="559" t="n">
        <v>20.59</v>
      </c>
      <c r="P17" s="559" t="n">
        <v>40.93</v>
      </c>
      <c r="Q17" s="559" t="n">
        <v>32</v>
      </c>
      <c r="R17" s="559" t="n"/>
      <c r="S17" s="559" t="n"/>
    </row>
    <row r="18">
      <c r="B18" s="22" t="inlineStr">
        <is>
          <t>riccardo.gentile</t>
        </is>
      </c>
      <c r="C18" s="3" t="n">
        <v>79.64</v>
      </c>
      <c r="D18" s="836" t="n">
        <v>637.09</v>
      </c>
      <c r="E18" s="5" t="n"/>
      <c r="G18" s="15" t="inlineStr">
        <is>
          <t>cost per month</t>
        </is>
      </c>
      <c r="H18" s="837" t="n">
        <v>2454.22</v>
      </c>
      <c r="I18" s="837" t="n">
        <v>4805.08</v>
      </c>
      <c r="J18" s="837" t="n">
        <v>4301.56</v>
      </c>
      <c r="K18" s="844" t="n">
        <v>0</v>
      </c>
      <c r="L18" s="837" t="n">
        <v>3587.97</v>
      </c>
      <c r="M18" s="837" t="n">
        <v>4151.51</v>
      </c>
      <c r="N18" s="837" t="n">
        <v>0</v>
      </c>
      <c r="O18" s="837" t="n">
        <v>843.64</v>
      </c>
      <c r="P18" s="837" t="n">
        <v>1677.27</v>
      </c>
      <c r="Q18" s="837" t="n">
        <v>1067.05</v>
      </c>
      <c r="R18" s="837" t="n">
        <v>0</v>
      </c>
      <c r="S18" s="837" t="n">
        <v>0</v>
      </c>
    </row>
    <row r="19">
      <c r="B19" s="22" t="inlineStr">
        <is>
          <t>fabio.ferrara</t>
        </is>
      </c>
      <c r="C19" s="3" t="n">
        <v>25.58</v>
      </c>
      <c r="D19" s="836" t="n">
        <v>204.66</v>
      </c>
      <c r="E19" s="5" t="n"/>
      <c r="G19" s="6" t="inlineStr">
        <is>
          <t>sara.rinaldi</t>
        </is>
      </c>
      <c r="H19" s="559" t="n">
        <v>81.78</v>
      </c>
      <c r="I19" s="559" t="n">
        <v>123.11</v>
      </c>
      <c r="J19" s="559" t="n">
        <v>70</v>
      </c>
      <c r="K19" s="559" t="n">
        <v>78.28</v>
      </c>
      <c r="L19" s="559" t="n"/>
      <c r="M19" s="559" t="n"/>
      <c r="N19" s="559" t="n"/>
      <c r="O19" s="559" t="n"/>
      <c r="P19" s="559" t="n"/>
      <c r="Q19" s="559" t="n"/>
      <c r="R19" s="559" t="n"/>
      <c r="S19" s="559" t="n"/>
    </row>
    <row r="20">
      <c r="B20" s="22" t="inlineStr">
        <is>
          <t>ilaria.ferrara</t>
        </is>
      </c>
      <c r="C20" s="3" t="e">
        <v>#N/A</v>
      </c>
      <c r="D20" s="836" t="e">
        <v>#N/A</v>
      </c>
      <c r="E20" s="5" t="n"/>
      <c r="G20" s="15" t="inlineStr">
        <is>
          <t>cost per month</t>
        </is>
      </c>
      <c r="H20" s="838" t="n">
        <v>3702.86</v>
      </c>
      <c r="I20" s="838" t="n">
        <v>5574.55</v>
      </c>
      <c r="J20" s="838" t="n">
        <v>2579.1</v>
      </c>
      <c r="K20" s="845" t="n">
        <v>3895.11</v>
      </c>
      <c r="L20" s="837" t="n">
        <v>0</v>
      </c>
      <c r="M20" s="837" t="n">
        <v>0</v>
      </c>
      <c r="N20" s="837" t="n">
        <v>0</v>
      </c>
      <c r="O20" s="837" t="n">
        <v>0</v>
      </c>
      <c r="P20" s="837" t="n">
        <v>0</v>
      </c>
      <c r="Q20" s="837" t="n">
        <v>0</v>
      </c>
      <c r="R20" s="837" t="n">
        <v>0</v>
      </c>
      <c r="S20" s="837" t="n">
        <v>0</v>
      </c>
    </row>
    <row r="21">
      <c r="B21" s="22" t="inlineStr">
        <is>
          <t>paolo.greco</t>
        </is>
      </c>
      <c r="C21" s="3" t="n">
        <v>28.25</v>
      </c>
      <c r="D21" s="836" t="n">
        <v>226.01</v>
      </c>
      <c r="E21" s="5" t="n"/>
      <c r="G21" s="6" t="inlineStr">
        <is>
          <t>Buonocore-Tomasina</t>
        </is>
      </c>
      <c r="H21" s="559" t="n"/>
      <c r="I21" s="559" t="n"/>
      <c r="J21" s="559" t="n"/>
      <c r="K21" s="238" t="n"/>
      <c r="L21" s="5" t="n"/>
      <c r="M21" s="5" t="n"/>
      <c r="N21" s="5" t="n"/>
      <c r="O21" s="5" t="n"/>
      <c r="P21" s="5" t="n"/>
      <c r="Q21" s="5" t="n"/>
      <c r="R21" s="5" t="n"/>
      <c r="S21" s="5" t="n"/>
    </row>
    <row r="22">
      <c r="B22" s="22" t="inlineStr">
        <is>
          <t>andrea.conti</t>
        </is>
      </c>
      <c r="C22" s="3" t="n">
        <v>28.25</v>
      </c>
      <c r="D22" s="836" t="n">
        <v>226.01</v>
      </c>
      <c r="E22" s="5" t="n"/>
      <c r="G22" s="15" t="inlineStr">
        <is>
          <t>cost per month</t>
        </is>
      </c>
      <c r="H22" s="837" t="n">
        <v>3748.33</v>
      </c>
      <c r="I22" s="837" t="n">
        <v>1741.97</v>
      </c>
      <c r="J22" s="837" t="n">
        <v>4336.96</v>
      </c>
      <c r="K22" s="844" t="n">
        <v>1115.41</v>
      </c>
      <c r="L22" s="837" t="n">
        <v>1831</v>
      </c>
      <c r="M22" s="837" t="n">
        <v>11060.83</v>
      </c>
      <c r="N22" s="837" t="n">
        <v>76133.22</v>
      </c>
      <c r="O22" s="837" t="n">
        <v>0</v>
      </c>
      <c r="P22" s="837" t="n">
        <v>0</v>
      </c>
      <c r="Q22" s="837" t="n">
        <v>28781</v>
      </c>
      <c r="R22" s="837" t="n">
        <v>31734</v>
      </c>
      <c r="S22" s="837" t="n">
        <v>0</v>
      </c>
    </row>
    <row r="23">
      <c r="B23" s="22" t="inlineStr">
        <is>
          <t>federica.moretti</t>
        </is>
      </c>
      <c r="C23" s="3" t="e">
        <v>#N/A</v>
      </c>
      <c r="D23" s="836" t="e">
        <v>#N/A</v>
      </c>
      <c r="E23" s="5" t="n"/>
      <c r="G23" s="6" t="inlineStr">
        <is>
          <t>laura.moretti</t>
        </is>
      </c>
      <c r="H23" s="6" t="n">
        <v>63.71</v>
      </c>
      <c r="I23" s="6" t="n">
        <v>133.2</v>
      </c>
      <c r="J23" s="6" t="n">
        <v>117.5</v>
      </c>
      <c r="K23" s="6" t="n">
        <v>81.94</v>
      </c>
      <c r="L23" s="6" t="n">
        <v>101.31</v>
      </c>
      <c r="M23" s="6" t="n">
        <v>80.47</v>
      </c>
      <c r="N23" s="6" t="n"/>
      <c r="O23" s="6" t="n">
        <v>118.72</v>
      </c>
      <c r="P23" s="6" t="n">
        <v>57.94</v>
      </c>
      <c r="Q23" s="6" t="n"/>
      <c r="R23" s="6" t="n"/>
      <c r="S23" s="6" t="n"/>
    </row>
    <row r="24">
      <c r="B24" s="22" t="inlineStr">
        <is>
          <t>chiara.longo</t>
        </is>
      </c>
      <c r="C24" s="3" t="e">
        <v>#N/A</v>
      </c>
      <c r="D24" s="836" t="e">
        <v>#N/A</v>
      </c>
      <c r="E24" s="5" t="n"/>
      <c r="G24" s="15" t="inlineStr">
        <is>
          <t>cost per month</t>
        </is>
      </c>
      <c r="H24" s="837" t="n">
        <v>1987.2</v>
      </c>
      <c r="I24" s="837" t="n">
        <v>4154.59</v>
      </c>
      <c r="J24" s="837" t="n">
        <v>3664.77</v>
      </c>
      <c r="K24" s="844" t="n">
        <v>2666.31</v>
      </c>
      <c r="L24" s="837" t="n">
        <v>3296.49</v>
      </c>
      <c r="M24" s="837" t="n">
        <v>2618.65</v>
      </c>
      <c r="N24" s="837" t="n">
        <v>0</v>
      </c>
      <c r="O24" s="837" t="n">
        <v>3863.11</v>
      </c>
      <c r="P24" s="837" t="n">
        <v>1885.22</v>
      </c>
      <c r="Q24" s="837" t="n">
        <v>0</v>
      </c>
      <c r="R24" s="837" t="n">
        <v>0</v>
      </c>
      <c r="S24" s="837" t="n">
        <v>0</v>
      </c>
    </row>
    <row r="25" ht="14.5" customHeight="1" s="564">
      <c r="B25" s="236" t="n"/>
      <c r="C25" s="139" t="n"/>
      <c r="D25" s="579" t="n"/>
      <c r="E25" s="579" t="n"/>
      <c r="G25" s="6" t="inlineStr">
        <is>
          <t>anna.ferrari</t>
        </is>
      </c>
      <c r="H25" s="6" t="n">
        <v>52</v>
      </c>
      <c r="I25" s="6" t="n">
        <v>67.29000000000001</v>
      </c>
      <c r="J25" s="559" t="n">
        <v>61.19</v>
      </c>
      <c r="K25" s="238" t="n"/>
      <c r="L25" s="559" t="n">
        <v>55.09</v>
      </c>
      <c r="M25" s="559" t="n">
        <v>61.19</v>
      </c>
      <c r="N25" s="5" t="n"/>
      <c r="O25" s="559" t="n">
        <v>61.19</v>
      </c>
      <c r="P25" s="559" t="n"/>
      <c r="Q25" s="559" t="n">
        <v>58.1</v>
      </c>
      <c r="R25" s="559" t="n"/>
      <c r="S25" s="559" t="n"/>
    </row>
    <row r="26" ht="14.5" customHeight="1" s="564">
      <c r="B26" s="579" t="n"/>
      <c r="C26" s="579" t="n"/>
      <c r="D26" s="579" t="n"/>
      <c r="E26" s="579" t="n"/>
      <c r="G26" s="15" t="inlineStr">
        <is>
          <t>cost per month</t>
        </is>
      </c>
      <c r="H26" s="837" t="n">
        <v>4206.43</v>
      </c>
      <c r="I26" s="837" t="n">
        <v>5444</v>
      </c>
      <c r="J26" s="837" t="n">
        <v>4950.29</v>
      </c>
      <c r="K26" s="844" t="n">
        <v>0</v>
      </c>
      <c r="L26" s="837" t="n">
        <v>5391.41</v>
      </c>
      <c r="M26" s="837" t="n">
        <v>5988.69</v>
      </c>
      <c r="N26" s="837" t="n">
        <v>0</v>
      </c>
      <c r="O26" s="837" t="n">
        <v>5988.69</v>
      </c>
      <c r="P26" s="837" t="n">
        <v>0</v>
      </c>
      <c r="Q26" s="837" t="n">
        <v>5686.07</v>
      </c>
      <c r="R26" s="837" t="n">
        <v>0</v>
      </c>
      <c r="S26" s="837" t="n">
        <v>0</v>
      </c>
    </row>
    <row r="27" ht="14.5" customHeight="1" s="564">
      <c r="B27" s="579" t="n"/>
      <c r="C27" s="579" t="n"/>
      <c r="D27" s="579" t="n"/>
      <c r="E27" s="579" t="n"/>
      <c r="G27" s="6" t="inlineStr">
        <is>
          <t>ilaria.esposito</t>
        </is>
      </c>
      <c r="H27" s="6" t="n">
        <v>118.72</v>
      </c>
      <c r="I27" s="6" t="n">
        <v>133.28</v>
      </c>
      <c r="J27" s="559" t="n">
        <v>57.94</v>
      </c>
      <c r="K27" s="238" t="n"/>
      <c r="L27" s="6" t="n">
        <v>109.28</v>
      </c>
      <c r="M27" s="6" t="n">
        <v>110.09</v>
      </c>
      <c r="N27" s="6" t="n"/>
      <c r="O27" s="6" t="n">
        <v>115.87</v>
      </c>
      <c r="P27" s="6" t="n">
        <v>115.87</v>
      </c>
      <c r="Q27" s="6" t="n"/>
      <c r="R27" s="6" t="n"/>
      <c r="S27" s="6" t="n"/>
    </row>
    <row r="28" ht="14.5" customHeight="1" s="564">
      <c r="B28" s="579" t="n"/>
      <c r="C28" s="579" t="n"/>
      <c r="D28" s="579" t="n"/>
      <c r="E28" s="579" t="n"/>
      <c r="G28" s="15" t="inlineStr">
        <is>
          <t>cost per month</t>
        </is>
      </c>
      <c r="H28" s="837" t="n">
        <v>4150.41</v>
      </c>
      <c r="I28" s="837" t="n">
        <v>4659.61</v>
      </c>
      <c r="J28" s="837" t="n">
        <v>2025.42</v>
      </c>
      <c r="K28" s="844" t="n">
        <v>0</v>
      </c>
      <c r="L28" s="837" t="n">
        <v>3913.31</v>
      </c>
      <c r="M28" s="837" t="n">
        <v>3942.45</v>
      </c>
      <c r="N28" s="837" t="n">
        <v>0</v>
      </c>
      <c r="O28" s="837" t="n">
        <v>4149.34</v>
      </c>
      <c r="P28" s="837" t="n">
        <v>4149.34</v>
      </c>
      <c r="Q28" s="837" t="n">
        <v>0</v>
      </c>
      <c r="R28" s="837" t="n">
        <v>0</v>
      </c>
      <c r="S28" s="837" t="n">
        <v>0</v>
      </c>
    </row>
    <row r="29">
      <c r="B29" s="579" t="n"/>
      <c r="C29" s="579" t="n"/>
      <c r="D29" s="579" t="n"/>
      <c r="E29" s="579" t="n"/>
      <c r="G29" s="6" t="inlineStr">
        <is>
          <t>roberto.costa</t>
        </is>
      </c>
      <c r="H29" s="6" t="n">
        <v>63.79</v>
      </c>
      <c r="I29" s="6" t="n">
        <v>66.64</v>
      </c>
      <c r="J29" s="559" t="n">
        <v>28.97</v>
      </c>
      <c r="K29" s="238" t="n"/>
      <c r="L29" s="6" t="n">
        <v>47.52</v>
      </c>
      <c r="M29" s="6" t="n">
        <v>57.94</v>
      </c>
      <c r="N29" s="6" t="n"/>
      <c r="O29" s="6" t="n">
        <v>104.23</v>
      </c>
      <c r="P29" s="6" t="n">
        <v>110.01</v>
      </c>
      <c r="Q29" s="6" t="n">
        <v>121</v>
      </c>
      <c r="R29" s="6" t="n"/>
      <c r="S29" s="6" t="n"/>
    </row>
    <row r="30">
      <c r="G30" s="15" t="inlineStr">
        <is>
          <t>cost per month</t>
        </is>
      </c>
      <c r="H30" s="837" t="n">
        <v>2230.24</v>
      </c>
      <c r="I30" s="837" t="n">
        <v>2329.81</v>
      </c>
      <c r="J30" s="837" t="n">
        <v>1012.71</v>
      </c>
      <c r="K30" s="844" t="n">
        <v>0</v>
      </c>
      <c r="L30" s="837" t="n">
        <v>1701.69</v>
      </c>
      <c r="M30" s="837" t="n">
        <v>2074.67</v>
      </c>
      <c r="N30" s="837" t="n">
        <v>0</v>
      </c>
      <c r="O30" s="837" t="n">
        <v>3732.65</v>
      </c>
      <c r="P30" s="837" t="n">
        <v>3939.54</v>
      </c>
      <c r="Q30" s="837" t="n">
        <v>3525.77</v>
      </c>
      <c r="R30" s="837" t="n">
        <v>0</v>
      </c>
      <c r="S30" s="837" t="n">
        <v>0</v>
      </c>
    </row>
    <row r="31">
      <c r="G31" s="6" t="inlineStr">
        <is>
          <t>riccardo.gentile</t>
        </is>
      </c>
      <c r="H31" s="6" t="n">
        <v>68</v>
      </c>
      <c r="I31" s="6" t="n">
        <v>36</v>
      </c>
      <c r="J31" s="6" t="n">
        <v>66.40000000000001</v>
      </c>
      <c r="K31" s="6" t="n"/>
      <c r="L31" s="6" t="n">
        <v>72</v>
      </c>
      <c r="M31" s="6" t="n"/>
      <c r="N31" s="6" t="n"/>
      <c r="O31" s="6" t="n">
        <v>80</v>
      </c>
      <c r="P31" s="6" t="n"/>
      <c r="Q31" s="6" t="n">
        <v>56</v>
      </c>
      <c r="R31" s="6" t="n"/>
      <c r="S31" s="5" t="n"/>
    </row>
    <row r="32">
      <c r="G32" s="15" t="inlineStr">
        <is>
          <t>cost per month</t>
        </is>
      </c>
      <c r="H32" s="837" t="n">
        <v>5622.8</v>
      </c>
      <c r="I32" s="837" t="n">
        <v>2976.77</v>
      </c>
      <c r="J32" s="837" t="n">
        <v>6747.36</v>
      </c>
      <c r="K32" s="844" t="n">
        <v>0</v>
      </c>
      <c r="L32" s="837" t="n">
        <v>5733.85</v>
      </c>
      <c r="M32" s="837" t="n">
        <v>0</v>
      </c>
      <c r="N32" s="837" t="n">
        <v>0</v>
      </c>
      <c r="O32" s="837" t="n">
        <v>6370.95</v>
      </c>
      <c r="P32" s="837" t="n">
        <v>0</v>
      </c>
      <c r="Q32" s="837" t="n">
        <v>4459.66</v>
      </c>
      <c r="R32" s="837" t="n">
        <v>0</v>
      </c>
      <c r="S32" s="837" t="n">
        <v>0</v>
      </c>
    </row>
    <row r="33">
      <c r="G33" s="6" t="inlineStr">
        <is>
          <t>fabio.ferrara</t>
        </is>
      </c>
      <c r="H33" s="6" t="n">
        <v>126.77</v>
      </c>
      <c r="I33" s="6" t="n">
        <v>134.5</v>
      </c>
      <c r="J33" s="6" t="n">
        <v>112.86</v>
      </c>
      <c r="K33" s="6" t="n">
        <v>95.84999999999999</v>
      </c>
      <c r="L33" s="6" t="n">
        <v>109.77</v>
      </c>
      <c r="M33" s="6" t="n">
        <v>111.31</v>
      </c>
      <c r="N33" s="6" t="n"/>
      <c r="O33" s="6" t="n">
        <v>128.32</v>
      </c>
      <c r="P33" s="6" t="n"/>
      <c r="Q33" s="6" t="n">
        <v>98.95</v>
      </c>
      <c r="R33" s="5" t="n"/>
      <c r="S33" s="290" t="n"/>
    </row>
    <row r="34">
      <c r="G34" s="15" t="inlineStr">
        <is>
          <t>cost per month</t>
        </is>
      </c>
      <c r="H34" s="837" t="n">
        <v>3862.82</v>
      </c>
      <c r="I34" s="837" t="n">
        <v>4098.36</v>
      </c>
      <c r="J34" s="837" t="n">
        <v>3438.85</v>
      </c>
      <c r="K34" s="844" t="n">
        <v>3013.65</v>
      </c>
      <c r="L34" s="844" t="n">
        <v>3451.11</v>
      </c>
      <c r="M34" s="844" t="n">
        <v>3499.72</v>
      </c>
      <c r="N34" s="844" t="n">
        <v>0</v>
      </c>
      <c r="O34" s="844" t="n">
        <v>4034.4</v>
      </c>
      <c r="P34" s="844" t="n">
        <v>0</v>
      </c>
      <c r="Q34" s="844" t="n">
        <v>3110.86</v>
      </c>
      <c r="R34" s="844" t="n">
        <v>0</v>
      </c>
      <c r="S34" s="837" t="n">
        <v>0</v>
      </c>
    </row>
    <row r="35" hidden="1" s="564">
      <c r="G35" s="6" t="inlineStr">
        <is>
          <t>ilaria.fontana</t>
        </is>
      </c>
      <c r="H35" s="6" t="n">
        <v>62.25</v>
      </c>
      <c r="I35" s="6" t="n">
        <v>161</v>
      </c>
      <c r="J35" s="559" t="n">
        <v>57.94</v>
      </c>
      <c r="K35" s="238" t="n">
        <v>113</v>
      </c>
      <c r="L35" s="6" t="n">
        <v>104.23</v>
      </c>
      <c r="M35" s="5" t="n"/>
      <c r="N35" s="5" t="n"/>
      <c r="O35" s="5" t="n"/>
      <c r="P35" s="5" t="n"/>
      <c r="Q35" s="5" t="n"/>
      <c r="R35" s="5" t="n"/>
      <c r="S35" s="307" t="n"/>
    </row>
    <row r="36" hidden="1" s="564">
      <c r="G36" s="15" t="inlineStr">
        <is>
          <t>cost per month</t>
        </is>
      </c>
      <c r="H36" s="837" t="n">
        <v>1941.52</v>
      </c>
      <c r="I36" s="837" t="n">
        <v>4086.07</v>
      </c>
      <c r="J36" s="837" t="n">
        <v>1807.01</v>
      </c>
      <c r="K36" s="837" t="n">
        <v>2991.99</v>
      </c>
      <c r="L36" s="837" t="n">
        <v>3391.81</v>
      </c>
      <c r="M36" s="837" t="n">
        <v>0</v>
      </c>
      <c r="N36" s="837" t="n">
        <v>0</v>
      </c>
      <c r="O36" s="837" t="n">
        <v>0</v>
      </c>
      <c r="P36" s="837" t="n">
        <v>0</v>
      </c>
      <c r="Q36" s="837" t="n">
        <v>0</v>
      </c>
      <c r="R36" s="837" t="n">
        <v>0</v>
      </c>
      <c r="S36" s="837" t="n">
        <v>0</v>
      </c>
    </row>
    <row r="37" hidden="1" s="564">
      <c r="G37" s="6" t="inlineStr">
        <is>
          <t>ilaria.ferrara</t>
        </is>
      </c>
      <c r="H37" s="6" t="n">
        <v>54.68</v>
      </c>
      <c r="I37" s="6" t="n">
        <v>72</v>
      </c>
      <c r="J37" s="6" t="n">
        <v>32</v>
      </c>
      <c r="K37" s="301" t="n"/>
      <c r="L37" s="5" t="n"/>
      <c r="M37" s="5" t="n"/>
      <c r="N37" s="5" t="n"/>
      <c r="O37" s="5" t="n"/>
      <c r="P37" s="5" t="n"/>
      <c r="Q37" s="5" t="n"/>
      <c r="R37" s="5" t="n"/>
      <c r="S37" s="5" t="n"/>
    </row>
    <row r="38" hidden="1" s="564">
      <c r="G38" s="15" t="inlineStr">
        <is>
          <t>cost per month</t>
        </is>
      </c>
      <c r="H38" s="837" t="n">
        <v>2401.03</v>
      </c>
      <c r="I38" s="837" t="n">
        <v>2572.53</v>
      </c>
      <c r="J38" s="837" t="n">
        <v>1143.35</v>
      </c>
      <c r="K38" s="844" t="n">
        <v>0</v>
      </c>
      <c r="L38" s="837" t="n">
        <v>0</v>
      </c>
      <c r="M38" s="837" t="n">
        <v>0</v>
      </c>
      <c r="N38" s="837" t="n">
        <v>0</v>
      </c>
      <c r="O38" s="837" t="n">
        <v>0</v>
      </c>
      <c r="P38" s="837" t="n">
        <v>0</v>
      </c>
      <c r="Q38" s="837" t="n">
        <v>0</v>
      </c>
      <c r="R38" s="837" t="n">
        <v>0</v>
      </c>
      <c r="S38" s="837" t="n">
        <v>0</v>
      </c>
    </row>
    <row r="39">
      <c r="G39" s="6" t="inlineStr">
        <is>
          <t>serena.mariani</t>
        </is>
      </c>
      <c r="H39" s="837" t="n"/>
      <c r="I39" s="6" t="n">
        <v>32</v>
      </c>
      <c r="J39" s="6" t="n">
        <v>57.94</v>
      </c>
      <c r="K39" s="844" t="n"/>
      <c r="L39" s="6" t="n">
        <v>43.45</v>
      </c>
      <c r="M39" s="6" t="n">
        <v>57.94</v>
      </c>
      <c r="N39" s="6" t="n"/>
      <c r="O39" s="6" t="n">
        <v>118.72</v>
      </c>
      <c r="P39" s="6" t="n"/>
      <c r="Q39" s="6" t="n">
        <v>110.09</v>
      </c>
      <c r="R39" s="6" t="n"/>
      <c r="S39" s="6" t="n"/>
    </row>
    <row r="40">
      <c r="G40" s="15" t="inlineStr">
        <is>
          <t>cost per month</t>
        </is>
      </c>
      <c r="H40" s="837" t="n">
        <v>0</v>
      </c>
      <c r="I40" s="837" t="n">
        <v>910.3</v>
      </c>
      <c r="J40" s="837" t="n">
        <v>2025.42</v>
      </c>
      <c r="K40" s="844" t="n">
        <v>0</v>
      </c>
      <c r="L40" s="837" t="n">
        <v>1556</v>
      </c>
      <c r="M40" s="837" t="n">
        <v>2074.67</v>
      </c>
      <c r="N40" s="837" t="n">
        <v>0</v>
      </c>
      <c r="O40" s="837" t="n">
        <v>4251.32</v>
      </c>
      <c r="P40" s="837" t="n">
        <v>0</v>
      </c>
      <c r="Q40" s="837" t="n">
        <v>3942.45</v>
      </c>
      <c r="R40" s="837" t="n">
        <v>0</v>
      </c>
      <c r="S40" s="837" t="n">
        <v>0</v>
      </c>
    </row>
    <row r="41">
      <c r="G41" s="6" t="inlineStr">
        <is>
          <t>paolo.greco</t>
        </is>
      </c>
      <c r="H41" s="837" t="n"/>
      <c r="I41" s="6" t="n">
        <v>28.97</v>
      </c>
      <c r="J41" s="6" t="n">
        <v>107.33</v>
      </c>
      <c r="K41" s="844" t="n"/>
      <c r="L41" s="5" t="n"/>
      <c r="M41" s="6" t="n">
        <v>101.31</v>
      </c>
      <c r="N41" s="6" t="n"/>
      <c r="O41" s="6" t="n">
        <v>113.67</v>
      </c>
      <c r="P41" s="6" t="n">
        <v>110.09</v>
      </c>
      <c r="Q41" s="6" t="n">
        <v>57.94</v>
      </c>
      <c r="R41" s="6" t="n"/>
      <c r="S41" s="6" t="n"/>
    </row>
    <row r="42">
      <c r="G42" s="15" t="inlineStr">
        <is>
          <t>cost per month</t>
        </is>
      </c>
      <c r="H42" s="837" t="n">
        <v>0</v>
      </c>
      <c r="I42" s="837" t="n">
        <v>870.1900000000001</v>
      </c>
      <c r="J42" s="837" t="n">
        <v>3224.1</v>
      </c>
      <c r="K42" s="844" t="n">
        <v>0</v>
      </c>
      <c r="L42" s="837" t="n">
        <v>0</v>
      </c>
      <c r="M42" s="837" t="n">
        <v>3042.21</v>
      </c>
      <c r="N42" s="837" t="n">
        <v>0</v>
      </c>
      <c r="O42" s="837" t="n">
        <v>3413.63</v>
      </c>
      <c r="P42" s="837" t="n">
        <v>3306.11</v>
      </c>
      <c r="Q42" s="837" t="n">
        <v>2011.52</v>
      </c>
      <c r="R42" s="837" t="n">
        <v>0</v>
      </c>
      <c r="S42" s="837" t="n">
        <v>0</v>
      </c>
    </row>
    <row r="43">
      <c r="G43" s="6" t="inlineStr">
        <is>
          <t>luca.leone</t>
        </is>
      </c>
      <c r="H43" s="559" t="n">
        <v>9</v>
      </c>
      <c r="I43" s="559" t="n">
        <v>9</v>
      </c>
      <c r="J43" s="559" t="n">
        <v>11.8</v>
      </c>
      <c r="K43" s="559" t="n">
        <v>9</v>
      </c>
      <c r="L43" s="559" t="n">
        <v>9</v>
      </c>
      <c r="M43" s="559" t="n">
        <v>9</v>
      </c>
      <c r="N43" s="559" t="n"/>
      <c r="O43" s="559" t="n">
        <v>9</v>
      </c>
      <c r="P43" s="559" t="n">
        <v>9</v>
      </c>
      <c r="Q43" s="559" t="n">
        <v>9</v>
      </c>
      <c r="R43" s="559" t="n"/>
      <c r="S43" s="559" t="n"/>
    </row>
    <row r="44">
      <c r="G44" s="15" t="inlineStr">
        <is>
          <t>cost per month</t>
        </is>
      </c>
      <c r="H44" s="837" t="n">
        <v>1717.09</v>
      </c>
      <c r="I44" s="837" t="n">
        <v>1717.09</v>
      </c>
      <c r="J44" s="837" t="n">
        <v>2766.43</v>
      </c>
      <c r="K44" s="844" t="n">
        <v>1704.06</v>
      </c>
      <c r="L44" s="837" t="n">
        <v>1704.06</v>
      </c>
      <c r="M44" s="837" t="n">
        <v>1704.06</v>
      </c>
      <c r="N44" s="837" t="n">
        <v>0</v>
      </c>
      <c r="O44" s="837" t="n">
        <v>1704.06</v>
      </c>
      <c r="P44" s="837" t="n">
        <v>1704.06</v>
      </c>
      <c r="Q44" s="837" t="n">
        <v>2051.84</v>
      </c>
      <c r="R44" s="837" t="n">
        <v>0</v>
      </c>
      <c r="S44" s="837" t="n">
        <v>0</v>
      </c>
    </row>
    <row r="45">
      <c r="G45" s="6" t="inlineStr">
        <is>
          <t>andrea.conti</t>
        </is>
      </c>
      <c r="H45" s="837" t="n"/>
      <c r="I45" s="559" t="n">
        <v>57.94</v>
      </c>
      <c r="J45" s="837" t="n"/>
      <c r="K45" s="559" t="n">
        <v>28.97</v>
      </c>
      <c r="L45" s="559" t="n">
        <v>28.32</v>
      </c>
      <c r="M45" s="559" t="n">
        <v>28.97</v>
      </c>
      <c r="N45" s="559" t="n"/>
      <c r="O45" s="559" t="n">
        <v>30.43</v>
      </c>
      <c r="P45" s="559" t="n">
        <v>28.97</v>
      </c>
      <c r="Q45" s="559" t="n">
        <v>28.97</v>
      </c>
      <c r="R45" s="559" t="n"/>
      <c r="S45" s="559" t="n"/>
    </row>
    <row r="46">
      <c r="G46" s="15" t="inlineStr">
        <is>
          <t>cost per month</t>
        </is>
      </c>
      <c r="H46" s="837" t="n">
        <v>0</v>
      </c>
      <c r="I46" s="837" t="n">
        <v>1740.38</v>
      </c>
      <c r="J46" s="837" t="n">
        <v>0</v>
      </c>
      <c r="K46" s="844" t="n">
        <v>939.13</v>
      </c>
      <c r="L46" s="837" t="n">
        <v>918.03</v>
      </c>
      <c r="M46" s="837" t="n">
        <v>939.13</v>
      </c>
      <c r="N46" s="837" t="n">
        <v>0</v>
      </c>
      <c r="O46" s="837" t="n">
        <v>986.62</v>
      </c>
      <c r="P46" s="837" t="n">
        <v>939.13</v>
      </c>
      <c r="Q46" s="837" t="n">
        <v>1005.76</v>
      </c>
      <c r="R46" s="837" t="n">
        <v>0</v>
      </c>
      <c r="S46" s="837" t="n">
        <v>0</v>
      </c>
    </row>
    <row r="47" hidden="1" s="564">
      <c r="G47" s="6" t="inlineStr">
        <is>
          <t>federica.moretti</t>
        </is>
      </c>
      <c r="H47" s="837" t="n"/>
      <c r="I47" s="559" t="n"/>
      <c r="J47" s="837" t="n"/>
      <c r="K47" s="559" t="n"/>
      <c r="L47" s="559" t="n"/>
      <c r="M47" s="559" t="n"/>
      <c r="N47" s="5" t="n"/>
      <c r="O47" s="559" t="n">
        <v>25.63</v>
      </c>
      <c r="P47" s="559" t="n"/>
      <c r="Q47" s="559" t="n"/>
      <c r="R47" s="559" t="n"/>
      <c r="S47" s="559" t="n"/>
    </row>
    <row r="48" hidden="1" s="564">
      <c r="G48" s="15" t="inlineStr">
        <is>
          <t>cost per month</t>
        </is>
      </c>
      <c r="H48" s="837" t="n">
        <v>0</v>
      </c>
      <c r="I48" s="837" t="n">
        <v>1740.38</v>
      </c>
      <c r="J48" s="837" t="n">
        <v>0</v>
      </c>
      <c r="K48" s="844" t="n">
        <v>0</v>
      </c>
      <c r="L48" s="837" t="n">
        <v>0</v>
      </c>
      <c r="M48" s="837" t="n">
        <v>0</v>
      </c>
      <c r="N48" s="837" t="n">
        <v>0</v>
      </c>
      <c r="O48" s="837" t="n">
        <v>1255.69</v>
      </c>
      <c r="P48" s="837" t="n">
        <v>0</v>
      </c>
      <c r="Q48" s="837" t="n">
        <v>0</v>
      </c>
      <c r="R48" s="837" t="n">
        <v>0</v>
      </c>
      <c r="S48" s="837" t="n">
        <v>0</v>
      </c>
    </row>
    <row r="49" hidden="1" s="564">
      <c r="G49" s="6" t="inlineStr">
        <is>
          <t>chiara.longo</t>
        </is>
      </c>
      <c r="H49" s="837" t="n"/>
      <c r="I49" s="837" t="n"/>
      <c r="J49" s="837" t="n"/>
      <c r="K49" s="837" t="n"/>
      <c r="L49" s="837" t="n"/>
      <c r="M49" s="837" t="n"/>
      <c r="N49" s="559" t="n"/>
      <c r="O49" s="559" t="n">
        <v>28.97</v>
      </c>
      <c r="P49" s="559" t="n">
        <v>55.41</v>
      </c>
      <c r="Q49" s="559" t="n">
        <v>40.52</v>
      </c>
      <c r="R49" s="559" t="n"/>
      <c r="S49" s="559" t="n"/>
    </row>
    <row r="50" hidden="1" ht="11" customHeight="1" s="564">
      <c r="G50" s="15" t="inlineStr">
        <is>
          <t>cost per month</t>
        </is>
      </c>
      <c r="H50" s="837" t="n">
        <v>0</v>
      </c>
      <c r="I50" s="837" t="n">
        <v>0</v>
      </c>
      <c r="J50" s="837" t="n">
        <v>0</v>
      </c>
      <c r="K50" s="837" t="n">
        <v>0</v>
      </c>
      <c r="L50" s="837" t="n">
        <v>0</v>
      </c>
      <c r="M50" s="837" t="n">
        <v>0</v>
      </c>
      <c r="N50" s="837" t="n">
        <v>0</v>
      </c>
      <c r="O50" s="837" t="n">
        <v>893.0700000000001</v>
      </c>
      <c r="P50" s="837" t="n">
        <v>1708.38</v>
      </c>
      <c r="Q50" s="837" t="n">
        <v>1249.3</v>
      </c>
      <c r="R50" s="837" t="n">
        <v>0</v>
      </c>
      <c r="S50" s="837" t="n">
        <v>0</v>
      </c>
    </row>
    <row r="51">
      <c r="G51" s="27" t="inlineStr">
        <is>
          <t>Costs</t>
        </is>
      </c>
      <c r="H51" s="841" t="n">
        <v>58648.25</v>
      </c>
      <c r="I51" s="841" t="n">
        <v>61691.76</v>
      </c>
      <c r="J51" s="841" t="n">
        <v>52279.54</v>
      </c>
      <c r="K51" s="841" t="n">
        <v>28285.21</v>
      </c>
      <c r="L51" s="847" t="n">
        <v>52996.92</v>
      </c>
      <c r="M51" s="847" t="n">
        <v>56052.94</v>
      </c>
      <c r="N51" s="847" t="n">
        <v>76133.22</v>
      </c>
      <c r="O51" s="847" t="n">
        <v>49715.31</v>
      </c>
      <c r="P51" s="847" t="n">
        <v>32222.43</v>
      </c>
      <c r="Q51" s="847" t="n">
        <v>68722.47</v>
      </c>
      <c r="R51" s="847" t="n">
        <v>31734</v>
      </c>
      <c r="S51" s="847" t="n">
        <v>1420.52</v>
      </c>
    </row>
    <row r="52">
      <c r="G52" s="27" t="inlineStr">
        <is>
          <t>Spese &amp; Costi on Top</t>
        </is>
      </c>
      <c r="H52" s="841" t="n">
        <v>0</v>
      </c>
      <c r="I52" s="841" t="n">
        <v>0</v>
      </c>
      <c r="J52" s="841" t="n">
        <v>0</v>
      </c>
      <c r="K52" s="841" t="n">
        <v>0</v>
      </c>
      <c r="L52" s="842" t="n">
        <v>0</v>
      </c>
      <c r="M52" s="842" t="n">
        <v>0</v>
      </c>
      <c r="N52" s="842" t="n">
        <v>0</v>
      </c>
      <c r="O52" s="842" t="n">
        <v>0</v>
      </c>
      <c r="P52" s="842" t="n">
        <v>0</v>
      </c>
      <c r="Q52" s="842" t="n">
        <v>0</v>
      </c>
      <c r="R52" s="842" t="n">
        <v>0</v>
      </c>
      <c r="S52" s="842" t="n">
        <v>0</v>
      </c>
    </row>
    <row r="53"/>
    <row r="54">
      <c r="G54" s="27" t="inlineStr">
        <is>
          <t>Giulia Mariani</t>
        </is>
      </c>
      <c r="H54" s="841" t="n">
        <v>58648.25</v>
      </c>
      <c r="I54" s="841" t="n">
        <v>61691.76</v>
      </c>
      <c r="J54" s="841" t="n">
        <v>52279.54</v>
      </c>
      <c r="K54" s="841" t="n">
        <v>28285.21</v>
      </c>
      <c r="L54" s="842" t="n">
        <v>52996.92</v>
      </c>
      <c r="M54" s="842" t="n">
        <v>56052.94</v>
      </c>
      <c r="N54" s="842" t="n">
        <v>76133.22</v>
      </c>
      <c r="O54" s="842" t="n">
        <v>49715.31</v>
      </c>
      <c r="P54" s="842" t="n">
        <v>32222.43</v>
      </c>
      <c r="Q54" s="842" t="n">
        <v>68722.47</v>
      </c>
      <c r="R54" s="842" t="n">
        <v>31734</v>
      </c>
      <c r="S54" s="842" t="n">
        <v>1420.52</v>
      </c>
    </row>
    <row r="55"/>
    <row r="56"/>
    <row r="57"/>
    <row r="58">
      <c r="G58" s="843" t="n"/>
      <c r="P58" s="614" t="n"/>
    </row>
    <row r="59">
      <c r="G59" s="843" t="n"/>
    </row>
    <row r="60">
      <c r="J60" s="848" t="n"/>
    </row>
    <row r="61">
      <c r="G61" s="614" t="n"/>
      <c r="J61" s="848" t="n"/>
    </row>
    <row r="62">
      <c r="G62" s="596" t="n"/>
    </row>
    <row r="63">
      <c r="J63" s="601" t="n"/>
    </row>
    <row r="64">
      <c r="G64" s="614" t="n"/>
    </row>
    <row r="65" hidden="1" s="564"/>
    <row r="66" hidden="1" s="564"/>
    <row r="67" hidden="1" s="564"/>
    <row r="68" hidden="1" s="564">
      <c r="G68" s="614" t="n"/>
    </row>
  </sheetData>
  <conditionalFormatting sqref="B2">
    <cfRule type="duplicateValues" priority="6" dxfId="1"/>
  </conditionalFormatting>
  <conditionalFormatting sqref="B3:B7">
    <cfRule type="duplicateValues" priority="9" dxfId="1"/>
  </conditionalFormatting>
  <conditionalFormatting sqref="B8">
    <cfRule type="duplicateValues" priority="5" dxfId="1"/>
  </conditionalFormatting>
  <conditionalFormatting sqref="B9:B10">
    <cfRule type="duplicateValues" priority="10" dxfId="1"/>
  </conditionalFormatting>
  <conditionalFormatting sqref="B11">
    <cfRule type="duplicateValues" priority="4" dxfId="1"/>
  </conditionalFormatting>
  <conditionalFormatting sqref="B12:B13">
    <cfRule type="duplicateValues" priority="8" dxfId="1"/>
  </conditionalFormatting>
  <conditionalFormatting sqref="B14:B15">
    <cfRule type="duplicateValues" priority="7" dxfId="1"/>
  </conditionalFormatting>
  <conditionalFormatting sqref="B16">
    <cfRule type="duplicateValues" priority="3" dxfId="1"/>
  </conditionalFormatting>
  <conditionalFormatting sqref="B17">
    <cfRule type="duplicateValues" priority="2" dxfId="1"/>
  </conditionalFormatting>
  <conditionalFormatting sqref="B18:B19">
    <cfRule type="duplicateValues" priority="11" dxfId="1"/>
  </conditionalFormatting>
  <conditionalFormatting sqref="B20:B24">
    <cfRule type="duplicateValues" priority="1" dxfId="1"/>
  </conditionalFormatting>
  <conditionalFormatting sqref="B25">
    <cfRule type="duplicateValues" priority="12" dxfId="1"/>
  </conditionalFormatting>
  <pageMargins left="0.7" right="0.7" top="0.75" bottom="0.75" header="0.3" footer="0.3"/>
  <pageSetup orientation="portrait"/>
  <legacyDrawing xmlns:r="http://schemas.openxmlformats.org/officeDocument/2006/relationships" r:id="anysvml"/>
</worksheet>
</file>

<file path=xl/worksheets/sheet13.xml><?xml version="1.0" encoding="utf-8"?>
<worksheet xmlns="http://schemas.openxmlformats.org/spreadsheetml/2006/main">
  <sheetPr codeName="Sheet6">
    <tabColor theme="9"/>
    <outlinePr summaryBelow="1" summaryRight="1"/>
    <pageSetUpPr/>
  </sheetPr>
  <dimension ref="A1:S60"/>
  <sheetViews>
    <sheetView showGridLines="0" zoomScale="59" zoomScaleNormal="59" workbookViewId="0">
      <pane ySplit="2" topLeftCell="A3" activePane="bottomLeft" state="frozen"/>
      <selection activeCell="C1" sqref="C1"/>
      <selection pane="bottomLeft" activeCell="D50" sqref="D50"/>
    </sheetView>
  </sheetViews>
  <sheetFormatPr baseColWidth="8" defaultColWidth="12.54296875" defaultRowHeight="14.5"/>
  <cols>
    <col width="12.81640625" customWidth="1" style="579" min="1" max="1"/>
    <col width="19.81640625" bestFit="1" customWidth="1" style="579" min="2" max="2"/>
    <col width="9.1796875" customWidth="1" style="579" min="3" max="3"/>
    <col width="14.54296875" customWidth="1" style="579" min="4" max="4"/>
    <col width="12.1796875" customWidth="1" style="579" min="5" max="5"/>
    <col width="3.453125" customWidth="1" style="579" min="6" max="6"/>
    <col width="29.54296875" customWidth="1" style="579" min="7" max="7"/>
    <col width="11.453125" customWidth="1" style="579" min="8" max="12"/>
    <col width="12.54296875" customWidth="1" style="579" min="13" max="16384"/>
  </cols>
  <sheetData>
    <row r="1" ht="15" customHeight="1" s="564" thickBot="1">
      <c r="A1" s="533" t="inlineStr">
        <is>
          <t>BYSOX001</t>
        </is>
      </c>
      <c r="B1" s="24" t="inlineStr">
        <is>
          <t>Resource</t>
        </is>
      </c>
      <c r="C1" s="25" t="inlineStr">
        <is>
          <t>LC</t>
        </is>
      </c>
      <c r="D1" s="25" t="inlineStr">
        <is>
          <t>LP</t>
        </is>
      </c>
      <c r="E1" s="31" t="inlineStr">
        <is>
          <t>UC</t>
        </is>
      </c>
    </row>
    <row r="2" ht="15" customHeight="1" s="564">
      <c r="B2" s="22" t="inlineStr">
        <is>
          <t>martina.costa</t>
        </is>
      </c>
      <c r="C2" s="3" t="n">
        <v>88.64</v>
      </c>
      <c r="D2" s="836" t="n">
        <v>594.46</v>
      </c>
      <c r="E2" s="836" t="n">
        <v>49.87</v>
      </c>
      <c r="H2" s="26" t="n">
        <v>45901</v>
      </c>
      <c r="I2" s="26" t="n">
        <v>45931</v>
      </c>
      <c r="J2" s="26" t="n">
        <v>45962</v>
      </c>
      <c r="K2" s="26" t="n">
        <v>45992</v>
      </c>
      <c r="L2" s="26" t="n">
        <v>46023</v>
      </c>
      <c r="M2" s="26" t="n">
        <v>46054</v>
      </c>
      <c r="N2" s="26" t="n">
        <v>46082</v>
      </c>
      <c r="O2" s="26" t="n">
        <v>46113</v>
      </c>
      <c r="P2" s="26" t="n">
        <v>46143</v>
      </c>
      <c r="Q2" s="26" t="n">
        <v>46174</v>
      </c>
      <c r="R2" s="26" t="n">
        <v>46204</v>
      </c>
      <c r="S2" s="26" t="n">
        <v>46235</v>
      </c>
    </row>
    <row r="3" ht="15" customHeight="1" s="564">
      <c r="B3" s="22" t="inlineStr">
        <is>
          <t>matteo.costa</t>
        </is>
      </c>
      <c r="C3" s="3" t="n">
        <v>34.61</v>
      </c>
      <c r="D3" s="836" t="n">
        <v>294.69</v>
      </c>
      <c r="E3" s="836" t="n"/>
      <c r="G3" s="6" t="inlineStr">
        <is>
          <t>martina.costa</t>
        </is>
      </c>
      <c r="H3" s="559" t="n"/>
      <c r="I3" s="559" t="n"/>
      <c r="J3" s="559" t="n"/>
      <c r="K3" s="559" t="n"/>
      <c r="L3" s="238" t="n"/>
      <c r="M3" s="5" t="n"/>
      <c r="N3" s="5" t="n"/>
      <c r="O3" s="5" t="n"/>
      <c r="P3" s="5" t="n"/>
      <c r="Q3" s="5" t="n"/>
      <c r="R3" s="5" t="n"/>
      <c r="S3" s="5" t="n"/>
    </row>
    <row r="4" ht="15" customHeight="1" s="564">
      <c r="B4" s="22" t="inlineStr">
        <is>
          <t>nicola.fontana</t>
        </is>
      </c>
      <c r="C4" s="3" t="n">
        <v>29.14</v>
      </c>
      <c r="D4" s="836" t="n">
        <v>203.03</v>
      </c>
      <c r="E4" s="836" t="n"/>
      <c r="G4" s="15" t="inlineStr">
        <is>
          <t>cost per month</t>
        </is>
      </c>
      <c r="H4" s="837" t="n">
        <v>0</v>
      </c>
      <c r="I4" s="837" t="n">
        <v>0</v>
      </c>
      <c r="J4" s="837" t="n">
        <v>0</v>
      </c>
      <c r="K4" s="837" t="n">
        <v>0</v>
      </c>
      <c r="L4" s="844" t="n">
        <v>0</v>
      </c>
      <c r="M4" s="837" t="n">
        <v>0</v>
      </c>
      <c r="N4" s="837" t="n">
        <v>0</v>
      </c>
      <c r="O4" s="837" t="n">
        <v>0</v>
      </c>
      <c r="P4" s="837" t="n">
        <v>0</v>
      </c>
      <c r="Q4" s="837" t="n">
        <v>0</v>
      </c>
      <c r="R4" s="837" t="n">
        <v>0</v>
      </c>
      <c r="S4" s="837" t="n">
        <v>0</v>
      </c>
    </row>
    <row r="5">
      <c r="B5" s="22" t="inlineStr">
        <is>
          <t>luca.leone</t>
        </is>
      </c>
      <c r="C5" s="3" t="n">
        <v>227.98</v>
      </c>
      <c r="D5" s="836" t="n">
        <v>1512.05</v>
      </c>
      <c r="E5" s="836" t="n">
        <v>126.85</v>
      </c>
      <c r="G5" s="6" t="inlineStr">
        <is>
          <t>matteo.costa</t>
        </is>
      </c>
      <c r="H5" s="559" t="n"/>
      <c r="I5" s="559" t="n"/>
      <c r="J5" s="559" t="n"/>
      <c r="K5" s="559" t="n"/>
      <c r="L5" s="238" t="n"/>
      <c r="M5" s="5" t="n"/>
      <c r="N5" s="5" t="n"/>
      <c r="O5" s="5" t="n"/>
      <c r="P5" s="5" t="n"/>
      <c r="Q5" s="5" t="n"/>
      <c r="R5" s="5" t="n"/>
      <c r="S5" s="5" t="n"/>
    </row>
    <row r="6" ht="15" customHeight="1" s="564">
      <c r="B6" s="22" t="inlineStr">
        <is>
          <t>alberto lotito</t>
        </is>
      </c>
      <c r="C6" s="3" t="n">
        <v>91.34999999999999</v>
      </c>
      <c r="D6" s="836" t="n">
        <v>736</v>
      </c>
      <c r="E6" s="836" t="n">
        <v>61.71</v>
      </c>
      <c r="G6" s="15" t="inlineStr">
        <is>
          <t>cost per month</t>
        </is>
      </c>
      <c r="H6" s="837" t="n">
        <v>0</v>
      </c>
      <c r="I6" s="837" t="n">
        <v>0</v>
      </c>
      <c r="J6" s="837" t="n">
        <v>0</v>
      </c>
      <c r="K6" s="837" t="n">
        <v>0</v>
      </c>
      <c r="L6" s="844" t="n">
        <v>0</v>
      </c>
      <c r="M6" s="837" t="n">
        <v>0</v>
      </c>
      <c r="N6" s="837" t="n">
        <v>0</v>
      </c>
      <c r="O6" s="837" t="n">
        <v>0</v>
      </c>
      <c r="P6" s="837" t="n">
        <v>0</v>
      </c>
      <c r="Q6" s="837" t="n">
        <v>0</v>
      </c>
      <c r="R6" s="837" t="n">
        <v>0</v>
      </c>
      <c r="S6" s="837" t="n">
        <v>0</v>
      </c>
    </row>
    <row r="7">
      <c r="B7" s="22" t="inlineStr">
        <is>
          <t>sara.rinaldi</t>
        </is>
      </c>
      <c r="C7" s="3" t="n">
        <v>40.49</v>
      </c>
      <c r="D7" s="836" t="n">
        <v>0</v>
      </c>
      <c r="E7" s="836" t="n"/>
      <c r="G7" s="6" t="inlineStr">
        <is>
          <t>nicola.fontana</t>
        </is>
      </c>
      <c r="H7" s="559" t="n"/>
      <c r="I7" s="559" t="n"/>
      <c r="J7" s="559" t="n"/>
      <c r="K7" s="559" t="n"/>
      <c r="L7" s="238" t="n"/>
      <c r="M7" s="5" t="n"/>
      <c r="N7" s="5" t="n"/>
      <c r="O7" s="5" t="n"/>
      <c r="P7" s="5" t="n"/>
      <c r="Q7" s="5" t="n"/>
      <c r="R7" s="5" t="n"/>
      <c r="S7" s="5" t="n"/>
    </row>
    <row r="8">
      <c r="B8" s="22" t="inlineStr">
        <is>
          <t>serena.rossi</t>
        </is>
      </c>
      <c r="C8" s="3" t="n">
        <v>43.5</v>
      </c>
      <c r="D8" s="836" t="n">
        <v>300.42</v>
      </c>
      <c r="E8" s="836" t="n"/>
      <c r="G8" s="15" t="inlineStr">
        <is>
          <t>cost per month</t>
        </is>
      </c>
      <c r="H8" s="837" t="n">
        <v>0</v>
      </c>
      <c r="I8" s="837" t="n">
        <v>0</v>
      </c>
      <c r="J8" s="837" t="n">
        <v>0</v>
      </c>
      <c r="K8" s="837" t="n">
        <v>0</v>
      </c>
      <c r="L8" s="844" t="n">
        <v>0</v>
      </c>
      <c r="M8" s="837" t="n">
        <v>0</v>
      </c>
      <c r="N8" s="837" t="n">
        <v>0</v>
      </c>
      <c r="O8" s="837" t="n">
        <v>0</v>
      </c>
      <c r="P8" s="837" t="n">
        <v>0</v>
      </c>
      <c r="Q8" s="837" t="n">
        <v>0</v>
      </c>
      <c r="R8" s="837" t="n">
        <v>0</v>
      </c>
      <c r="S8" s="837" t="n">
        <v>0</v>
      </c>
    </row>
    <row r="9">
      <c r="B9" s="22" t="inlineStr">
        <is>
          <t>matteo.romano</t>
        </is>
      </c>
      <c r="C9" s="3" t="n">
        <v>33.35</v>
      </c>
      <c r="D9" s="836" t="n">
        <v>202.12</v>
      </c>
      <c r="E9" s="836" t="n">
        <v>16.96</v>
      </c>
      <c r="G9" s="6" t="inlineStr">
        <is>
          <t>serena.rossi</t>
        </is>
      </c>
      <c r="H9" s="559" t="n"/>
      <c r="I9" s="559" t="n"/>
      <c r="J9" s="559" t="n"/>
      <c r="K9" s="559" t="n"/>
      <c r="L9" s="238" t="n"/>
      <c r="M9" s="5" t="n"/>
      <c r="N9" s="5" t="n"/>
      <c r="O9" s="5" t="n"/>
      <c r="P9" s="5" t="n"/>
      <c r="Q9" s="5" t="n"/>
      <c r="R9" s="5" t="n"/>
      <c r="S9" s="5" t="n"/>
    </row>
    <row r="10">
      <c r="B10" s="22" t="inlineStr">
        <is>
          <t>sara.colombo</t>
        </is>
      </c>
      <c r="C10" s="3" t="n">
        <v>33.35</v>
      </c>
      <c r="D10" s="836" t="n">
        <v>202.12</v>
      </c>
      <c r="E10" s="836" t="n">
        <v>16.96</v>
      </c>
      <c r="G10" s="15" t="inlineStr">
        <is>
          <t>cost per month</t>
        </is>
      </c>
      <c r="H10" s="837" t="n">
        <v>0</v>
      </c>
      <c r="I10" s="837" t="n">
        <v>0</v>
      </c>
      <c r="J10" s="837" t="n">
        <v>0</v>
      </c>
      <c r="K10" s="837" t="n">
        <v>0</v>
      </c>
      <c r="L10" s="844" t="n">
        <v>0</v>
      </c>
      <c r="M10" s="837" t="n">
        <v>0</v>
      </c>
      <c r="N10" s="837" t="n">
        <v>0</v>
      </c>
      <c r="O10" s="837" t="n">
        <v>0</v>
      </c>
      <c r="P10" s="837" t="n">
        <v>0</v>
      </c>
      <c r="Q10" s="837" t="n">
        <v>0</v>
      </c>
      <c r="R10" s="837" t="n">
        <v>0</v>
      </c>
      <c r="S10" s="837" t="n">
        <v>0</v>
      </c>
    </row>
    <row r="11">
      <c r="B11" s="22" t="inlineStr">
        <is>
          <t>stefano.greco</t>
        </is>
      </c>
      <c r="C11" s="3" t="n">
        <v>33.35</v>
      </c>
      <c r="D11" s="836" t="n">
        <v>263.44</v>
      </c>
      <c r="E11" s="836" t="n">
        <v>22.1</v>
      </c>
      <c r="G11" s="6" t="inlineStr">
        <is>
          <t>matteo.ferrari</t>
        </is>
      </c>
      <c r="H11" s="559" t="n"/>
      <c r="I11" s="559" t="n">
        <v>13.59</v>
      </c>
      <c r="J11" s="559" t="n">
        <v>13.59</v>
      </c>
      <c r="K11" s="559" t="n">
        <v>17</v>
      </c>
      <c r="L11" s="559" t="n">
        <v>17</v>
      </c>
      <c r="M11" s="559" t="n">
        <v>17</v>
      </c>
      <c r="N11" s="559" t="n">
        <v>17</v>
      </c>
      <c r="O11" s="559" t="n">
        <v>17</v>
      </c>
      <c r="P11" s="559" t="n">
        <v>17</v>
      </c>
      <c r="Q11" s="559" t="n">
        <v>17</v>
      </c>
      <c r="R11" s="559" t="n">
        <v>17</v>
      </c>
      <c r="S11" s="559" t="n">
        <v>3.66</v>
      </c>
    </row>
    <row r="12">
      <c r="B12" s="22" t="inlineStr">
        <is>
          <t>laura.moretti</t>
        </is>
      </c>
      <c r="C12" s="3" t="n">
        <v>26.48</v>
      </c>
      <c r="D12" s="836" t="n"/>
      <c r="E12" s="836" t="n"/>
      <c r="G12" s="15" t="inlineStr">
        <is>
          <t>cost per month</t>
        </is>
      </c>
      <c r="H12" s="837" t="n">
        <v>0</v>
      </c>
      <c r="I12" s="837" t="n">
        <v>1550.21</v>
      </c>
      <c r="J12" s="837" t="n">
        <v>1550.21</v>
      </c>
      <c r="K12" s="837" t="n">
        <v>1552.88</v>
      </c>
      <c r="L12" s="844" t="n">
        <v>1552.88</v>
      </c>
      <c r="M12" s="837" t="n">
        <v>1552.88</v>
      </c>
      <c r="N12" s="837" t="n">
        <v>1552.88</v>
      </c>
      <c r="O12" s="837" t="n">
        <v>1552.88</v>
      </c>
      <c r="P12" s="837" t="n">
        <v>1552.88</v>
      </c>
      <c r="Q12" s="837" t="n">
        <v>1552.88</v>
      </c>
      <c r="R12" s="837" t="n">
        <v>1552.88</v>
      </c>
      <c r="S12" s="837" t="n">
        <v>411.06</v>
      </c>
    </row>
    <row r="13">
      <c r="B13" s="22" t="inlineStr">
        <is>
          <t>anna.ferrari</t>
        </is>
      </c>
      <c r="C13" s="3" t="n">
        <v>79.64</v>
      </c>
      <c r="D13" s="836" t="n"/>
      <c r="E13" s="836" t="n"/>
      <c r="G13" s="6" t="inlineStr">
        <is>
          <t>matteo.romano</t>
        </is>
      </c>
      <c r="H13" s="559" t="n"/>
      <c r="I13" s="559" t="n"/>
      <c r="J13" s="559" t="n"/>
      <c r="K13" s="559" t="n"/>
      <c r="L13" s="238" t="n"/>
      <c r="M13" s="5" t="n"/>
      <c r="N13" s="5" t="n"/>
      <c r="O13" s="5" t="n"/>
      <c r="P13" s="5" t="n"/>
      <c r="Q13" s="5" t="n"/>
      <c r="R13" s="5" t="n"/>
      <c r="S13" s="5" t="n"/>
    </row>
    <row r="14">
      <c r="B14" s="22" t="inlineStr">
        <is>
          <t>ilaria.esposito</t>
        </is>
      </c>
      <c r="C14" s="3" t="n">
        <v>29.14</v>
      </c>
      <c r="D14" s="836" t="n"/>
      <c r="E14" s="836" t="n"/>
      <c r="G14" s="15" t="inlineStr">
        <is>
          <t>cost per month</t>
        </is>
      </c>
      <c r="H14" s="837" t="n">
        <v>0</v>
      </c>
      <c r="I14" s="837" t="n">
        <v>0</v>
      </c>
      <c r="J14" s="837" t="n">
        <v>0</v>
      </c>
      <c r="K14" s="837" t="n">
        <v>0</v>
      </c>
      <c r="L14" s="844" t="n">
        <v>0</v>
      </c>
      <c r="M14" s="837" t="n">
        <v>0</v>
      </c>
      <c r="N14" s="837" t="n">
        <v>0</v>
      </c>
      <c r="O14" s="837" t="n">
        <v>0</v>
      </c>
      <c r="P14" s="837" t="n">
        <v>0</v>
      </c>
      <c r="Q14" s="837" t="n">
        <v>0</v>
      </c>
      <c r="R14" s="837" t="n">
        <v>0</v>
      </c>
      <c r="S14" s="837" t="n">
        <v>0</v>
      </c>
    </row>
    <row r="15">
      <c r="B15" s="22" t="inlineStr">
        <is>
          <t>roberto.costa</t>
        </is>
      </c>
      <c r="C15" s="3" t="n">
        <v>29.14</v>
      </c>
      <c r="D15" s="836" t="n"/>
      <c r="E15" s="836" t="n"/>
      <c r="G15" s="6" t="inlineStr">
        <is>
          <t>sara.colombo</t>
        </is>
      </c>
      <c r="H15" s="559" t="n"/>
      <c r="I15" s="559" t="n"/>
      <c r="J15" s="559" t="n"/>
      <c r="K15" s="559" t="n"/>
      <c r="L15" s="238" t="n"/>
      <c r="M15" s="5" t="n"/>
      <c r="N15" s="5" t="n"/>
      <c r="O15" s="5" t="n"/>
      <c r="P15" s="5" t="n"/>
      <c r="Q15" s="5" t="n"/>
      <c r="R15" s="5" t="n"/>
      <c r="S15" s="559" t="n"/>
    </row>
    <row r="16">
      <c r="B16" s="22" t="inlineStr">
        <is>
          <t>ilaria.fontana</t>
        </is>
      </c>
      <c r="C16" s="3" t="e">
        <v>#N/A</v>
      </c>
      <c r="D16" s="5" t="n"/>
      <c r="E16" s="5" t="n"/>
      <c r="G16" s="15" t="inlineStr">
        <is>
          <t>cost per month</t>
        </is>
      </c>
      <c r="H16" s="837" t="n">
        <v>0</v>
      </c>
      <c r="I16" s="837" t="n">
        <v>0</v>
      </c>
      <c r="J16" s="837" t="n">
        <v>0</v>
      </c>
      <c r="K16" s="837" t="n">
        <v>0</v>
      </c>
      <c r="L16" s="844" t="n">
        <v>0</v>
      </c>
      <c r="M16" s="837" t="n">
        <v>0</v>
      </c>
      <c r="N16" s="837" t="n">
        <v>0</v>
      </c>
      <c r="O16" s="837" t="n">
        <v>0</v>
      </c>
      <c r="P16" s="837" t="n">
        <v>0</v>
      </c>
      <c r="Q16" s="837" t="n">
        <v>0</v>
      </c>
      <c r="R16" s="837" t="n">
        <v>0</v>
      </c>
      <c r="S16" s="837" t="n">
        <v>0</v>
      </c>
    </row>
    <row r="17">
      <c r="B17" s="22" t="inlineStr">
        <is>
          <t>serena.mariani</t>
        </is>
      </c>
      <c r="C17" s="3" t="n">
        <v>29.14</v>
      </c>
      <c r="D17" s="5" t="n"/>
      <c r="E17" s="5" t="n"/>
      <c r="G17" s="6" t="inlineStr">
        <is>
          <t>stefano.greco</t>
        </is>
      </c>
      <c r="H17" s="559" t="n"/>
      <c r="I17" s="559" t="n"/>
      <c r="J17" s="559" t="n"/>
      <c r="K17" s="559" t="n"/>
      <c r="L17" s="238" t="n"/>
      <c r="M17" s="5" t="n"/>
      <c r="N17" s="5" t="n"/>
      <c r="O17" s="5" t="n"/>
      <c r="P17" s="5" t="n"/>
      <c r="Q17" s="5" t="n"/>
      <c r="R17" s="5" t="n"/>
      <c r="S17" s="5" t="n"/>
    </row>
    <row r="18">
      <c r="B18" s="22" t="inlineStr">
        <is>
          <t>riccardo.gentile</t>
        </is>
      </c>
      <c r="C18" s="3" t="n">
        <v>79.64</v>
      </c>
      <c r="D18" s="5" t="n"/>
      <c r="E18" s="5" t="n"/>
      <c r="G18" s="15" t="inlineStr">
        <is>
          <t>cost per month</t>
        </is>
      </c>
      <c r="H18" s="837" t="n">
        <v>0</v>
      </c>
      <c r="I18" s="837" t="n">
        <v>0</v>
      </c>
      <c r="J18" s="837" t="n">
        <v>0</v>
      </c>
      <c r="K18" s="837" t="n">
        <v>0</v>
      </c>
      <c r="L18" s="844" t="n">
        <v>0</v>
      </c>
      <c r="M18" s="837" t="n">
        <v>0</v>
      </c>
      <c r="N18" s="837" t="n">
        <v>0</v>
      </c>
      <c r="O18" s="837" t="n">
        <v>0</v>
      </c>
      <c r="P18" s="837" t="n">
        <v>0</v>
      </c>
      <c r="Q18" s="837" t="n">
        <v>0</v>
      </c>
      <c r="R18" s="837" t="n">
        <v>0</v>
      </c>
      <c r="S18" s="837" t="n">
        <v>0</v>
      </c>
    </row>
    <row r="19">
      <c r="B19" s="22" t="inlineStr">
        <is>
          <t>fabio.ferrara</t>
        </is>
      </c>
      <c r="C19" s="3" t="n">
        <v>25.58</v>
      </c>
      <c r="D19" s="5" t="n"/>
      <c r="E19" s="5" t="n"/>
      <c r="G19" s="6" t="inlineStr">
        <is>
          <t>sara.rinaldi</t>
        </is>
      </c>
      <c r="H19" s="559" t="n"/>
      <c r="I19" s="559" t="n"/>
      <c r="J19" s="559" t="n"/>
      <c r="K19" s="559" t="n"/>
      <c r="L19" s="238" t="n"/>
      <c r="M19" s="5" t="n"/>
      <c r="N19" s="5" t="n"/>
      <c r="O19" s="5" t="n"/>
      <c r="P19" s="5" t="n"/>
      <c r="Q19" s="5" t="n"/>
      <c r="R19" s="5" t="n"/>
      <c r="S19" s="5" t="n"/>
    </row>
    <row r="20">
      <c r="B20" s="22" t="inlineStr">
        <is>
          <t>ilaria.ferrara</t>
        </is>
      </c>
      <c r="C20" s="3" t="e">
        <v>#N/A</v>
      </c>
      <c r="D20" s="5" t="n"/>
      <c r="E20" s="5" t="n"/>
      <c r="G20" s="15" t="inlineStr">
        <is>
          <t>cost per month</t>
        </is>
      </c>
      <c r="H20" s="837" t="n">
        <v>0</v>
      </c>
      <c r="I20" s="837" t="n">
        <v>0</v>
      </c>
      <c r="J20" s="837" t="n">
        <v>0</v>
      </c>
      <c r="K20" s="837" t="n">
        <v>0</v>
      </c>
      <c r="L20" s="844" t="n">
        <v>0</v>
      </c>
      <c r="M20" s="837" t="n">
        <v>0</v>
      </c>
      <c r="N20" s="837" t="n">
        <v>0</v>
      </c>
      <c r="O20" s="837" t="n">
        <v>0</v>
      </c>
      <c r="P20" s="837" t="n">
        <v>0</v>
      </c>
      <c r="Q20" s="837" t="n">
        <v>0</v>
      </c>
      <c r="R20" s="837" t="n">
        <v>0</v>
      </c>
      <c r="S20" s="837" t="n">
        <v>0</v>
      </c>
    </row>
    <row r="21">
      <c r="B21" s="22" t="inlineStr">
        <is>
          <t>paolo.greco</t>
        </is>
      </c>
      <c r="C21" s="3" t="n">
        <v>28.25</v>
      </c>
      <c r="D21" s="5" t="n"/>
      <c r="E21" s="5" t="n"/>
      <c r="G21" s="6" t="inlineStr">
        <is>
          <t>recupero EpsilonPay /buonocore</t>
        </is>
      </c>
      <c r="H21" s="559" t="n"/>
      <c r="I21" s="559" t="n"/>
      <c r="J21" s="559" t="n"/>
      <c r="K21" s="559" t="n"/>
      <c r="L21" s="238" t="n"/>
      <c r="M21" s="5" t="n"/>
      <c r="N21" s="849" t="n"/>
      <c r="O21" s="5" t="n"/>
      <c r="P21" s="5" t="n"/>
      <c r="Q21" s="5" t="n"/>
      <c r="R21" s="5" t="n"/>
      <c r="S21" s="5" t="n"/>
    </row>
    <row r="22">
      <c r="B22" s="22" t="inlineStr">
        <is>
          <t>andrea.conti</t>
        </is>
      </c>
      <c r="C22" s="3" t="n">
        <v>28.25</v>
      </c>
      <c r="D22" s="5" t="n"/>
      <c r="E22" s="5" t="n"/>
      <c r="G22" s="15" t="inlineStr">
        <is>
          <t>cost per month</t>
        </is>
      </c>
      <c r="H22" s="837" t="n">
        <v>0</v>
      </c>
      <c r="I22" s="837" t="n">
        <v>0</v>
      </c>
      <c r="J22" s="837" t="n">
        <v>0</v>
      </c>
      <c r="K22" s="837" t="n">
        <v>0</v>
      </c>
      <c r="L22" s="844" t="n">
        <v>0</v>
      </c>
      <c r="M22" s="837" t="n">
        <v>0</v>
      </c>
      <c r="N22" s="837" t="n">
        <v>0</v>
      </c>
      <c r="O22" s="837" t="n">
        <v>0</v>
      </c>
      <c r="P22" s="837" t="n">
        <v>0</v>
      </c>
      <c r="Q22" s="837" t="n">
        <v>0</v>
      </c>
      <c r="R22" s="837" t="n">
        <v>0</v>
      </c>
      <c r="S22" s="837" t="n">
        <v>0</v>
      </c>
    </row>
    <row r="23">
      <c r="B23" s="236" t="n"/>
      <c r="C23" s="139" t="n"/>
      <c r="D23" s="840" t="n"/>
      <c r="E23" s="840" t="n"/>
      <c r="G23" s="6" t="inlineStr">
        <is>
          <t>laura.moretti</t>
        </is>
      </c>
      <c r="H23" s="559" t="n"/>
      <c r="I23" s="559" t="n"/>
      <c r="J23" s="559" t="n"/>
      <c r="K23" s="559" t="n"/>
      <c r="L23" s="238" t="n"/>
      <c r="M23" s="5" t="n"/>
      <c r="N23" s="5" t="n"/>
      <c r="O23" s="5" t="n"/>
      <c r="P23" s="5" t="n"/>
      <c r="Q23" s="5" t="n"/>
      <c r="R23" s="5" t="n"/>
      <c r="S23" s="5" t="n"/>
    </row>
    <row r="24" hidden="1" s="564">
      <c r="B24" s="236" t="n"/>
      <c r="C24" s="139" t="n"/>
      <c r="D24" s="840" t="n"/>
      <c r="E24" s="840" t="n"/>
      <c r="G24" s="15" t="inlineStr">
        <is>
          <t>cost per month</t>
        </is>
      </c>
      <c r="H24" s="837" t="n">
        <v>0</v>
      </c>
      <c r="I24" s="837" t="n">
        <v>0</v>
      </c>
      <c r="J24" s="837" t="n">
        <v>0</v>
      </c>
      <c r="K24" s="837" t="n">
        <v>0</v>
      </c>
      <c r="L24" s="844" t="n">
        <v>0</v>
      </c>
      <c r="M24" s="5" t="n"/>
      <c r="N24" s="5" t="n"/>
      <c r="O24" s="5" t="n"/>
      <c r="P24" s="5" t="n"/>
      <c r="Q24" s="5" t="n"/>
      <c r="R24" s="5" t="n"/>
      <c r="S24" s="5" t="n"/>
    </row>
    <row r="25" hidden="1" s="564">
      <c r="B25" s="236" t="n"/>
      <c r="C25" s="139" t="n"/>
      <c r="D25" s="840" t="n"/>
      <c r="E25" s="840" t="n"/>
      <c r="G25" s="6" t="inlineStr">
        <is>
          <t>anna.ferrari</t>
        </is>
      </c>
      <c r="H25" s="559" t="n"/>
      <c r="I25" s="559" t="n"/>
      <c r="J25" s="559" t="n"/>
      <c r="K25" s="559" t="n"/>
      <c r="L25" s="238" t="n"/>
      <c r="M25" s="5" t="n"/>
      <c r="N25" s="5" t="n"/>
      <c r="O25" s="5" t="n"/>
      <c r="P25" s="5" t="n"/>
      <c r="Q25" s="5" t="n"/>
      <c r="R25" s="5" t="n"/>
      <c r="S25" s="5" t="n"/>
    </row>
    <row r="26" hidden="1" s="564">
      <c r="B26" s="236" t="n"/>
      <c r="C26" s="139" t="n"/>
      <c r="D26" s="840" t="n"/>
      <c r="E26" s="840" t="n"/>
      <c r="G26" s="15" t="inlineStr">
        <is>
          <t>cost per month</t>
        </is>
      </c>
      <c r="H26" s="837" t="n">
        <v>0</v>
      </c>
      <c r="I26" s="837" t="n">
        <v>0</v>
      </c>
      <c r="J26" s="837" t="n">
        <v>0</v>
      </c>
      <c r="K26" s="837" t="n">
        <v>0</v>
      </c>
      <c r="L26" s="844" t="n">
        <v>0</v>
      </c>
      <c r="M26" s="5" t="n"/>
      <c r="N26" s="5" t="n"/>
      <c r="O26" s="5" t="n"/>
      <c r="P26" s="5" t="n"/>
      <c r="Q26" s="5" t="n"/>
      <c r="R26" s="5" t="n"/>
      <c r="S26" s="5" t="n"/>
    </row>
    <row r="27" hidden="1" s="564">
      <c r="B27" s="236" t="n"/>
      <c r="C27" s="139" t="n"/>
      <c r="D27" s="840" t="n"/>
      <c r="E27" s="840" t="n"/>
      <c r="G27" s="6" t="inlineStr">
        <is>
          <t>ilaria.esposito</t>
        </is>
      </c>
      <c r="H27" s="559" t="n"/>
      <c r="I27" s="559" t="n"/>
      <c r="J27" s="559" t="n"/>
      <c r="K27" s="559" t="n"/>
      <c r="L27" s="238" t="n"/>
      <c r="M27" s="5" t="n"/>
      <c r="N27" s="5" t="n"/>
      <c r="O27" s="5" t="n"/>
      <c r="P27" s="5" t="n"/>
      <c r="Q27" s="5" t="n"/>
      <c r="R27" s="5" t="n"/>
      <c r="S27" s="5" t="n"/>
    </row>
    <row r="28" hidden="1" s="564">
      <c r="B28" s="236" t="n"/>
      <c r="C28" s="139" t="n"/>
      <c r="D28" s="840" t="n"/>
      <c r="E28" s="840" t="n"/>
      <c r="G28" s="15" t="inlineStr">
        <is>
          <t>cost per month</t>
        </is>
      </c>
      <c r="H28" s="837" t="n">
        <v>0</v>
      </c>
      <c r="I28" s="837" t="n">
        <v>0</v>
      </c>
      <c r="J28" s="837" t="n">
        <v>0</v>
      </c>
      <c r="K28" s="837" t="n">
        <v>0</v>
      </c>
      <c r="L28" s="844" t="n">
        <v>0</v>
      </c>
      <c r="M28" s="5" t="n"/>
      <c r="N28" s="5" t="n"/>
      <c r="O28" s="5" t="n"/>
      <c r="P28" s="5" t="n"/>
      <c r="Q28" s="5" t="n"/>
      <c r="R28" s="5" t="n"/>
      <c r="S28" s="5" t="n"/>
    </row>
    <row r="29" hidden="1" s="564">
      <c r="B29" s="236" t="n"/>
      <c r="C29" s="139" t="n"/>
      <c r="D29" s="840" t="n"/>
      <c r="E29" s="840" t="n"/>
      <c r="G29" s="6" t="inlineStr">
        <is>
          <t>roberto.costa</t>
        </is>
      </c>
      <c r="H29" s="559" t="n"/>
      <c r="I29" s="559" t="n"/>
      <c r="J29" s="559" t="n"/>
      <c r="K29" s="559" t="n"/>
      <c r="L29" s="238" t="n"/>
      <c r="M29" s="5" t="n"/>
      <c r="N29" s="5" t="n"/>
      <c r="O29" s="5" t="n"/>
      <c r="P29" s="5" t="n"/>
      <c r="Q29" s="5" t="n"/>
      <c r="R29" s="5" t="n"/>
      <c r="S29" s="5" t="n"/>
    </row>
    <row r="30" hidden="1" s="564">
      <c r="B30" s="236" t="n"/>
      <c r="C30" s="139" t="n"/>
      <c r="D30" s="840" t="n"/>
      <c r="E30" s="840" t="n"/>
      <c r="G30" s="15" t="inlineStr">
        <is>
          <t>cost per month</t>
        </is>
      </c>
      <c r="H30" s="837" t="n">
        <v>0</v>
      </c>
      <c r="I30" s="837" t="n">
        <v>0</v>
      </c>
      <c r="J30" s="837" t="n">
        <v>0</v>
      </c>
      <c r="K30" s="837" t="n">
        <v>0</v>
      </c>
      <c r="L30" s="844" t="n">
        <v>0</v>
      </c>
      <c r="M30" s="5" t="n"/>
      <c r="N30" s="5" t="n"/>
      <c r="O30" s="5" t="n"/>
      <c r="P30" s="5" t="n"/>
      <c r="Q30" s="5" t="n"/>
      <c r="R30" s="5" t="n"/>
      <c r="S30" s="5" t="n"/>
    </row>
    <row r="31" hidden="1" s="564">
      <c r="B31" s="236" t="n"/>
      <c r="C31" s="139" t="n"/>
      <c r="D31" s="840" t="n"/>
      <c r="E31" s="840" t="n"/>
      <c r="G31" s="6" t="inlineStr">
        <is>
          <t>riccardo.gentile</t>
        </is>
      </c>
      <c r="H31" s="559" t="n"/>
      <c r="J31" s="559" t="n"/>
      <c r="K31" s="559" t="n"/>
      <c r="L31" s="238" t="n"/>
      <c r="M31" s="5" t="n"/>
      <c r="N31" s="5" t="n"/>
      <c r="O31" s="5" t="n"/>
      <c r="P31" s="5" t="n"/>
      <c r="Q31" s="5" t="n"/>
      <c r="R31" s="5" t="n"/>
      <c r="S31" s="5" t="n"/>
    </row>
    <row r="32" hidden="1" s="564">
      <c r="B32" s="236" t="n"/>
      <c r="C32" s="139" t="n"/>
      <c r="D32" s="840" t="n"/>
      <c r="E32" s="840" t="n"/>
      <c r="G32" s="15" t="inlineStr">
        <is>
          <t>cost per month</t>
        </is>
      </c>
      <c r="H32" s="837" t="n">
        <v>0</v>
      </c>
      <c r="I32" s="837" t="n">
        <v>0</v>
      </c>
      <c r="J32" s="837" t="n">
        <v>0</v>
      </c>
      <c r="K32" s="837" t="n">
        <v>0</v>
      </c>
      <c r="L32" s="844" t="n">
        <v>0</v>
      </c>
      <c r="M32" s="5" t="n"/>
      <c r="N32" s="5" t="n"/>
      <c r="O32" s="5" t="n"/>
      <c r="P32" s="5" t="n"/>
      <c r="Q32" s="5" t="n"/>
      <c r="R32" s="5" t="n"/>
      <c r="S32" s="5" t="n"/>
    </row>
    <row r="33" hidden="1" s="564">
      <c r="B33" s="236" t="n"/>
      <c r="C33" s="139" t="n"/>
      <c r="D33" s="840" t="n"/>
      <c r="E33" s="840" t="n"/>
      <c r="G33" s="6" t="inlineStr">
        <is>
          <t>fabio.ferrara</t>
        </is>
      </c>
      <c r="H33" s="559" t="n"/>
      <c r="I33" s="559" t="n"/>
      <c r="J33" s="559" t="n"/>
      <c r="K33" s="559" t="n"/>
      <c r="L33" s="238" t="n"/>
      <c r="M33" s="5" t="n"/>
      <c r="N33" s="5" t="n"/>
      <c r="O33" s="5" t="n"/>
      <c r="P33" s="5" t="n"/>
      <c r="Q33" s="5" t="n"/>
      <c r="R33" s="5" t="n"/>
      <c r="S33" s="5" t="n"/>
    </row>
    <row r="34" hidden="1" s="564">
      <c r="B34" s="236" t="n"/>
      <c r="C34" s="139" t="n"/>
      <c r="D34" s="840" t="n"/>
      <c r="E34" s="840" t="n"/>
      <c r="G34" s="15" t="inlineStr">
        <is>
          <t>cost per month</t>
        </is>
      </c>
      <c r="H34" s="837" t="n">
        <v>0</v>
      </c>
      <c r="I34" s="837" t="n">
        <v>0</v>
      </c>
      <c r="J34" s="837" t="n">
        <v>0</v>
      </c>
      <c r="K34" s="837" t="n">
        <v>0</v>
      </c>
      <c r="L34" s="844" t="n">
        <v>0</v>
      </c>
      <c r="M34" s="5" t="n"/>
      <c r="N34" s="5" t="n"/>
      <c r="O34" s="5" t="n"/>
      <c r="P34" s="5" t="n"/>
      <c r="Q34" s="5" t="n"/>
      <c r="R34" s="5" t="n"/>
      <c r="S34" s="5" t="n"/>
    </row>
    <row r="35" hidden="1" s="564">
      <c r="G35" s="6" t="inlineStr">
        <is>
          <t>ilaria.fontana</t>
        </is>
      </c>
      <c r="H35" s="559" t="n"/>
      <c r="I35" s="559" t="n"/>
      <c r="J35" s="559" t="n"/>
      <c r="K35" s="559" t="n"/>
      <c r="L35" s="238" t="n"/>
      <c r="M35" s="5" t="n"/>
      <c r="N35" s="5" t="n"/>
      <c r="O35" s="5" t="n"/>
      <c r="P35" s="5" t="n"/>
      <c r="Q35" s="5" t="n"/>
      <c r="R35" s="5" t="n"/>
      <c r="S35" s="5" t="n"/>
    </row>
    <row r="36" hidden="1" s="564">
      <c r="G36" s="15" t="inlineStr">
        <is>
          <t>cost per month</t>
        </is>
      </c>
      <c r="H36" s="837" t="n">
        <v>0</v>
      </c>
      <c r="I36" s="837" t="n">
        <v>0</v>
      </c>
      <c r="J36" s="837" t="n">
        <v>0</v>
      </c>
      <c r="K36" s="837" t="n">
        <v>0</v>
      </c>
      <c r="L36" s="844" t="n">
        <v>0</v>
      </c>
      <c r="M36" s="5" t="n"/>
      <c r="N36" s="5" t="n"/>
      <c r="O36" s="5" t="n"/>
      <c r="P36" s="5" t="n"/>
      <c r="Q36" s="5" t="n"/>
      <c r="R36" s="5" t="n"/>
      <c r="S36" s="5" t="n"/>
    </row>
    <row r="37" hidden="1" s="564">
      <c r="G37" s="6" t="inlineStr">
        <is>
          <t>ilaria.ferrara</t>
        </is>
      </c>
      <c r="H37" s="559" t="n"/>
      <c r="I37" s="559" t="n"/>
      <c r="J37" s="559" t="n"/>
      <c r="K37" s="559" t="n"/>
      <c r="L37" s="238" t="n"/>
      <c r="M37" s="5" t="n"/>
      <c r="N37" s="5" t="n"/>
      <c r="O37" s="5" t="n"/>
      <c r="P37" s="5" t="n"/>
      <c r="Q37" s="5" t="n"/>
      <c r="R37" s="5" t="n"/>
      <c r="S37" s="5" t="n"/>
    </row>
    <row r="38" hidden="1" s="564">
      <c r="G38" s="15" t="inlineStr">
        <is>
          <t>cost per month</t>
        </is>
      </c>
      <c r="H38" s="837" t="n">
        <v>0</v>
      </c>
      <c r="I38" s="837" t="n">
        <v>0</v>
      </c>
      <c r="J38" s="837" t="n">
        <v>0</v>
      </c>
      <c r="K38" s="837" t="n">
        <v>0</v>
      </c>
      <c r="L38" s="844" t="n">
        <v>0</v>
      </c>
      <c r="M38" s="5" t="n"/>
      <c r="N38" s="5" t="n"/>
      <c r="O38" s="5" t="n"/>
      <c r="P38" s="5" t="n"/>
      <c r="Q38" s="5" t="n"/>
      <c r="R38" s="5" t="n"/>
      <c r="S38" s="5" t="n"/>
    </row>
    <row r="39" hidden="1" s="564">
      <c r="G39" s="6" t="inlineStr">
        <is>
          <t>serena.mariani</t>
        </is>
      </c>
      <c r="H39" s="838" t="n"/>
      <c r="I39" s="838" t="n"/>
      <c r="J39" s="838" t="n"/>
      <c r="K39" s="838" t="n"/>
      <c r="L39" s="845" t="n"/>
      <c r="M39" s="5" t="n"/>
      <c r="N39" s="5" t="n"/>
      <c r="O39" s="5" t="n"/>
      <c r="P39" s="5" t="n"/>
      <c r="Q39" s="5" t="n"/>
      <c r="R39" s="5" t="n"/>
      <c r="S39" s="5" t="n"/>
    </row>
    <row r="40" hidden="1" s="564">
      <c r="G40" s="15" t="inlineStr">
        <is>
          <t>cost per month</t>
        </is>
      </c>
      <c r="H40" s="837" t="n">
        <v>0</v>
      </c>
      <c r="I40" s="837" t="n">
        <v>0</v>
      </c>
      <c r="J40" s="837" t="n">
        <v>0</v>
      </c>
      <c r="K40" s="837" t="n">
        <v>0</v>
      </c>
      <c r="L40" s="844" t="n">
        <v>0</v>
      </c>
      <c r="M40" s="5" t="n"/>
      <c r="N40" s="5" t="n"/>
      <c r="O40" s="5" t="n"/>
      <c r="P40" s="5" t="n"/>
      <c r="Q40" s="5" t="n"/>
      <c r="R40" s="5" t="n"/>
      <c r="S40" s="5" t="n"/>
    </row>
    <row r="41" hidden="1" s="564">
      <c r="G41" s="6" t="inlineStr">
        <is>
          <t>paolo.greco</t>
        </is>
      </c>
      <c r="H41" s="838" t="n"/>
      <c r="I41" s="838" t="n"/>
      <c r="J41" s="838" t="n"/>
      <c r="K41" s="838" t="n"/>
      <c r="L41" s="845" t="n"/>
      <c r="M41" s="5" t="n"/>
      <c r="N41" s="5" t="n"/>
      <c r="O41" s="5" t="n"/>
      <c r="P41" s="5" t="n"/>
      <c r="Q41" s="5" t="n"/>
      <c r="R41" s="5" t="n"/>
      <c r="S41" s="5" t="n"/>
    </row>
    <row r="42" hidden="1" s="564">
      <c r="G42" s="15" t="inlineStr">
        <is>
          <t>cost per month</t>
        </is>
      </c>
      <c r="H42" s="837" t="n">
        <v>0</v>
      </c>
      <c r="I42" s="837" t="n">
        <v>0</v>
      </c>
      <c r="J42" s="837" t="n">
        <v>0</v>
      </c>
      <c r="K42" s="837" t="n">
        <v>0</v>
      </c>
      <c r="L42" s="844" t="n">
        <v>0</v>
      </c>
      <c r="M42" s="5" t="n"/>
      <c r="N42" s="5" t="n"/>
      <c r="O42" s="5" t="n"/>
      <c r="P42" s="5" t="n"/>
      <c r="Q42" s="5" t="n"/>
      <c r="R42" s="5" t="n"/>
      <c r="S42" s="5" t="n"/>
    </row>
    <row r="43" hidden="1" s="564">
      <c r="G43" s="6" t="inlineStr">
        <is>
          <t>luca.leone</t>
        </is>
      </c>
      <c r="H43" s="838" t="n"/>
      <c r="I43" s="838" t="n"/>
      <c r="J43" s="838" t="n"/>
      <c r="K43" s="838" t="n"/>
      <c r="L43" s="845" t="n"/>
      <c r="M43" s="5" t="n"/>
      <c r="N43" s="5" t="n"/>
      <c r="O43" s="5" t="n"/>
      <c r="P43" s="5" t="n"/>
      <c r="Q43" s="5" t="n"/>
      <c r="R43" s="5" t="n"/>
      <c r="S43" s="5" t="n"/>
    </row>
    <row r="44">
      <c r="G44" s="15" t="inlineStr">
        <is>
          <t>cost per month</t>
        </is>
      </c>
      <c r="H44" s="837" t="n">
        <v>0</v>
      </c>
      <c r="I44" s="837" t="n">
        <v>0</v>
      </c>
      <c r="J44" s="837" t="n">
        <v>0</v>
      </c>
      <c r="K44" s="837" t="n">
        <v>0</v>
      </c>
      <c r="L44" s="844" t="n">
        <v>0</v>
      </c>
      <c r="M44" s="837" t="n">
        <v>0</v>
      </c>
      <c r="N44" s="837" t="n">
        <v>0</v>
      </c>
      <c r="O44" s="837" t="n">
        <v>0</v>
      </c>
      <c r="P44" s="837" t="n">
        <v>0</v>
      </c>
      <c r="Q44" s="837" t="n">
        <v>0</v>
      </c>
      <c r="R44" s="837" t="n">
        <v>0</v>
      </c>
      <c r="S44" s="837" t="n">
        <v>0</v>
      </c>
    </row>
    <row r="45">
      <c r="G45" s="6" t="inlineStr">
        <is>
          <t>ilaria.esposito</t>
        </is>
      </c>
      <c r="H45" s="559" t="n"/>
      <c r="I45" s="559" t="n"/>
      <c r="J45" s="559" t="n"/>
      <c r="K45" s="559" t="n"/>
      <c r="L45" s="238" t="n"/>
      <c r="M45" s="5" t="n"/>
      <c r="N45" s="5" t="n"/>
      <c r="O45" s="5" t="n"/>
      <c r="P45" s="5" t="n"/>
      <c r="Q45" s="5" t="n"/>
      <c r="R45" s="5" t="n"/>
      <c r="S45" s="559" t="n">
        <v>31.9</v>
      </c>
    </row>
    <row r="46">
      <c r="G46" s="15" t="inlineStr">
        <is>
          <t>cost per month</t>
        </is>
      </c>
      <c r="H46" s="837" t="n">
        <v>0</v>
      </c>
      <c r="I46" s="837" t="n">
        <v>0</v>
      </c>
      <c r="J46" s="837" t="n">
        <v>0</v>
      </c>
      <c r="K46" s="837" t="n">
        <v>0</v>
      </c>
      <c r="L46" s="844" t="n">
        <v>0</v>
      </c>
      <c r="M46" s="837" t="n">
        <v>0</v>
      </c>
      <c r="N46" s="837" t="n">
        <v>0</v>
      </c>
      <c r="O46" s="837" t="n">
        <v>0</v>
      </c>
      <c r="P46" s="837" t="n">
        <v>0</v>
      </c>
      <c r="Q46" s="837" t="n">
        <v>0</v>
      </c>
      <c r="R46" s="837" t="n">
        <v>0</v>
      </c>
      <c r="S46" s="837" t="n">
        <v>1142.23</v>
      </c>
    </row>
    <row r="47">
      <c r="G47" s="27" t="inlineStr">
        <is>
          <t>Costs</t>
        </is>
      </c>
      <c r="H47" s="842" t="n">
        <v>0</v>
      </c>
      <c r="I47" s="842" t="n">
        <v>1550.21</v>
      </c>
      <c r="J47" s="842" t="n">
        <v>1550.21</v>
      </c>
      <c r="K47" s="842" t="n">
        <v>1552.88</v>
      </c>
      <c r="L47" s="842" t="n">
        <v>1552.88</v>
      </c>
      <c r="M47" s="847" t="n">
        <v>1552.88</v>
      </c>
      <c r="N47" s="847" t="n">
        <v>1552.88</v>
      </c>
      <c r="O47" s="847" t="n">
        <v>1552.88</v>
      </c>
      <c r="P47" s="847" t="n">
        <v>1552.88</v>
      </c>
      <c r="Q47" s="847" t="n">
        <v>1552.88</v>
      </c>
      <c r="R47" s="847" t="n">
        <v>1552.88</v>
      </c>
      <c r="S47" s="847" t="n">
        <v>1553.29</v>
      </c>
    </row>
    <row r="48">
      <c r="G48" s="27" t="inlineStr">
        <is>
          <t>Spese &amp; Costi on Top</t>
        </is>
      </c>
      <c r="H48" s="842" t="n">
        <v>0</v>
      </c>
      <c r="I48" s="842" t="n">
        <v>0</v>
      </c>
      <c r="J48" s="842" t="n">
        <v>0</v>
      </c>
      <c r="K48" s="842" t="n">
        <v>0</v>
      </c>
      <c r="L48" s="842" t="n">
        <v>0</v>
      </c>
      <c r="M48" s="842" t="n">
        <v>0</v>
      </c>
      <c r="N48" s="842" t="n">
        <v>0</v>
      </c>
      <c r="O48" s="842" t="n">
        <v>0</v>
      </c>
      <c r="P48" s="842" t="n">
        <v>0</v>
      </c>
      <c r="Q48" s="842" t="n">
        <v>0</v>
      </c>
      <c r="R48" s="842" t="n">
        <v>0</v>
      </c>
      <c r="S48" s="842" t="n">
        <v>0</v>
      </c>
    </row>
    <row r="49"/>
    <row r="50">
      <c r="G50" s="27" t="inlineStr">
        <is>
          <t>Giulia Mariani</t>
        </is>
      </c>
      <c r="H50" s="842" t="n">
        <v>0</v>
      </c>
      <c r="I50" s="842" t="n">
        <v>1550.21</v>
      </c>
      <c r="J50" s="842" t="n">
        <v>1550.21</v>
      </c>
      <c r="K50" s="842" t="n">
        <v>1552.88</v>
      </c>
      <c r="L50" s="842" t="n">
        <v>1552.88</v>
      </c>
      <c r="M50" s="842" t="n">
        <v>1552.88</v>
      </c>
      <c r="N50" s="842" t="n">
        <v>1552.88</v>
      </c>
      <c r="O50" s="842" t="n">
        <v>1552.88</v>
      </c>
      <c r="P50" s="842" t="n">
        <v>1552.88</v>
      </c>
      <c r="Q50" s="842" t="n">
        <v>1552.88</v>
      </c>
      <c r="R50" s="842" t="n">
        <v>1552.88</v>
      </c>
      <c r="S50" s="842" t="n">
        <v>1553.29</v>
      </c>
    </row>
    <row r="51">
      <c r="H51" s="850" t="n">
        <v>0</v>
      </c>
      <c r="I51" s="850" t="n">
        <v>1553.43</v>
      </c>
      <c r="J51" s="850" t="n">
        <v>1553.43</v>
      </c>
      <c r="K51" s="850" t="n">
        <v>1553.43</v>
      </c>
      <c r="L51" s="850" t="n">
        <v>1553.43</v>
      </c>
      <c r="M51" s="850" t="n">
        <v>1553.43</v>
      </c>
      <c r="N51" s="850" t="n">
        <v>1553.43</v>
      </c>
      <c r="O51" s="850" t="n">
        <v>1553.43</v>
      </c>
      <c r="P51" s="850" t="n">
        <v>1553.43</v>
      </c>
      <c r="Q51" s="850" t="n">
        <v>1553.43</v>
      </c>
      <c r="R51" s="850" t="n">
        <v>1553.43</v>
      </c>
      <c r="S51" s="850" t="n">
        <v>1553.43</v>
      </c>
    </row>
    <row r="52">
      <c r="H52" s="849" t="n">
        <v>0</v>
      </c>
      <c r="I52" s="849" t="n">
        <v>3.22</v>
      </c>
      <c r="J52" s="849" t="n">
        <v>3.22</v>
      </c>
      <c r="K52" s="849" t="n">
        <v>0.6709090909089355</v>
      </c>
      <c r="L52" s="849" t="n">
        <v>0.6709090909089355</v>
      </c>
      <c r="M52" s="849" t="n">
        <v>0.6709090909089355</v>
      </c>
      <c r="N52" s="849" t="n">
        <v>0.6709090909089355</v>
      </c>
      <c r="O52" s="849" t="n">
        <v>0.6709090909089355</v>
      </c>
      <c r="P52" s="849" t="n">
        <v>0.6709090909089355</v>
      </c>
      <c r="Q52" s="849" t="n">
        <v>0.6709090909089355</v>
      </c>
      <c r="R52" s="849" t="n">
        <v>0.6709090909089355</v>
      </c>
      <c r="S52" s="849" t="n">
        <v>0.1689090909096649</v>
      </c>
    </row>
    <row r="53">
      <c r="G53" s="614" t="n"/>
      <c r="I53" s="614" t="n"/>
    </row>
    <row r="54">
      <c r="G54" s="596" t="n"/>
    </row>
    <row r="55"/>
    <row r="56">
      <c r="G56" s="614" t="n"/>
    </row>
    <row r="57"/>
    <row r="58"/>
    <row r="59"/>
    <row r="60">
      <c r="G60" s="614" t="n"/>
    </row>
  </sheetData>
  <conditionalFormatting sqref="B2">
    <cfRule type="duplicateValues" priority="9" dxfId="1"/>
  </conditionalFormatting>
  <conditionalFormatting sqref="B3:B7">
    <cfRule type="duplicateValues" priority="12" dxfId="1"/>
  </conditionalFormatting>
  <conditionalFormatting sqref="B8">
    <cfRule type="duplicateValues" priority="8" dxfId="1"/>
  </conditionalFormatting>
  <conditionalFormatting sqref="B9:B10">
    <cfRule type="duplicateValues" priority="13" dxfId="1"/>
  </conditionalFormatting>
  <conditionalFormatting sqref="B11">
    <cfRule type="duplicateValues" priority="7" dxfId="1"/>
  </conditionalFormatting>
  <conditionalFormatting sqref="B12:B13">
    <cfRule type="duplicateValues" priority="11" dxfId="1"/>
  </conditionalFormatting>
  <conditionalFormatting sqref="B14:B15">
    <cfRule type="duplicateValues" priority="10" dxfId="1"/>
  </conditionalFormatting>
  <conditionalFormatting sqref="B16">
    <cfRule type="duplicateValues" priority="6" dxfId="1"/>
  </conditionalFormatting>
  <conditionalFormatting sqref="B17">
    <cfRule type="duplicateValues" priority="5" dxfId="1"/>
  </conditionalFormatting>
  <conditionalFormatting sqref="B18:B19">
    <cfRule type="duplicateValues" priority="14" dxfId="1"/>
  </conditionalFormatting>
  <conditionalFormatting sqref="B20:B21">
    <cfRule type="duplicateValues" priority="4" dxfId="1"/>
  </conditionalFormatting>
  <conditionalFormatting sqref="B22">
    <cfRule type="duplicateValues" priority="3" dxfId="1"/>
  </conditionalFormatting>
  <conditionalFormatting sqref="B23">
    <cfRule type="duplicateValues" priority="19" dxfId="1"/>
  </conditionalFormatting>
  <conditionalFormatting sqref="B24:B25">
    <cfRule type="duplicateValues" priority="18" dxfId="1"/>
  </conditionalFormatting>
  <conditionalFormatting sqref="B26:B30">
    <cfRule type="duplicateValues" priority="17" dxfId="1"/>
  </conditionalFormatting>
  <conditionalFormatting sqref="B31:B33">
    <cfRule type="duplicateValues" priority="16" dxfId="1"/>
  </conditionalFormatting>
  <conditionalFormatting sqref="B34">
    <cfRule type="duplicateValues" priority="15" dxfId="1"/>
  </conditionalFormatting>
  <pageMargins left="0.7" right="0.7" top="0.75" bottom="0.75" header="0.3" footer="0.3"/>
  <pageSetup orientation="portrait"/>
</worksheet>
</file>

<file path=xl/worksheets/sheet14.xml><?xml version="1.0" encoding="utf-8"?>
<worksheet xmlns="http://schemas.openxmlformats.org/spreadsheetml/2006/main">
  <sheetPr codeName="Sheet8">
    <outlinePr summaryBelow="1" summaryRight="1"/>
    <pageSetUpPr/>
  </sheetPr>
  <dimension ref="A1:BA49"/>
  <sheetViews>
    <sheetView zoomScale="70" zoomScaleNormal="70" workbookViewId="0">
      <pane xSplit="8" ySplit="9" topLeftCell="I10" activePane="bottomRight" state="frozen"/>
      <selection activeCell="AN41" activeCellId="1" sqref="AN38 AN41"/>
      <selection pane="topRight" activeCell="AN41" activeCellId="1" sqref="AN38 AN41"/>
      <selection pane="bottomLeft" activeCell="AN41" activeCellId="1" sqref="AN38 AN41"/>
      <selection pane="bottomRight" activeCell="AP18" sqref="AP18"/>
    </sheetView>
  </sheetViews>
  <sheetFormatPr baseColWidth="8" defaultColWidth="12.1796875" defaultRowHeight="14.5"/>
  <cols>
    <col width="16.1796875" customWidth="1" style="579" min="1" max="1"/>
    <col width="15.453125" customWidth="1" style="579" min="2" max="2"/>
    <col width="11.1796875" customWidth="1" style="579" min="3" max="3"/>
    <col width="13.81640625" customWidth="1" style="579" min="4" max="4"/>
    <col width="12.54296875" bestFit="1" customWidth="1" style="579" min="5" max="5"/>
    <col width="21.81640625" customWidth="1" style="579" min="6" max="6"/>
    <col width="20.1796875" customWidth="1" style="579" min="7" max="7"/>
    <col width="19.54296875" customWidth="1" style="579" min="8" max="8"/>
    <col hidden="1" width="18.1796875" customWidth="1" style="579" min="9" max="9"/>
    <col hidden="1" width="18.81640625" customWidth="1" style="579" min="10" max="10"/>
    <col hidden="1" width="18.54296875" customWidth="1" style="579" min="11" max="11"/>
    <col hidden="1" width="18.81640625" customWidth="1" style="579" min="12" max="12"/>
    <col hidden="1" width="20.81640625" customWidth="1" style="579" min="13" max="13"/>
    <col hidden="1" width="19.26953125" customWidth="1" style="579" min="14" max="14"/>
    <col hidden="1" width="18.1796875" customWidth="1" style="579" min="15" max="15"/>
    <col hidden="1" width="18.54296875" customWidth="1" style="579" min="16" max="16"/>
    <col hidden="1" width="19.1796875" customWidth="1" style="579" min="17" max="17"/>
    <col hidden="1" width="18.1796875" customWidth="1" style="579" min="18" max="18"/>
    <col hidden="1" width="20.453125" customWidth="1" style="579" min="19" max="19"/>
    <col hidden="1" width="18.81640625" customWidth="1" style="579" min="20" max="20"/>
    <col hidden="1" width="18.1796875" customWidth="1" style="579" min="21" max="21"/>
    <col hidden="1" width="18.81640625" customWidth="1" style="579" min="22" max="22"/>
    <col hidden="1" width="18.54296875" customWidth="1" style="579" min="23" max="23"/>
    <col hidden="1" width="12.54296875" customWidth="1" style="579" min="24" max="24"/>
    <col hidden="1" width="11" customWidth="1" style="579" min="25" max="25"/>
    <col hidden="1" width="12.1796875" customWidth="1" style="579" min="26" max="27"/>
    <col hidden="1" width="12" customWidth="1" style="579" min="28" max="28"/>
    <col hidden="1" width="12.81640625" customWidth="1" style="579" min="29" max="29"/>
    <col hidden="1" width="13.453125" customWidth="1" style="579" min="30" max="30"/>
    <col hidden="1" width="16.54296875" customWidth="1" style="579" min="31" max="31"/>
    <col hidden="1" width="13.54296875" customWidth="1" style="579" min="32" max="32"/>
    <col hidden="1" width="12.1796875" customWidth="1" style="579" min="33" max="34"/>
    <col hidden="1" style="579" min="35" max="36"/>
    <col hidden="1" width="12.54296875" customWidth="1" style="579" min="37" max="37"/>
    <col hidden="1" style="579" min="38" max="38"/>
    <col width="14.26953125" customWidth="1" style="579" min="39" max="39"/>
    <col width="12.1796875" bestFit="1" customWidth="1" style="579" min="40" max="41"/>
    <col width="14.1796875" bestFit="1" customWidth="1" style="579" min="42" max="42"/>
    <col width="12.1796875" bestFit="1" customWidth="1" style="579" min="43" max="618"/>
    <col width="12.1796875" customWidth="1" style="579" min="619" max="16384"/>
  </cols>
  <sheetData>
    <row r="1">
      <c r="A1" s="688" t="n"/>
      <c r="B1" s="688" t="n"/>
      <c r="C1" s="688" t="n"/>
      <c r="D1" s="688" t="n"/>
      <c r="E1" s="688" t="n"/>
      <c r="F1" s="688" t="n"/>
      <c r="H1" s="40" t="n"/>
      <c r="I1" s="689" t="n"/>
      <c r="J1" s="689" t="n"/>
      <c r="K1" s="689" t="n"/>
      <c r="L1" s="689" t="n"/>
      <c r="M1" s="689" t="n"/>
      <c r="N1" s="689" t="n"/>
      <c r="O1" s="689" t="n"/>
      <c r="P1" s="689" t="n"/>
      <c r="Q1" s="689" t="n"/>
      <c r="R1" s="689" t="n"/>
      <c r="S1" s="689" t="n"/>
      <c r="T1" s="689" t="n"/>
      <c r="U1" s="689" t="n"/>
      <c r="V1" s="689" t="n"/>
      <c r="W1" s="689" t="n"/>
    </row>
    <row r="2">
      <c r="A2" s="688" t="n"/>
      <c r="B2" s="690" t="inlineStr">
        <is>
          <t>GammaTech</t>
        </is>
      </c>
      <c r="C2" s="387" t="n"/>
      <c r="D2" s="688" t="n"/>
      <c r="E2" s="588" t="n"/>
      <c r="F2" s="688" t="n"/>
      <c r="G2" s="689" t="inlineStr">
        <is>
          <t>Available</t>
        </is>
      </c>
      <c r="H2" s="689" t="n">
        <v>520635.13</v>
      </c>
      <c r="I2" s="508" t="inlineStr">
        <is>
          <t>Q2</t>
        </is>
      </c>
      <c r="J2" s="333" t="n"/>
      <c r="K2" s="387" t="n"/>
      <c r="L2" s="691" t="inlineStr">
        <is>
          <t>Q3</t>
        </is>
      </c>
      <c r="M2" s="333" t="n"/>
      <c r="N2" s="387" t="n"/>
      <c r="O2" s="692" t="inlineStr">
        <is>
          <t>Q4</t>
        </is>
      </c>
      <c r="P2" s="333" t="n"/>
      <c r="Q2" s="387" t="n"/>
      <c r="R2" s="693" t="inlineStr">
        <is>
          <t>Q1</t>
        </is>
      </c>
      <c r="S2" s="333" t="n"/>
      <c r="T2" s="387" t="n"/>
      <c r="U2" s="508" t="inlineStr">
        <is>
          <t>Q2</t>
        </is>
      </c>
      <c r="V2" s="333" t="n"/>
      <c r="W2" s="387" t="n"/>
      <c r="X2" s="691" t="inlineStr">
        <is>
          <t>Q3</t>
        </is>
      </c>
      <c r="Y2" s="333" t="n"/>
      <c r="Z2" s="387" t="n"/>
      <c r="AA2" s="692" t="inlineStr">
        <is>
          <t>Q4</t>
        </is>
      </c>
      <c r="AB2" s="333" t="n"/>
      <c r="AC2" s="387" t="n"/>
      <c r="AD2" s="508" t="inlineStr">
        <is>
          <t>Q1</t>
        </is>
      </c>
      <c r="AE2" s="333" t="n"/>
      <c r="AF2" s="387" t="n"/>
      <c r="AG2" s="509" t="inlineStr">
        <is>
          <t>Q2</t>
        </is>
      </c>
      <c r="AH2" s="333" t="n"/>
      <c r="AI2" s="387" t="n"/>
      <c r="AJ2" s="510" t="inlineStr">
        <is>
          <t>Q3</t>
        </is>
      </c>
      <c r="AK2" s="333" t="n"/>
      <c r="AL2" s="387" t="n"/>
      <c r="AM2" s="511" t="inlineStr">
        <is>
          <t>Q4</t>
        </is>
      </c>
      <c r="AN2" s="333" t="n"/>
      <c r="AO2" s="387" t="n"/>
      <c r="AP2" s="508" t="inlineStr">
        <is>
          <t>Q1</t>
        </is>
      </c>
      <c r="AQ2" s="333" t="n"/>
      <c r="AR2" s="387" t="n"/>
      <c r="AS2" s="509" t="inlineStr">
        <is>
          <t>Q2</t>
        </is>
      </c>
      <c r="AT2" s="333" t="n"/>
      <c r="AU2" s="387" t="n"/>
      <c r="AV2" s="510" t="inlineStr">
        <is>
          <t>Q3</t>
        </is>
      </c>
      <c r="AW2" s="333" t="n"/>
      <c r="AX2" s="387" t="n"/>
      <c r="AY2" s="511" t="inlineStr">
        <is>
          <t>Q4</t>
        </is>
      </c>
      <c r="AZ2" s="333" t="n"/>
      <c r="BA2" s="387" t="n"/>
    </row>
    <row r="3">
      <c r="A3" s="688" t="n"/>
      <c r="B3" s="694" t="inlineStr">
        <is>
          <t>WBS L1</t>
        </is>
      </c>
      <c r="C3" s="694" t="inlineStr">
        <is>
          <t>WBS L2</t>
        </is>
      </c>
      <c r="D3" s="688" t="n"/>
      <c r="E3" s="673" t="n">
        <v>146121.96</v>
      </c>
      <c r="F3" s="688" t="n"/>
      <c r="G3" s="2" t="inlineStr">
        <is>
          <t>Totals</t>
        </is>
      </c>
      <c r="H3" s="2" t="inlineStr">
        <is>
          <t>Amount</t>
        </is>
      </c>
      <c r="I3" s="4" t="inlineStr">
        <is>
          <t>Before 2024</t>
        </is>
      </c>
      <c r="J3" s="4" t="n">
        <v>45292</v>
      </c>
      <c r="K3" s="8" t="n">
        <v>45323</v>
      </c>
      <c r="L3" s="4" t="n">
        <v>45352</v>
      </c>
      <c r="M3" s="4" t="n">
        <v>45383</v>
      </c>
      <c r="N3" s="4" t="n">
        <v>45413</v>
      </c>
      <c r="O3" s="4" t="n">
        <v>45444</v>
      </c>
      <c r="P3" s="4" t="n">
        <v>45474</v>
      </c>
      <c r="Q3" s="8" t="n">
        <v>45505</v>
      </c>
      <c r="R3" s="4" t="n">
        <v>45536</v>
      </c>
      <c r="S3" s="4" t="n">
        <v>45566</v>
      </c>
      <c r="T3" s="4" t="n">
        <v>45597</v>
      </c>
      <c r="U3" s="4" t="n">
        <v>45627</v>
      </c>
      <c r="V3" s="4" t="n">
        <v>45658</v>
      </c>
      <c r="W3" s="8" t="n">
        <v>45689</v>
      </c>
      <c r="X3" s="4" t="n">
        <v>45717</v>
      </c>
      <c r="Y3" s="8" t="n">
        <v>45748</v>
      </c>
      <c r="Z3" s="4" t="n">
        <v>45778</v>
      </c>
      <c r="AA3" s="8" t="n">
        <v>45809</v>
      </c>
      <c r="AB3" s="4" t="n">
        <v>45839</v>
      </c>
      <c r="AC3" s="8" t="n">
        <v>45870</v>
      </c>
      <c r="AD3" s="8" t="n">
        <v>45901</v>
      </c>
      <c r="AE3" s="8" t="n">
        <v>45931</v>
      </c>
      <c r="AF3" s="8" t="n">
        <v>45962</v>
      </c>
      <c r="AG3" s="8" t="n">
        <v>45992</v>
      </c>
      <c r="AH3" s="8" t="n">
        <v>46023</v>
      </c>
      <c r="AI3" s="8" t="n">
        <v>46054</v>
      </c>
      <c r="AJ3" s="8" t="n">
        <v>46082</v>
      </c>
      <c r="AK3" s="8" t="n">
        <v>46113</v>
      </c>
      <c r="AL3" s="8" t="n">
        <v>46143</v>
      </c>
      <c r="AM3" s="8" t="n">
        <v>46174</v>
      </c>
      <c r="AN3" s="8" t="n">
        <v>46204</v>
      </c>
      <c r="AO3" s="8" t="n">
        <v>46235</v>
      </c>
      <c r="AP3" s="8" t="n">
        <v>46266</v>
      </c>
      <c r="AQ3" s="8" t="n">
        <v>46296</v>
      </c>
      <c r="AR3" s="8" t="n">
        <v>46327</v>
      </c>
      <c r="AS3" s="8" t="n">
        <v>46357</v>
      </c>
      <c r="AT3" s="8" t="n">
        <v>46388</v>
      </c>
      <c r="AU3" s="8" t="n">
        <v>46419</v>
      </c>
      <c r="AV3" s="8" t="n">
        <v>46447</v>
      </c>
      <c r="AW3" s="8" t="n">
        <v>46478</v>
      </c>
      <c r="AX3" s="8" t="n">
        <v>46508</v>
      </c>
      <c r="AY3" s="8" t="n">
        <v>46539</v>
      </c>
      <c r="AZ3" s="8" t="n">
        <v>46569</v>
      </c>
      <c r="BA3" s="8" t="n">
        <v>46600</v>
      </c>
    </row>
    <row r="4">
      <c r="A4" s="695" t="inlineStr">
        <is>
          <t>BetaCredit</t>
        </is>
      </c>
      <c r="B4" s="696" t="inlineStr">
        <is>
          <t>BJRYD001</t>
        </is>
      </c>
      <c r="C4" s="696" t="inlineStr">
        <is>
          <t>BFBZ3001</t>
        </is>
      </c>
      <c r="D4" s="688" t="n"/>
      <c r="E4" s="160" t="n">
        <v>117650.65</v>
      </c>
      <c r="F4" s="688" t="n"/>
      <c r="G4" s="45" t="inlineStr">
        <is>
          <t>Forecast Revenues</t>
        </is>
      </c>
      <c r="H4" s="697" t="n">
        <v>1499689.86</v>
      </c>
      <c r="I4" s="698" t="n">
        <v>360376.27</v>
      </c>
      <c r="J4" s="698" t="n">
        <v>61161.8</v>
      </c>
      <c r="K4" s="698" t="n">
        <v>61899.73</v>
      </c>
      <c r="L4" s="698" t="n">
        <v>66615.16</v>
      </c>
      <c r="M4" s="698" t="n">
        <v>50361.14</v>
      </c>
      <c r="N4" s="698" t="n">
        <v>51876.25</v>
      </c>
      <c r="O4" s="698" t="n">
        <v>18347.39</v>
      </c>
      <c r="P4" s="698" t="n">
        <v>43563.13</v>
      </c>
      <c r="Q4" s="698" t="n">
        <v>8695.040000000001</v>
      </c>
      <c r="R4" s="698" t="n">
        <v>57596.02</v>
      </c>
      <c r="S4" s="698" t="n">
        <v>66021.03999999999</v>
      </c>
      <c r="T4" s="698" t="n">
        <v>59697.77</v>
      </c>
      <c r="U4" s="698" t="n">
        <v>23513.13</v>
      </c>
      <c r="V4" s="698" t="n">
        <v>50702.88</v>
      </c>
      <c r="W4" s="698" t="n">
        <v>54412.07</v>
      </c>
      <c r="X4" s="698" t="n">
        <v>85770.32000000001</v>
      </c>
      <c r="Y4" s="698" t="n">
        <v>49284.44</v>
      </c>
      <c r="Z4" s="698" t="n">
        <v>108004.92</v>
      </c>
      <c r="AA4" s="698" t="n">
        <v>101741.81</v>
      </c>
      <c r="AB4" s="698" t="n">
        <v>56651.25</v>
      </c>
      <c r="AC4" s="698" t="n">
        <v>63398.3</v>
      </c>
      <c r="AD4" s="698" t="n">
        <v>115090.81</v>
      </c>
      <c r="AE4" s="698" t="n">
        <v>155422.54</v>
      </c>
      <c r="AF4" s="698" t="n">
        <v>121659.79</v>
      </c>
      <c r="AG4" s="698" t="n">
        <v>105805.3</v>
      </c>
      <c r="AH4" s="698" t="n">
        <v>115897.59</v>
      </c>
      <c r="AI4" s="698" t="n">
        <v>147251.08</v>
      </c>
      <c r="AJ4" s="698" t="n">
        <v>124738.8</v>
      </c>
      <c r="AK4" s="698" t="n">
        <v>172298.89</v>
      </c>
      <c r="AL4" s="698" t="n">
        <v>137979.8</v>
      </c>
      <c r="AM4" s="698" t="n">
        <v>88660.39</v>
      </c>
      <c r="AN4" s="698" t="n">
        <v>81348.48</v>
      </c>
      <c r="AO4" s="698" t="n">
        <v>10580.63</v>
      </c>
      <c r="AP4" s="698" t="n">
        <v>10581.45</v>
      </c>
      <c r="AQ4" s="698" t="n">
        <v>10582.26</v>
      </c>
      <c r="AR4" s="698" t="n">
        <v>10583.08</v>
      </c>
      <c r="AS4" s="698" t="n">
        <v>10583.89</v>
      </c>
      <c r="AT4" s="698" t="n">
        <v>10584.7</v>
      </c>
      <c r="AU4" s="698" t="n">
        <v>10585.52</v>
      </c>
      <c r="AV4" s="698" t="n">
        <v>10586.33</v>
      </c>
      <c r="AW4" s="698" t="n">
        <v>10587.14</v>
      </c>
      <c r="AX4" s="698" t="n">
        <v>10587.96</v>
      </c>
      <c r="AY4" s="698" t="n">
        <v>10588.77</v>
      </c>
      <c r="AZ4" s="698" t="n">
        <v>10589.59</v>
      </c>
      <c r="BA4" s="698" t="n">
        <v>10590.4</v>
      </c>
    </row>
    <row r="5">
      <c r="A5" s="695" t="inlineStr">
        <is>
          <t>AlphaBank</t>
        </is>
      </c>
      <c r="B5" s="696" t="inlineStr">
        <is>
          <t>BGTY8001</t>
        </is>
      </c>
      <c r="C5" s="696" t="inlineStr">
        <is>
          <t>BU7R5001</t>
        </is>
      </c>
      <c r="D5" s="688" t="n"/>
      <c r="E5" s="596" t="n">
        <v>263772.61</v>
      </c>
      <c r="F5" s="599" t="n"/>
      <c r="G5" s="45" t="inlineStr">
        <is>
          <t>Forecast Costs</t>
        </is>
      </c>
      <c r="H5" s="697" t="n">
        <v>979054.73</v>
      </c>
      <c r="I5" s="698" t="n">
        <v>226605.71</v>
      </c>
      <c r="J5" s="698" t="n">
        <v>51769.01</v>
      </c>
      <c r="K5" s="698" t="n">
        <v>42968.9</v>
      </c>
      <c r="L5" s="698" t="n">
        <v>36361.18</v>
      </c>
      <c r="M5" s="698" t="n">
        <v>35001.65</v>
      </c>
      <c r="N5" s="698" t="n">
        <v>29440.99</v>
      </c>
      <c r="O5" s="698" t="n">
        <v>14796.85</v>
      </c>
      <c r="P5" s="698" t="n">
        <v>29525.57</v>
      </c>
      <c r="Q5" s="698" t="n">
        <v>6524.22</v>
      </c>
      <c r="R5" s="698" t="n">
        <v>30888.22</v>
      </c>
      <c r="S5" s="698" t="n">
        <v>38762.84</v>
      </c>
      <c r="T5" s="698" t="n">
        <v>37408.36</v>
      </c>
      <c r="U5" s="698" t="n">
        <v>15935.18</v>
      </c>
      <c r="V5" s="698" t="n">
        <v>21277.65</v>
      </c>
      <c r="W5" s="698" t="n">
        <v>33883.15</v>
      </c>
      <c r="X5" s="698" t="n">
        <v>51425.23</v>
      </c>
      <c r="Y5" s="698" t="n">
        <v>40078.35</v>
      </c>
      <c r="Z5" s="698" t="n">
        <v>63802.36</v>
      </c>
      <c r="AA5" s="698" t="n">
        <v>67838.47</v>
      </c>
      <c r="AB5" s="698" t="n">
        <v>70173.23</v>
      </c>
      <c r="AC5" s="698" t="n">
        <v>34587.6</v>
      </c>
      <c r="AD5" s="698" t="n">
        <v>62602.34</v>
      </c>
      <c r="AE5" s="698" t="n">
        <v>73208.14</v>
      </c>
      <c r="AF5" s="698" t="n">
        <v>74792.41</v>
      </c>
      <c r="AG5" s="698" t="n">
        <v>66698.34</v>
      </c>
      <c r="AH5" s="698" t="n">
        <v>73144.39999999999</v>
      </c>
      <c r="AI5" s="698" t="n">
        <v>84619.17</v>
      </c>
      <c r="AJ5" s="698" t="n">
        <v>121874.76</v>
      </c>
      <c r="AK5" s="698" t="n">
        <v>87071.53</v>
      </c>
      <c r="AL5" s="698" t="n">
        <v>82995.73</v>
      </c>
      <c r="AM5" s="698" t="n">
        <v>88395.34</v>
      </c>
      <c r="AN5" s="698" t="n">
        <v>33287.73</v>
      </c>
      <c r="AO5" s="698" t="n">
        <v>8325.030000000001</v>
      </c>
      <c r="AP5" s="698" t="n">
        <v>0</v>
      </c>
      <c r="AQ5" s="698" t="n">
        <v>0</v>
      </c>
      <c r="AR5" s="698" t="n">
        <v>0</v>
      </c>
      <c r="AS5" s="698" t="n">
        <v>0</v>
      </c>
      <c r="AT5" s="698" t="n">
        <v>0</v>
      </c>
      <c r="AU5" s="698" t="n">
        <v>0</v>
      </c>
      <c r="AV5" s="698" t="n">
        <v>0</v>
      </c>
      <c r="AW5" s="698" t="n">
        <v>0</v>
      </c>
      <c r="AX5" s="698" t="n">
        <v>0</v>
      </c>
      <c r="AY5" s="698" t="n">
        <v>0</v>
      </c>
      <c r="AZ5" s="698" t="n">
        <v>0</v>
      </c>
      <c r="BA5" s="698" t="n">
        <v>0</v>
      </c>
    </row>
    <row r="6">
      <c r="A6" s="688" t="n"/>
      <c r="B6" s="688" t="n"/>
      <c r="C6" s="688" t="n"/>
      <c r="D6" s="688" t="n"/>
      <c r="E6" s="688" t="n">
        <v>284928.81</v>
      </c>
      <c r="F6" s="688" t="n"/>
      <c r="G6" s="48" t="inlineStr">
        <is>
          <t>Actual Revenues</t>
        </is>
      </c>
      <c r="H6" s="697" t="n">
        <v>1491552.7</v>
      </c>
      <c r="I6" s="699" t="n">
        <v>360376.27</v>
      </c>
      <c r="J6" s="699" t="n">
        <v>61161.8</v>
      </c>
      <c r="K6" s="699" t="n">
        <v>61899.56</v>
      </c>
      <c r="L6" s="699" t="n">
        <v>66615.14999999999</v>
      </c>
      <c r="M6" s="699" t="n">
        <v>42224.12</v>
      </c>
      <c r="N6" s="699" t="n">
        <v>51876.24</v>
      </c>
      <c r="O6" s="699" t="n">
        <v>18347.14</v>
      </c>
      <c r="P6" s="699" t="n">
        <v>43563.13</v>
      </c>
      <c r="Q6" s="699" t="n">
        <v>8695.040000000001</v>
      </c>
      <c r="R6" s="699" t="n">
        <v>57596.02</v>
      </c>
      <c r="S6" s="699" t="n">
        <v>66021.32000000001</v>
      </c>
      <c r="T6" s="699" t="n">
        <v>59697.77</v>
      </c>
      <c r="U6" s="699" t="n">
        <v>23513.13</v>
      </c>
      <c r="V6" s="699" t="n">
        <v>50702.89</v>
      </c>
      <c r="W6" s="699" t="n">
        <v>54412.07</v>
      </c>
      <c r="X6" s="699" t="n">
        <v>85770.32000000001</v>
      </c>
      <c r="Y6" s="699" t="n">
        <v>49284.44</v>
      </c>
      <c r="Z6" s="699" t="n">
        <v>108004.92</v>
      </c>
      <c r="AA6" s="699" t="n">
        <v>101741.81</v>
      </c>
      <c r="AB6" s="699" t="n">
        <v>56651.25</v>
      </c>
      <c r="AC6" s="699" t="n">
        <v>63398.3</v>
      </c>
      <c r="AD6" s="699" t="n">
        <v>115090.81</v>
      </c>
      <c r="AE6" s="699" t="n">
        <v>155422.54</v>
      </c>
      <c r="AF6" s="699" t="n">
        <v>121659.79</v>
      </c>
      <c r="AG6" s="699" t="n">
        <v>105805.3</v>
      </c>
      <c r="AH6" s="699" t="n">
        <v>115897.59</v>
      </c>
      <c r="AI6" s="699" t="n">
        <v>147251.08</v>
      </c>
      <c r="AJ6" s="699" t="n">
        <v>124738.8</v>
      </c>
      <c r="AK6" s="699" t="n">
        <v>172298.89</v>
      </c>
      <c r="AL6" s="699" t="n">
        <v>137979.8</v>
      </c>
      <c r="AM6" s="699" t="n">
        <v>88660.39</v>
      </c>
      <c r="AN6" s="699" t="n">
        <v>81348.48</v>
      </c>
      <c r="AO6" s="699" t="n">
        <v>10580.63</v>
      </c>
      <c r="AP6" s="699" t="n">
        <v>0</v>
      </c>
      <c r="AQ6" s="699" t="n">
        <v>0</v>
      </c>
      <c r="AR6" s="699" t="n">
        <v>0</v>
      </c>
      <c r="AS6" s="699" t="n">
        <v>0</v>
      </c>
      <c r="AT6" s="699" t="n">
        <v>0</v>
      </c>
      <c r="AU6" s="699" t="n">
        <v>0</v>
      </c>
      <c r="AV6" s="699" t="n">
        <v>0</v>
      </c>
      <c r="AW6" s="699" t="n">
        <v>0</v>
      </c>
      <c r="AX6" s="699" t="n">
        <v>0</v>
      </c>
      <c r="AY6" s="699" t="n">
        <v>0</v>
      </c>
      <c r="AZ6" s="699" t="n">
        <v>0</v>
      </c>
      <c r="BA6" s="699" t="n">
        <v>0</v>
      </c>
    </row>
    <row r="7">
      <c r="A7" s="688" t="n"/>
      <c r="B7" s="688" t="n"/>
      <c r="C7" s="688" t="n"/>
      <c r="D7" s="688" t="n"/>
      <c r="E7" s="688" t="n">
        <v>21156</v>
      </c>
      <c r="F7" s="688" t="n"/>
      <c r="G7" s="45" t="inlineStr">
        <is>
          <t>Actual Cost</t>
        </is>
      </c>
      <c r="H7" s="697" t="n">
        <v>1023278.8</v>
      </c>
      <c r="I7" s="698" t="n">
        <v>226605.71</v>
      </c>
      <c r="J7" s="698" t="n">
        <v>57712.21</v>
      </c>
      <c r="K7" s="698" t="n">
        <v>45772.4</v>
      </c>
      <c r="L7" s="698" t="n">
        <v>39782.22</v>
      </c>
      <c r="M7" s="698" t="n">
        <v>34548.56</v>
      </c>
      <c r="N7" s="698" t="n">
        <v>29486.72</v>
      </c>
      <c r="O7" s="698" t="n">
        <v>14020.55</v>
      </c>
      <c r="P7" s="698" t="n">
        <v>30007.64</v>
      </c>
      <c r="Q7" s="698" t="n">
        <v>8977.48</v>
      </c>
      <c r="R7" s="698" t="n">
        <v>30690.56</v>
      </c>
      <c r="S7" s="698" t="n">
        <v>36831.85</v>
      </c>
      <c r="T7" s="698" t="n">
        <v>39363.39</v>
      </c>
      <c r="U7" s="698" t="n">
        <v>20480.65</v>
      </c>
      <c r="V7" s="698" t="n">
        <v>21256.85</v>
      </c>
      <c r="W7" s="698" t="n">
        <v>31309.91</v>
      </c>
      <c r="X7" s="698" t="n">
        <v>68992.88</v>
      </c>
      <c r="Y7" s="698" t="n">
        <v>41553.88</v>
      </c>
      <c r="Z7" s="698" t="n">
        <v>65724.60000000001</v>
      </c>
      <c r="AA7" s="698" t="n">
        <v>70103</v>
      </c>
      <c r="AB7" s="698" t="n">
        <v>73793.16</v>
      </c>
      <c r="AC7" s="698" t="n">
        <v>36264.88</v>
      </c>
      <c r="AD7" s="698" t="n">
        <v>77093.60000000001</v>
      </c>
      <c r="AE7" s="698" t="n">
        <v>77157.78</v>
      </c>
      <c r="AF7" s="698" t="n">
        <v>77375.47</v>
      </c>
      <c r="AG7" s="698" t="n">
        <v>78828.98</v>
      </c>
      <c r="AH7" s="698" t="n">
        <v>73145.77</v>
      </c>
      <c r="AI7" s="698" t="n">
        <v>79857.58</v>
      </c>
      <c r="AJ7" s="698" t="n">
        <v>107785.37</v>
      </c>
      <c r="AK7" s="698" t="n">
        <v>85294.45</v>
      </c>
      <c r="AL7" s="698" t="n">
        <v>85384.56</v>
      </c>
      <c r="AM7" s="698" t="n">
        <v>98537.17999999999</v>
      </c>
      <c r="AN7" s="698" t="n">
        <v>35803</v>
      </c>
      <c r="AO7" s="698" t="n">
        <v>7793.75</v>
      </c>
      <c r="AP7" s="698" t="n">
        <v>41617.1</v>
      </c>
      <c r="AQ7" s="698" t="n">
        <v>0</v>
      </c>
      <c r="AR7" s="698" t="n">
        <v>0</v>
      </c>
      <c r="AS7" s="698" t="n">
        <v>0</v>
      </c>
      <c r="AT7" s="698" t="n">
        <v>0</v>
      </c>
      <c r="AU7" s="698" t="n">
        <v>0</v>
      </c>
      <c r="AV7" s="698" t="n">
        <v>0</v>
      </c>
      <c r="AW7" s="698" t="n">
        <v>0</v>
      </c>
      <c r="AX7" s="698" t="n">
        <v>0</v>
      </c>
      <c r="AY7" s="698" t="n">
        <v>0</v>
      </c>
      <c r="AZ7" s="698" t="n">
        <v>0</v>
      </c>
      <c r="BA7" s="698" t="n">
        <v>0</v>
      </c>
    </row>
    <row r="8">
      <c r="A8" s="688" t="n"/>
      <c r="B8" s="688" t="n"/>
      <c r="C8" s="688" t="n"/>
      <c r="D8" s="688" t="n"/>
      <c r="E8" s="688" t="n"/>
      <c r="F8" s="688" t="n"/>
      <c r="G8" s="45" t="inlineStr">
        <is>
          <t>Delta Cost</t>
        </is>
      </c>
      <c r="H8" s="697" t="n">
        <v>-44224.07</v>
      </c>
      <c r="I8" s="698" t="n">
        <v>0</v>
      </c>
      <c r="J8" s="698" t="n">
        <v>-5943.2</v>
      </c>
      <c r="K8" s="698" t="n">
        <v>-2803.5</v>
      </c>
      <c r="L8" s="698" t="n">
        <v>-3421.04</v>
      </c>
      <c r="M8" s="698" t="n">
        <v>453.09</v>
      </c>
      <c r="N8" s="698" t="n">
        <v>-45.73</v>
      </c>
      <c r="O8" s="698" t="n">
        <v>776.3</v>
      </c>
      <c r="P8" s="698" t="n">
        <v>-482.07</v>
      </c>
      <c r="Q8" s="698" t="n">
        <v>-2453.26</v>
      </c>
      <c r="R8" s="698" t="n">
        <v>197.66</v>
      </c>
      <c r="S8" s="698" t="n">
        <v>1930.98</v>
      </c>
      <c r="T8" s="698" t="n">
        <v>-1955.03</v>
      </c>
      <c r="U8" s="698" t="n">
        <v>-4545.47</v>
      </c>
      <c r="V8" s="698" t="n">
        <v>20.8</v>
      </c>
      <c r="W8" s="698" t="n">
        <v>2573.24</v>
      </c>
      <c r="X8" s="698" t="n">
        <v>-17567.65</v>
      </c>
      <c r="Y8" s="698" t="n">
        <v>-1475.53</v>
      </c>
      <c r="Z8" s="698" t="n">
        <v>-1922.24</v>
      </c>
      <c r="AA8" s="698" t="n">
        <v>-2264.23</v>
      </c>
      <c r="AB8" s="698" t="n">
        <v>-3619.93</v>
      </c>
      <c r="AC8" s="698" t="n">
        <v>-1677.29</v>
      </c>
      <c r="AD8" s="698" t="n">
        <v>-14491.26</v>
      </c>
      <c r="AE8" s="698" t="n">
        <v>-3949.63</v>
      </c>
      <c r="AF8" s="698" t="n">
        <v>-2583.06</v>
      </c>
      <c r="AG8" s="698" t="n">
        <v>-12130.63</v>
      </c>
      <c r="AH8" s="698" t="n">
        <v>-1.37</v>
      </c>
      <c r="AI8" s="698" t="n">
        <v>4761.58</v>
      </c>
      <c r="AJ8" s="698" t="n">
        <v>14089.39</v>
      </c>
      <c r="AK8" s="698" t="n">
        <v>1777.08</v>
      </c>
      <c r="AL8" s="698" t="n">
        <v>-2388.83</v>
      </c>
      <c r="AM8" s="698" t="n">
        <v>-10141.85</v>
      </c>
      <c r="AN8" s="698" t="n">
        <v>-2515.07</v>
      </c>
      <c r="AO8" s="698" t="n">
        <v>531.28</v>
      </c>
      <c r="AP8" s="698" t="n">
        <v>-41617.1</v>
      </c>
      <c r="AQ8" s="698" t="n">
        <v>0</v>
      </c>
      <c r="AR8" s="698" t="n">
        <v>0</v>
      </c>
      <c r="AS8" s="698" t="n">
        <v>0</v>
      </c>
      <c r="AT8" s="698" t="n">
        <v>0</v>
      </c>
      <c r="AU8" s="698" t="n">
        <v>0</v>
      </c>
      <c r="AV8" s="698" t="n">
        <v>0</v>
      </c>
      <c r="AW8" s="698" t="n">
        <v>0</v>
      </c>
      <c r="AX8" s="698" t="n">
        <v>0</v>
      </c>
      <c r="AY8" s="698" t="n">
        <v>0</v>
      </c>
      <c r="AZ8" s="698" t="n">
        <v>0</v>
      </c>
      <c r="BA8" s="698" t="n">
        <v>0</v>
      </c>
    </row>
    <row r="9" ht="15" customHeight="1" s="564" thickBot="1">
      <c r="B9" s="1" t="inlineStr">
        <is>
          <t>Client</t>
        </is>
      </c>
      <c r="C9" s="1" t="inlineStr">
        <is>
          <t>SG</t>
        </is>
      </c>
      <c r="D9" s="1" t="inlineStr">
        <is>
          <t>Contract</t>
        </is>
      </c>
      <c r="E9" s="1" t="inlineStr">
        <is>
          <t>WBS</t>
        </is>
      </c>
      <c r="F9" s="1" t="inlineStr">
        <is>
          <t>Description</t>
        </is>
      </c>
      <c r="G9" s="1" t="inlineStr">
        <is>
          <t>Cost Type</t>
        </is>
      </c>
      <c r="H9" s="1" t="inlineStr">
        <is>
          <t>Amount</t>
        </is>
      </c>
      <c r="I9" s="4" t="inlineStr">
        <is>
          <t>Before 2024</t>
        </is>
      </c>
      <c r="J9" s="4" t="n">
        <v>45292</v>
      </c>
      <c r="K9" s="8" t="n">
        <v>45323</v>
      </c>
      <c r="L9" s="4" t="n">
        <v>45352</v>
      </c>
      <c r="M9" s="4" t="n">
        <v>45383</v>
      </c>
      <c r="N9" s="4" t="n">
        <v>45413</v>
      </c>
      <c r="O9" s="4" t="n">
        <v>45444</v>
      </c>
      <c r="P9" s="4" t="n">
        <v>45474</v>
      </c>
      <c r="Q9" s="8" t="n">
        <v>45505</v>
      </c>
      <c r="R9" s="4" t="n">
        <v>45536</v>
      </c>
      <c r="S9" s="4" t="n">
        <v>45566</v>
      </c>
      <c r="T9" s="4" t="n">
        <v>45597</v>
      </c>
      <c r="U9" s="4" t="n">
        <v>45627</v>
      </c>
      <c r="V9" s="4" t="n">
        <v>45658</v>
      </c>
      <c r="W9" s="8" t="n">
        <v>45689</v>
      </c>
      <c r="X9" s="4" t="n">
        <v>45717</v>
      </c>
      <c r="Y9" s="8" t="n">
        <v>45748</v>
      </c>
      <c r="Z9" s="4" t="n">
        <v>45778</v>
      </c>
      <c r="AA9" s="8" t="n">
        <v>45809</v>
      </c>
      <c r="AB9" s="4" t="n">
        <v>45839</v>
      </c>
      <c r="AC9" s="8" t="n">
        <v>45870</v>
      </c>
      <c r="AD9" s="8" t="n">
        <v>45901</v>
      </c>
      <c r="AE9" s="8" t="n">
        <v>45931</v>
      </c>
      <c r="AF9" s="8" t="n">
        <v>45962</v>
      </c>
      <c r="AG9" s="8" t="n">
        <v>45992</v>
      </c>
      <c r="AH9" s="8" t="n">
        <v>46023</v>
      </c>
      <c r="AI9" s="8" t="n">
        <v>46054</v>
      </c>
      <c r="AJ9" s="8" t="n">
        <v>46082</v>
      </c>
      <c r="AK9" s="8" t="n">
        <v>46113</v>
      </c>
      <c r="AL9" s="8" t="n">
        <v>46143</v>
      </c>
      <c r="AM9" s="8" t="n">
        <v>46174</v>
      </c>
      <c r="AN9" s="8" t="n">
        <v>46204</v>
      </c>
      <c r="AO9" s="8" t="n">
        <v>46235</v>
      </c>
      <c r="AP9" s="8" t="n">
        <v>46266</v>
      </c>
      <c r="AQ9" s="8" t="n">
        <v>46296</v>
      </c>
      <c r="AR9" s="8" t="n">
        <v>46327</v>
      </c>
      <c r="AS9" s="8" t="n">
        <v>46357</v>
      </c>
      <c r="AT9" s="8" t="n">
        <v>46388</v>
      </c>
      <c r="AU9" s="8" t="n">
        <v>46419</v>
      </c>
      <c r="AV9" s="8" t="n">
        <v>46447</v>
      </c>
      <c r="AW9" s="8" t="n">
        <v>46478</v>
      </c>
      <c r="AX9" s="8" t="n">
        <v>46508</v>
      </c>
      <c r="AY9" s="8" t="n">
        <v>46539</v>
      </c>
      <c r="AZ9" s="8" t="n">
        <v>46569</v>
      </c>
      <c r="BA9" s="8" t="n">
        <v>46600</v>
      </c>
    </row>
    <row r="10">
      <c r="B10" s="38" t="inlineStr">
        <is>
          <t>BetaCredit</t>
        </is>
      </c>
      <c r="C10" s="36" t="inlineStr">
        <is>
          <t>IMS</t>
        </is>
      </c>
      <c r="D10" s="36" t="n">
        <v>9915583648</v>
      </c>
      <c r="E10" s="35" t="inlineStr">
        <is>
          <t>BJRYD001</t>
        </is>
      </c>
      <c r="F10" s="35" t="inlineStr">
        <is>
          <t>CHG Accenture Italia</t>
        </is>
      </c>
      <c r="G10" s="50" t="inlineStr">
        <is>
          <t>Forecast Revenues</t>
        </is>
      </c>
      <c r="H10" s="700" t="n">
        <v>1058876.31</v>
      </c>
      <c r="I10" s="701" t="n">
        <v>82805.46000000001</v>
      </c>
      <c r="J10" s="702" t="n">
        <v>18085.67</v>
      </c>
      <c r="K10" s="702" t="n">
        <v>28085.13</v>
      </c>
      <c r="L10" s="702" t="n">
        <v>42564.96</v>
      </c>
      <c r="M10" s="702" t="n">
        <v>24627.28</v>
      </c>
      <c r="N10" s="702" t="n">
        <v>24627.28</v>
      </c>
      <c r="O10" s="703" t="n">
        <v>8695.040000000001</v>
      </c>
      <c r="P10" s="703" t="n">
        <v>33910.78</v>
      </c>
      <c r="Q10" s="703" t="n">
        <v>8695.040000000001</v>
      </c>
      <c r="R10" s="703" t="n">
        <v>42062.22</v>
      </c>
      <c r="S10" s="702" t="n">
        <v>9021.09</v>
      </c>
      <c r="T10" s="702" t="n">
        <v>20651</v>
      </c>
      <c r="U10" s="702" t="n">
        <v>0</v>
      </c>
      <c r="V10" s="701" t="n">
        <v>17940.82</v>
      </c>
      <c r="W10" s="701" t="n">
        <v>17926.18</v>
      </c>
      <c r="X10" s="704" t="n">
        <v>49284.44</v>
      </c>
      <c r="Y10" s="705" t="n">
        <v>49284.44</v>
      </c>
      <c r="Z10" s="706" t="n">
        <v>94751.63</v>
      </c>
      <c r="AA10" s="706" t="n">
        <v>91161.17</v>
      </c>
      <c r="AB10" s="701" t="n">
        <v>19430.12</v>
      </c>
      <c r="AC10" s="704" t="n">
        <v>0</v>
      </c>
      <c r="AD10" s="705" t="n">
        <v>6521.28</v>
      </c>
      <c r="AE10" s="701" t="n">
        <v>25040.13</v>
      </c>
      <c r="AF10" s="707" t="n">
        <v>30913.35</v>
      </c>
      <c r="AG10" s="708" t="n">
        <v>54933.36</v>
      </c>
      <c r="AH10" s="709" t="n">
        <v>23557.81</v>
      </c>
      <c r="AI10" s="710" t="n">
        <v>43352.87</v>
      </c>
      <c r="AJ10" s="708" t="n">
        <v>22923.83</v>
      </c>
      <c r="AK10" s="711" t="n">
        <v>87811.21000000001</v>
      </c>
      <c r="AL10" s="712" t="n">
        <v>71835.75999999999</v>
      </c>
      <c r="AM10" s="713" t="n">
        <v>8377.540000000001</v>
      </c>
      <c r="AN10" s="851" t="n"/>
      <c r="AO10" s="714" t="n"/>
      <c r="AP10" s="345" t="n"/>
      <c r="AQ10" s="346" t="n"/>
      <c r="AR10" s="347" t="n"/>
      <c r="AS10" s="345" t="n"/>
      <c r="AT10" s="346" t="n"/>
      <c r="AU10" s="347" t="n"/>
      <c r="AV10" s="345" t="n"/>
      <c r="AW10" s="346" t="n"/>
      <c r="AX10" s="347" t="n"/>
      <c r="AY10" s="355" t="n"/>
      <c r="AZ10" s="346" t="n"/>
      <c r="BA10" s="347" t="n"/>
    </row>
    <row r="11" ht="15" customHeight="1" s="564" thickBot="1">
      <c r="B11" s="715" t="n"/>
      <c r="C11" s="716" t="n"/>
      <c r="D11" s="716" t="n"/>
      <c r="E11" s="716" t="n"/>
      <c r="F11" s="716" t="n"/>
      <c r="G11" s="45" t="inlineStr">
        <is>
          <t>Forecast Costs</t>
        </is>
      </c>
      <c r="H11" s="717" t="n">
        <v>692018.34</v>
      </c>
      <c r="I11" s="706" t="n">
        <v>55124.63</v>
      </c>
      <c r="J11" s="718" t="n">
        <v>16046.58</v>
      </c>
      <c r="K11" s="718" t="n">
        <v>19191.41</v>
      </c>
      <c r="L11" s="718" t="n">
        <v>21565.61</v>
      </c>
      <c r="M11" s="718" t="n">
        <v>16575.83</v>
      </c>
      <c r="N11" s="718" t="n">
        <v>24787.16</v>
      </c>
      <c r="O11" s="718" t="n">
        <v>6378.63</v>
      </c>
      <c r="P11" s="718" t="n">
        <v>22549.14</v>
      </c>
      <c r="Q11" s="718" t="n">
        <v>6524.22</v>
      </c>
      <c r="R11" s="718" t="n">
        <v>21074.81</v>
      </c>
      <c r="S11" s="718" t="n">
        <v>5831.36</v>
      </c>
      <c r="T11" s="718" t="n">
        <v>11235.1</v>
      </c>
      <c r="U11" s="718" t="n">
        <v>0</v>
      </c>
      <c r="V11" s="706" t="n">
        <v>7925.26</v>
      </c>
      <c r="W11" s="706" t="n">
        <v>11072.36</v>
      </c>
      <c r="X11" s="719" t="n">
        <v>22263.27</v>
      </c>
      <c r="Y11" s="713" t="n">
        <v>40078.35</v>
      </c>
      <c r="Z11" s="706" t="n">
        <v>52122.01</v>
      </c>
      <c r="AA11" s="706" t="n">
        <v>62920.35</v>
      </c>
      <c r="AB11" s="706" t="n">
        <v>14001.72</v>
      </c>
      <c r="AC11" s="719" t="n">
        <v>814</v>
      </c>
      <c r="AD11" s="713" t="n">
        <v>3954.1</v>
      </c>
      <c r="AE11" s="706" t="n">
        <v>9962.959999999999</v>
      </c>
      <c r="AF11" s="720" t="n">
        <v>20959.44</v>
      </c>
      <c r="AG11" s="721" t="n">
        <v>36859.71</v>
      </c>
      <c r="AH11" s="722" t="n">
        <v>18594.05</v>
      </c>
      <c r="AI11" s="723" t="n">
        <v>27012.8</v>
      </c>
      <c r="AJ11" s="724" t="n">
        <v>33451.66</v>
      </c>
      <c r="AK11" s="725" t="n">
        <v>35803</v>
      </c>
      <c r="AL11" s="726" t="n">
        <v>49219.87</v>
      </c>
      <c r="AM11" s="713" t="n">
        <v>18119.44</v>
      </c>
      <c r="AN11" s="852" t="n"/>
      <c r="AO11" s="727" t="n"/>
      <c r="AP11" s="728" t="n">
        <v>0</v>
      </c>
      <c r="AQ11" s="727" t="n">
        <v>0</v>
      </c>
      <c r="AR11" s="729" t="n">
        <v>0</v>
      </c>
      <c r="AS11" s="728" t="n">
        <v>0</v>
      </c>
      <c r="AT11" s="727" t="n">
        <v>0</v>
      </c>
      <c r="AU11" s="729" t="n">
        <v>0</v>
      </c>
      <c r="AV11" s="728" t="n">
        <v>0</v>
      </c>
      <c r="AW11" s="727" t="n">
        <v>0</v>
      </c>
      <c r="AX11" s="729" t="n">
        <v>0</v>
      </c>
      <c r="AY11" s="730" t="n">
        <v>0</v>
      </c>
      <c r="AZ11" s="727" t="n">
        <v>0</v>
      </c>
      <c r="BA11" s="729" t="n">
        <v>0</v>
      </c>
    </row>
    <row r="12">
      <c r="B12" s="715" t="n"/>
      <c r="C12" s="716" t="n"/>
      <c r="D12" s="716" t="n"/>
      <c r="E12" s="716" t="n"/>
      <c r="F12" s="716" t="n"/>
      <c r="G12" s="45" t="inlineStr">
        <is>
          <t>Actual Revenues</t>
        </is>
      </c>
      <c r="H12" s="717" t="n">
        <v>1058876.58</v>
      </c>
      <c r="I12" s="706" t="n">
        <v>82805.46000000001</v>
      </c>
      <c r="J12" s="718" t="n">
        <v>18085.67</v>
      </c>
      <c r="K12" s="718" t="n">
        <v>28084.96</v>
      </c>
      <c r="L12" s="718" t="n">
        <v>42564.95</v>
      </c>
      <c r="M12" s="718" t="n">
        <v>24627.27</v>
      </c>
      <c r="N12" s="718" t="n">
        <v>24627.28</v>
      </c>
      <c r="O12" s="731" t="n">
        <v>8695.040000000001</v>
      </c>
      <c r="P12" s="718" t="n">
        <v>33910.78</v>
      </c>
      <c r="Q12" s="718" t="n">
        <v>8695.040000000001</v>
      </c>
      <c r="R12" s="731" t="n">
        <v>42062.22</v>
      </c>
      <c r="S12" s="718" t="n">
        <v>9021.09</v>
      </c>
      <c r="T12" s="718" t="n">
        <v>20651</v>
      </c>
      <c r="U12" s="718" t="n"/>
      <c r="V12" s="701" t="n">
        <v>17940.83</v>
      </c>
      <c r="W12" s="706" t="n">
        <v>17926.18</v>
      </c>
      <c r="X12" s="732" t="n">
        <v>49284.44</v>
      </c>
      <c r="Y12" s="713" t="n">
        <v>49284.44</v>
      </c>
      <c r="Z12" s="706" t="n">
        <v>94751.63</v>
      </c>
      <c r="AA12" s="706" t="n">
        <v>91161.17</v>
      </c>
      <c r="AB12" s="706" t="n">
        <v>19430.12</v>
      </c>
      <c r="AC12" s="719" t="n"/>
      <c r="AD12" s="713" t="n">
        <v>6521.28</v>
      </c>
      <c r="AE12" s="706" t="n">
        <v>25040.13</v>
      </c>
      <c r="AF12" s="720" t="n">
        <v>30913.35</v>
      </c>
      <c r="AG12" s="733" t="n">
        <v>54933.36</v>
      </c>
      <c r="AH12" s="722" t="n">
        <v>23557.81</v>
      </c>
      <c r="AI12" s="723" t="n">
        <v>43352.87</v>
      </c>
      <c r="AJ12" s="724" t="n">
        <v>22923.83</v>
      </c>
      <c r="AK12" s="725" t="n">
        <v>87811.21000000001</v>
      </c>
      <c r="AL12" s="726" t="n">
        <v>71835.75999999999</v>
      </c>
      <c r="AM12" s="713" t="n">
        <v>8377.540000000001</v>
      </c>
      <c r="AN12" s="852" t="n"/>
      <c r="AO12" s="727" t="n"/>
      <c r="AP12" s="728" t="n"/>
      <c r="AQ12" s="727" t="n"/>
      <c r="AR12" s="729" t="n"/>
      <c r="AS12" s="728" t="n"/>
      <c r="AT12" s="727" t="n"/>
      <c r="AU12" s="729" t="n"/>
      <c r="AV12" s="728" t="n"/>
      <c r="AW12" s="727" t="n"/>
      <c r="AX12" s="729" t="n"/>
      <c r="AY12" s="730" t="n"/>
      <c r="AZ12" s="727" t="n"/>
      <c r="BA12" s="729" t="n"/>
    </row>
    <row r="13">
      <c r="B13" s="715" t="n"/>
      <c r="C13" s="716" t="n"/>
      <c r="D13" s="716" t="n"/>
      <c r="E13" s="716" t="n"/>
      <c r="F13" s="716" t="n"/>
      <c r="G13" s="45" t="inlineStr">
        <is>
          <t>Actual Cost</t>
        </is>
      </c>
      <c r="H13" s="717" t="n">
        <v>702647.54</v>
      </c>
      <c r="I13" s="706" t="n">
        <v>55124.63</v>
      </c>
      <c r="J13" s="718" t="n">
        <v>16319</v>
      </c>
      <c r="K13" s="718" t="n">
        <v>19367.86</v>
      </c>
      <c r="L13" s="718" t="n">
        <v>22270.27</v>
      </c>
      <c r="M13" s="718" t="n">
        <v>11878.38</v>
      </c>
      <c r="N13" s="718" t="n">
        <v>24832.89</v>
      </c>
      <c r="O13" s="718" t="n">
        <v>6691.57</v>
      </c>
      <c r="P13" s="718" t="n">
        <v>22549.14</v>
      </c>
      <c r="Q13" s="718" t="n">
        <v>8000.28</v>
      </c>
      <c r="R13" s="718" t="n">
        <v>21083.06</v>
      </c>
      <c r="S13" s="718" t="n">
        <v>6274.7</v>
      </c>
      <c r="T13" s="718" t="n">
        <v>13190.13</v>
      </c>
      <c r="U13" s="718" t="n">
        <v>830.27</v>
      </c>
      <c r="V13" s="706" t="n">
        <v>8599.959999999999</v>
      </c>
      <c r="W13" s="706" t="n">
        <v>8779.98</v>
      </c>
      <c r="X13" s="165" t="n">
        <v>41349.32</v>
      </c>
      <c r="Y13" s="713" t="n">
        <v>41349.32</v>
      </c>
      <c r="Z13" s="706" t="n">
        <v>53808.8</v>
      </c>
      <c r="AA13" s="706" t="n">
        <v>60596.08</v>
      </c>
      <c r="AB13" s="706" t="n">
        <v>19107.49</v>
      </c>
      <c r="AC13" s="719" t="n">
        <v>2791.1</v>
      </c>
      <c r="AD13" s="713" t="n">
        <v>3597.13</v>
      </c>
      <c r="AE13" s="706" t="n">
        <v>12022.76</v>
      </c>
      <c r="AF13" s="720" t="n">
        <v>20469.75</v>
      </c>
      <c r="AG13" s="733" t="n">
        <v>38241.73</v>
      </c>
      <c r="AH13" s="722" t="n">
        <v>16600.4</v>
      </c>
      <c r="AI13" s="723" t="n">
        <v>26025.22</v>
      </c>
      <c r="AJ13" s="733" t="n">
        <v>31652.15</v>
      </c>
      <c r="AK13" s="734" t="n">
        <v>31405.83</v>
      </c>
      <c r="AL13" s="721" t="n">
        <v>50466.33</v>
      </c>
      <c r="AM13" s="713" t="n">
        <v>19033.5</v>
      </c>
      <c r="AN13" s="852" t="n"/>
      <c r="AO13" s="727" t="n"/>
      <c r="AP13" s="728" t="n">
        <v>41617.1</v>
      </c>
      <c r="AQ13" s="727" t="n">
        <v>0</v>
      </c>
      <c r="AR13" s="729" t="n">
        <v>0</v>
      </c>
      <c r="AS13" s="728" t="n">
        <v>0</v>
      </c>
      <c r="AT13" s="727" t="n">
        <v>0</v>
      </c>
      <c r="AU13" s="729" t="n">
        <v>0</v>
      </c>
      <c r="AV13" s="728" t="n">
        <v>0</v>
      </c>
      <c r="AW13" s="727" t="n">
        <v>0</v>
      </c>
      <c r="AX13" s="729" t="n">
        <v>0</v>
      </c>
      <c r="AY13" s="730" t="n">
        <v>0</v>
      </c>
      <c r="AZ13" s="727" t="n">
        <v>0</v>
      </c>
      <c r="BA13" s="729" t="n">
        <v>0</v>
      </c>
    </row>
    <row r="14">
      <c r="B14" s="715" t="n"/>
      <c r="C14" s="716" t="n"/>
      <c r="D14" s="716" t="n"/>
      <c r="E14" s="716" t="n"/>
      <c r="F14" s="716" t="n"/>
      <c r="G14" s="45" t="inlineStr">
        <is>
          <t>Forecast CCI %</t>
        </is>
      </c>
      <c r="H14" s="735" t="n">
        <v>0.3464596982001318</v>
      </c>
      <c r="I14" s="736" t="n">
        <v>0.3342875007701635</v>
      </c>
      <c r="J14" s="737" t="n">
        <v>0.1127462492902602</v>
      </c>
      <c r="K14" s="737" t="n">
        <v>0.3166702109844493</v>
      </c>
      <c r="L14" s="737" t="n">
        <v>0.4933481653163291</v>
      </c>
      <c r="M14" s="737" t="n">
        <v>0.3269320487150513</v>
      </c>
      <c r="N14" s="737" t="n">
        <v>-0.006492080169696409</v>
      </c>
      <c r="O14" s="737" t="n">
        <v>0.2664049486234068</v>
      </c>
      <c r="P14" s="737" t="n">
        <v>0.3350452551661916</v>
      </c>
      <c r="Q14" s="737" t="n">
        <v>0.249661232663909</v>
      </c>
      <c r="R14" s="737" t="n">
        <v>0.498961165382858</v>
      </c>
      <c r="S14" s="737" t="n">
        <v>0.3535858927524467</v>
      </c>
      <c r="T14" s="737" t="n">
        <v>0.4559508254856378</v>
      </c>
      <c r="U14" s="737" t="n">
        <v>0</v>
      </c>
      <c r="V14" s="736" t="n">
        <v>0.5582553422122644</v>
      </c>
      <c r="W14" s="736" t="n">
        <v>0.3823357257033503</v>
      </c>
      <c r="X14" s="738" t="n">
        <v>0.5482697326262805</v>
      </c>
      <c r="Y14" s="739" t="n">
        <v>0.1867949763335408</v>
      </c>
      <c r="Z14" s="736" t="n">
        <v>0.4499090882976448</v>
      </c>
      <c r="AA14" s="736" t="n">
        <v>0.3097900210656859</v>
      </c>
      <c r="AB14" s="736" t="n">
        <v>0.2793806220531307</v>
      </c>
      <c r="AC14" s="738" t="n">
        <v>0</v>
      </c>
      <c r="AD14" s="739" t="n">
        <v>0.3936623681271719</v>
      </c>
      <c r="AE14" s="736" t="n">
        <v>0.6021204185334172</v>
      </c>
      <c r="AF14" s="740" t="n">
        <v>0.3219938148655381</v>
      </c>
      <c r="AG14" s="741" t="n">
        <v>0.3290105047238522</v>
      </c>
      <c r="AH14" s="742" t="n">
        <v>0.2107055013096054</v>
      </c>
      <c r="AI14" s="743" t="n">
        <v>0.3769085351009944</v>
      </c>
      <c r="AJ14" s="741" t="n">
        <v>-0.4592526570387838</v>
      </c>
      <c r="AK14" s="744" t="n">
        <v>0.5922752846080677</v>
      </c>
      <c r="AL14" s="745" t="n">
        <v>0.3148277270160627</v>
      </c>
      <c r="AM14" s="739" t="n">
        <v>-0.95</v>
      </c>
      <c r="AN14" s="853" t="n"/>
      <c r="AO14" s="746" t="n"/>
      <c r="AP14" s="747" t="n">
        <v>0</v>
      </c>
      <c r="AQ14" s="746" t="n">
        <v>0</v>
      </c>
      <c r="AR14" s="748" t="n">
        <v>0</v>
      </c>
      <c r="AS14" s="747" t="n">
        <v>0</v>
      </c>
      <c r="AT14" s="746" t="n">
        <v>0</v>
      </c>
      <c r="AU14" s="748" t="n">
        <v>0</v>
      </c>
      <c r="AV14" s="747" t="n">
        <v>0</v>
      </c>
      <c r="AW14" s="746" t="n">
        <v>0</v>
      </c>
      <c r="AX14" s="748" t="n">
        <v>0</v>
      </c>
      <c r="AY14" s="749" t="n">
        <v>0</v>
      </c>
      <c r="AZ14" s="746" t="n">
        <v>0</v>
      </c>
      <c r="BA14" s="748" t="n">
        <v>0</v>
      </c>
    </row>
    <row r="15">
      <c r="B15" s="715" t="n"/>
      <c r="C15" s="716" t="n"/>
      <c r="D15" s="716" t="n"/>
      <c r="E15" s="716" t="n"/>
      <c r="F15" s="716" t="n"/>
      <c r="G15" s="45" t="inlineStr">
        <is>
          <t>Actual CCI%</t>
        </is>
      </c>
      <c r="H15" s="735" t="n">
        <v>0.336421680159774</v>
      </c>
      <c r="I15" s="736" t="n">
        <v>0.3342875007701635</v>
      </c>
      <c r="J15" s="737" t="n">
        <v>0.09768357174286864</v>
      </c>
      <c r="K15" s="737" t="n">
        <v>0.3103833014680808</v>
      </c>
      <c r="L15" s="737" t="n">
        <v>0.4767932247468332</v>
      </c>
      <c r="M15" s="737" t="n">
        <v>0.5176735845983205</v>
      </c>
      <c r="N15" s="737" t="n">
        <v>-0.00834899457473459</v>
      </c>
      <c r="O15" s="737" t="n">
        <v>0.2304151305939251</v>
      </c>
      <c r="P15" s="737" t="n">
        <v>0.3350452551661916</v>
      </c>
      <c r="Q15" s="737" t="n">
        <v>0.07990230024892846</v>
      </c>
      <c r="R15" s="737" t="n">
        <v>0.4987650055501239</v>
      </c>
      <c r="S15" s="737" t="n">
        <v>0.3044405363116006</v>
      </c>
      <c r="T15" s="737" t="n">
        <v>0.3612804287008943</v>
      </c>
      <c r="U15" s="737" t="n">
        <v>0</v>
      </c>
      <c r="V15" s="736" t="n">
        <v>0.5206484989537816</v>
      </c>
      <c r="W15" s="736" t="n">
        <v>0.510214836688575</v>
      </c>
      <c r="X15" s="738" t="n">
        <v>0.1610065081473089</v>
      </c>
      <c r="Y15" s="739" t="n">
        <v>0.1610065081473089</v>
      </c>
      <c r="Z15" s="736" t="n">
        <v>0.432106831523322</v>
      </c>
      <c r="AA15" s="736" t="n">
        <v>0.3352862714753313</v>
      </c>
      <c r="AB15" s="736" t="n">
        <v>0.01660481804477727</v>
      </c>
      <c r="AC15" s="738" t="n">
        <v>0</v>
      </c>
      <c r="AD15" s="739" t="n">
        <v>0.4484006812779577</v>
      </c>
      <c r="AE15" s="736" t="n">
        <v>0.519860319882547</v>
      </c>
      <c r="AF15" s="740" t="n">
        <v>0.3378347396718546</v>
      </c>
      <c r="AG15" s="741" t="n">
        <v>0.3038523739538306</v>
      </c>
      <c r="AH15" s="742" t="n">
        <v>0.2953335357410176</v>
      </c>
      <c r="AI15" s="743" t="n">
        <v>0.3996886935470824</v>
      </c>
      <c r="AJ15" s="741" t="n">
        <v>-0.3807528945057459</v>
      </c>
      <c r="AK15" s="744" t="n">
        <v>0.6423483275641831</v>
      </c>
      <c r="AL15" s="745" t="n">
        <v>0.2974761236185738</v>
      </c>
      <c r="AM15" s="739" t="n">
        <v>-1.04</v>
      </c>
      <c r="AN15" s="853" t="n"/>
      <c r="AO15" s="746" t="n"/>
      <c r="AP15" s="747" t="n">
        <v>0</v>
      </c>
      <c r="AQ15" s="746" t="n">
        <v>0</v>
      </c>
      <c r="AR15" s="748" t="n">
        <v>0</v>
      </c>
      <c r="AS15" s="747" t="n">
        <v>0</v>
      </c>
      <c r="AT15" s="746" t="n">
        <v>0</v>
      </c>
      <c r="AU15" s="748" t="n">
        <v>0</v>
      </c>
      <c r="AV15" s="747" t="n">
        <v>0</v>
      </c>
      <c r="AW15" s="746" t="n">
        <v>0</v>
      </c>
      <c r="AX15" s="748" t="n">
        <v>0</v>
      </c>
      <c r="AY15" s="749" t="n">
        <v>0</v>
      </c>
      <c r="AZ15" s="746" t="n">
        <v>0</v>
      </c>
      <c r="BA15" s="748" t="n">
        <v>0</v>
      </c>
    </row>
    <row r="16" ht="15" customHeight="1" s="564" thickBot="1">
      <c r="B16" s="750" t="n"/>
      <c r="C16" s="751" t="n"/>
      <c r="D16" s="751" t="n"/>
      <c r="E16" s="751" t="n"/>
      <c r="F16" s="751" t="n"/>
      <c r="G16" s="229" t="inlineStr">
        <is>
          <t>Delta Cost</t>
        </is>
      </c>
      <c r="H16" s="752" t="n">
        <v>-10629.2</v>
      </c>
      <c r="I16" s="753" t="n">
        <v>0</v>
      </c>
      <c r="J16" s="754" t="n">
        <v>-272.42</v>
      </c>
      <c r="K16" s="754" t="n">
        <v>-176.45</v>
      </c>
      <c r="L16" s="754" t="n">
        <v>-704.66</v>
      </c>
      <c r="M16" s="754" t="n">
        <v>4697.45</v>
      </c>
      <c r="N16" s="754" t="n">
        <v>-45.73</v>
      </c>
      <c r="O16" s="754" t="n">
        <v>-312.93</v>
      </c>
      <c r="P16" s="754" t="n">
        <v>0</v>
      </c>
      <c r="Q16" s="754" t="n">
        <v>-1476.06</v>
      </c>
      <c r="R16" s="754" t="n">
        <v>-8.25</v>
      </c>
      <c r="S16" s="754" t="n">
        <v>-443.34</v>
      </c>
      <c r="T16" s="754" t="n">
        <v>-1955.03</v>
      </c>
      <c r="U16" s="754" t="n">
        <v>-830.27</v>
      </c>
      <c r="V16" s="755" t="n">
        <v>-674.7</v>
      </c>
      <c r="W16" s="755" t="n">
        <v>2292.38</v>
      </c>
      <c r="X16" s="756" t="n">
        <v>-19086.05</v>
      </c>
      <c r="Y16" s="757" t="n">
        <v>-1270.97</v>
      </c>
      <c r="Z16" s="755" t="n">
        <v>-1686.79</v>
      </c>
      <c r="AA16" s="755" t="n">
        <v>2324.27</v>
      </c>
      <c r="AB16" s="755" t="n">
        <v>-5105.77</v>
      </c>
      <c r="AC16" s="756" t="n">
        <v>-1977.4</v>
      </c>
      <c r="AD16" s="757" t="n">
        <v>356.96</v>
      </c>
      <c r="AE16" s="755" t="n">
        <v>-2059.8</v>
      </c>
      <c r="AF16" s="758" t="n">
        <v>489.7</v>
      </c>
      <c r="AG16" s="759" t="n">
        <v>-1382.02</v>
      </c>
      <c r="AH16" s="760" t="n">
        <v>1993.65</v>
      </c>
      <c r="AI16" s="761" t="n">
        <v>987.59</v>
      </c>
      <c r="AJ16" s="759" t="n">
        <v>1799.52</v>
      </c>
      <c r="AK16" s="762" t="n">
        <v>4396.97</v>
      </c>
      <c r="AL16" s="763" t="n">
        <v>-1246.47</v>
      </c>
      <c r="AM16" s="764" t="n">
        <v>-914.0599999999999</v>
      </c>
      <c r="AN16" s="854" t="n"/>
      <c r="AO16" s="765" t="n"/>
      <c r="AP16" s="766" t="n">
        <v>-41617.1</v>
      </c>
      <c r="AQ16" s="765" t="n">
        <v>0</v>
      </c>
      <c r="AR16" s="767" t="n">
        <v>0</v>
      </c>
      <c r="AS16" s="766" t="n">
        <v>0</v>
      </c>
      <c r="AT16" s="765" t="n">
        <v>0</v>
      </c>
      <c r="AU16" s="767" t="n">
        <v>0</v>
      </c>
      <c r="AV16" s="766" t="n">
        <v>0</v>
      </c>
      <c r="AW16" s="765" t="n">
        <v>0</v>
      </c>
      <c r="AX16" s="767" t="n">
        <v>0</v>
      </c>
      <c r="AY16" s="768" t="n">
        <v>0</v>
      </c>
      <c r="AZ16" s="765" t="n">
        <v>0</v>
      </c>
      <c r="BA16" s="767" t="n">
        <v>0</v>
      </c>
    </row>
    <row r="17">
      <c r="B17" s="38" t="inlineStr">
        <is>
          <t>AlphaBank</t>
        </is>
      </c>
      <c r="C17" s="36" t="inlineStr">
        <is>
          <t>IMS</t>
        </is>
      </c>
      <c r="D17" s="36" t="n">
        <v>9997412455</v>
      </c>
      <c r="E17" s="35" t="inlineStr">
        <is>
          <t>BGTY8001</t>
        </is>
      </c>
      <c r="F17" s="35" t="inlineStr">
        <is>
          <t>CHG Accenture Italia</t>
        </is>
      </c>
      <c r="G17" s="50" t="inlineStr">
        <is>
          <t>Forecast Revenues</t>
        </is>
      </c>
      <c r="H17" s="700" t="n">
        <v>1817547.21</v>
      </c>
      <c r="I17" s="701" t="n">
        <v>277570.82</v>
      </c>
      <c r="J17" s="702" t="n">
        <v>43076.13</v>
      </c>
      <c r="K17" s="702" t="n">
        <v>33814.6</v>
      </c>
      <c r="L17" s="702" t="n">
        <v>24050.21</v>
      </c>
      <c r="M17" s="702" t="n">
        <v>25733.86</v>
      </c>
      <c r="N17" s="702" t="n">
        <v>27248.97</v>
      </c>
      <c r="O17" s="702" t="n">
        <v>9652.35</v>
      </c>
      <c r="P17" s="702" t="n">
        <v>9652.35</v>
      </c>
      <c r="Q17" s="702" t="n">
        <v>0</v>
      </c>
      <c r="R17" s="702" t="n">
        <v>15533.8</v>
      </c>
      <c r="S17" s="702" t="n">
        <v>56999.95</v>
      </c>
      <c r="T17" s="702" t="n">
        <v>39046.88</v>
      </c>
      <c r="U17" s="702" t="n">
        <v>23513.13</v>
      </c>
      <c r="V17" s="701" t="n">
        <v>32762.06</v>
      </c>
      <c r="W17" s="701" t="n">
        <v>36485.89</v>
      </c>
      <c r="X17" s="704" t="n">
        <v>36485.88</v>
      </c>
      <c r="Y17" s="705" t="n"/>
      <c r="Z17" s="701" t="n">
        <v>13253.29</v>
      </c>
      <c r="AA17" s="704" t="n">
        <v>10580.63</v>
      </c>
      <c r="AB17" s="705" t="n">
        <v>37221.13</v>
      </c>
      <c r="AC17" s="769" t="n">
        <v>63398.3</v>
      </c>
      <c r="AD17" s="770" t="n">
        <v>108569.53</v>
      </c>
      <c r="AE17" s="701" t="n">
        <v>130382.41</v>
      </c>
      <c r="AF17" s="707" t="n">
        <v>90746.44</v>
      </c>
      <c r="AG17" s="708" t="n">
        <v>50871.94</v>
      </c>
      <c r="AH17" s="709" t="n">
        <v>92339.78</v>
      </c>
      <c r="AI17" s="771" t="n">
        <v>103898.21</v>
      </c>
      <c r="AJ17" s="772" t="n">
        <v>101814.97</v>
      </c>
      <c r="AK17" s="773" t="n">
        <v>84487.67999999999</v>
      </c>
      <c r="AL17" s="774" t="n">
        <v>66144.03999999999</v>
      </c>
      <c r="AM17" s="775" t="n">
        <v>80282.86</v>
      </c>
      <c r="AN17" s="855" t="n">
        <v>81348.48</v>
      </c>
      <c r="AO17" s="777" t="n">
        <v>10580.63</v>
      </c>
      <c r="AP17" s="778" t="n">
        <v>10581.45</v>
      </c>
      <c r="AQ17" s="777" t="n">
        <v>10582.26</v>
      </c>
      <c r="AR17" s="779" t="n">
        <v>10583.08</v>
      </c>
      <c r="AS17" s="778" t="n">
        <v>10583.89</v>
      </c>
      <c r="AT17" s="777" t="n">
        <v>10584.7</v>
      </c>
      <c r="AU17" s="779" t="n">
        <v>10585.52</v>
      </c>
      <c r="AV17" s="778" t="n">
        <v>10586.33</v>
      </c>
      <c r="AW17" s="777" t="n">
        <v>10587.14</v>
      </c>
      <c r="AX17" s="779" t="n">
        <v>10587.96</v>
      </c>
      <c r="AY17" s="856" t="n">
        <v>10588.77</v>
      </c>
      <c r="AZ17" s="777" t="n">
        <v>10589.59</v>
      </c>
      <c r="BA17" s="779" t="n">
        <v>10590.4</v>
      </c>
    </row>
    <row r="18">
      <c r="B18" s="715" t="n"/>
      <c r="C18" s="716" t="n"/>
      <c r="D18" s="716" t="n"/>
      <c r="E18" s="716" t="n"/>
      <c r="F18" s="716" t="n"/>
      <c r="G18" s="45" t="inlineStr">
        <is>
          <t>Forecast Costs</t>
        </is>
      </c>
      <c r="H18" s="717" t="n">
        <v>1125177.64</v>
      </c>
      <c r="I18" s="706" t="n">
        <v>171481.08</v>
      </c>
      <c r="J18" s="718" t="n">
        <v>35722.43</v>
      </c>
      <c r="K18" s="718" t="n">
        <v>23777.49</v>
      </c>
      <c r="L18" s="718" t="n">
        <v>14795.57</v>
      </c>
      <c r="M18" s="718" t="n">
        <v>18425.82</v>
      </c>
      <c r="N18" s="718" t="n">
        <v>4653.83</v>
      </c>
      <c r="O18" s="718" t="n">
        <v>6632.24</v>
      </c>
      <c r="P18" s="718" t="n">
        <v>6976.44</v>
      </c>
      <c r="Q18" s="718" t="n">
        <v>0</v>
      </c>
      <c r="R18" s="718" t="n">
        <v>9813.42</v>
      </c>
      <c r="S18" s="718" t="n">
        <v>32931.48</v>
      </c>
      <c r="T18" s="718" t="n">
        <v>26173.26</v>
      </c>
      <c r="U18" s="718" t="n">
        <v>15935.18</v>
      </c>
      <c r="V18" s="706" t="n">
        <v>13352.38</v>
      </c>
      <c r="W18" s="706" t="n">
        <v>22810.79</v>
      </c>
      <c r="X18" s="719" t="n">
        <v>29161.96</v>
      </c>
      <c r="Y18" s="713" t="n">
        <v>0</v>
      </c>
      <c r="Z18" s="706" t="n">
        <v>11680.35</v>
      </c>
      <c r="AA18" s="719" t="n">
        <v>4918.12</v>
      </c>
      <c r="AB18" s="713" t="n">
        <v>56171.51</v>
      </c>
      <c r="AC18" s="719" t="n">
        <v>33773.9</v>
      </c>
      <c r="AD18" s="713" t="n">
        <v>58648.25</v>
      </c>
      <c r="AE18" s="706" t="n">
        <v>61691.76</v>
      </c>
      <c r="AF18" s="720" t="n">
        <v>52279.54</v>
      </c>
      <c r="AG18" s="724" t="n">
        <v>28285.21</v>
      </c>
      <c r="AH18" s="722" t="n">
        <v>52996.92</v>
      </c>
      <c r="AI18" s="723" t="n">
        <v>56052.94</v>
      </c>
      <c r="AJ18" s="733" t="n">
        <v>86869.67</v>
      </c>
      <c r="AK18" s="722" t="n">
        <v>49715.31</v>
      </c>
      <c r="AL18" s="721" t="n">
        <v>32222.43</v>
      </c>
      <c r="AM18" s="780" t="n">
        <v>68722.47</v>
      </c>
      <c r="AN18" s="727" t="n">
        <v>31734</v>
      </c>
      <c r="AO18" s="727" t="n">
        <v>6771.61</v>
      </c>
      <c r="AP18" s="728" t="n">
        <v>0</v>
      </c>
      <c r="AQ18" s="727" t="n">
        <v>0</v>
      </c>
      <c r="AR18" s="729" t="n">
        <v>0</v>
      </c>
      <c r="AS18" s="728" t="n">
        <v>0</v>
      </c>
      <c r="AT18" s="727" t="n">
        <v>0</v>
      </c>
      <c r="AU18" s="729" t="n">
        <v>0</v>
      </c>
      <c r="AV18" s="728" t="n">
        <v>0</v>
      </c>
      <c r="AW18" s="727" t="n">
        <v>0</v>
      </c>
      <c r="AX18" s="729" t="n">
        <v>0</v>
      </c>
      <c r="AY18" s="730" t="n">
        <v>0</v>
      </c>
      <c r="AZ18" s="727" t="n">
        <v>0</v>
      </c>
      <c r="BA18" s="729" t="n">
        <v>0</v>
      </c>
    </row>
    <row r="19">
      <c r="B19" s="715" t="n"/>
      <c r="C19" s="716" t="n"/>
      <c r="D19" s="716" t="n"/>
      <c r="E19" s="716" t="n"/>
      <c r="F19" s="716" t="n"/>
      <c r="G19" s="45" t="inlineStr">
        <is>
          <t>Actual Revenues</t>
        </is>
      </c>
      <c r="H19" s="717" t="n">
        <v>1809410.22</v>
      </c>
      <c r="I19" s="706" t="n">
        <v>277570.82</v>
      </c>
      <c r="J19" s="718" t="n">
        <v>43076.13</v>
      </c>
      <c r="K19" s="718" t="n">
        <v>33814.6</v>
      </c>
      <c r="L19" s="718" t="n">
        <v>24050.21</v>
      </c>
      <c r="M19" s="718" t="n">
        <v>17596.85</v>
      </c>
      <c r="N19" s="718" t="n">
        <v>27248.96</v>
      </c>
      <c r="O19" s="718" t="n">
        <v>9652.110000000001</v>
      </c>
      <c r="P19" s="718" t="n">
        <v>9652.35</v>
      </c>
      <c r="Q19" s="718" t="n">
        <v>0</v>
      </c>
      <c r="R19" s="718" t="n">
        <v>15533.8</v>
      </c>
      <c r="S19" s="718" t="n">
        <v>57000.23</v>
      </c>
      <c r="T19" s="718" t="n">
        <v>39046.88</v>
      </c>
      <c r="U19" s="718" t="n">
        <v>23513.13</v>
      </c>
      <c r="V19" s="706" t="n">
        <v>32762.06</v>
      </c>
      <c r="W19" s="706" t="n">
        <v>36485.89</v>
      </c>
      <c r="X19" s="732" t="n">
        <v>36485.88</v>
      </c>
      <c r="Y19" s="713" t="n"/>
      <c r="Z19" s="776" t="n">
        <v>13253.29</v>
      </c>
      <c r="AA19" s="719" t="n">
        <v>10580.63</v>
      </c>
      <c r="AB19" s="713" t="n">
        <v>37221.13</v>
      </c>
      <c r="AC19" s="719" t="n">
        <v>63398.3</v>
      </c>
      <c r="AD19" s="713" t="n">
        <v>108569.53</v>
      </c>
      <c r="AE19" s="706" t="n">
        <v>130382.41</v>
      </c>
      <c r="AF19" s="720" t="n">
        <v>90746.44</v>
      </c>
      <c r="AG19" s="733" t="n">
        <v>50871.94</v>
      </c>
      <c r="AH19" s="722" t="n">
        <v>92339.78</v>
      </c>
      <c r="AI19" s="771" t="n">
        <v>103898.21</v>
      </c>
      <c r="AJ19" s="733" t="n">
        <v>101814.97</v>
      </c>
      <c r="AK19" s="781" t="n">
        <v>84487.67999999999</v>
      </c>
      <c r="AL19" s="774" t="n">
        <v>66144.03999999999</v>
      </c>
      <c r="AM19" s="713" t="n">
        <v>80282.86</v>
      </c>
      <c r="AN19" s="852" t="n">
        <v>81348.48</v>
      </c>
      <c r="AO19" s="727" t="n">
        <v>10580.63</v>
      </c>
      <c r="AP19" s="728" t="n"/>
      <c r="AQ19" s="727" t="n"/>
      <c r="AR19" s="729" t="n"/>
      <c r="AS19" s="728" t="n"/>
      <c r="AT19" s="727" t="n"/>
      <c r="AU19" s="729" t="n"/>
      <c r="AV19" s="728" t="n"/>
      <c r="AW19" s="727" t="n"/>
      <c r="AX19" s="729" t="n"/>
      <c r="AY19" s="730" t="n"/>
      <c r="AZ19" s="727" t="n"/>
      <c r="BA19" s="729" t="n"/>
    </row>
    <row r="20">
      <c r="B20" s="715" t="n"/>
      <c r="C20" s="716" t="n"/>
      <c r="D20" s="716" t="n"/>
      <c r="E20" s="716" t="n"/>
      <c r="F20" s="716" t="n"/>
      <c r="G20" s="45" t="inlineStr">
        <is>
          <t>Actual Cost</t>
        </is>
      </c>
      <c r="H20" s="717" t="n">
        <v>1193027.08</v>
      </c>
      <c r="I20" s="706" t="n">
        <v>171481.08</v>
      </c>
      <c r="J20" s="718" t="n">
        <v>41393.21</v>
      </c>
      <c r="K20" s="718" t="n">
        <v>26404.54</v>
      </c>
      <c r="L20" s="718" t="n">
        <v>17511.96</v>
      </c>
      <c r="M20" s="718" t="n">
        <v>22670.18</v>
      </c>
      <c r="N20" s="718" t="n">
        <v>4653.83</v>
      </c>
      <c r="O20" s="718" t="n">
        <v>7328.98</v>
      </c>
      <c r="P20" s="718" t="n">
        <v>7458.5</v>
      </c>
      <c r="Q20" s="718" t="n">
        <v>977.2</v>
      </c>
      <c r="R20" s="718" t="n">
        <v>9607.5</v>
      </c>
      <c r="S20" s="718" t="n">
        <v>30557.15</v>
      </c>
      <c r="T20" s="718" t="n">
        <v>26173.26</v>
      </c>
      <c r="U20" s="718" t="n">
        <v>19650.38</v>
      </c>
      <c r="V20" s="706" t="n">
        <v>12656.88</v>
      </c>
      <c r="W20" s="706" t="n">
        <v>22529.93</v>
      </c>
      <c r="X20" s="165" t="n">
        <v>27643.56</v>
      </c>
      <c r="Y20" s="713" t="n">
        <v>204.56</v>
      </c>
      <c r="Z20" s="706" t="n">
        <v>11915.8</v>
      </c>
      <c r="AA20" s="719" t="n">
        <v>9506.610000000001</v>
      </c>
      <c r="AB20" s="713" t="n">
        <v>54685.67</v>
      </c>
      <c r="AC20" s="719" t="n">
        <v>33473.79</v>
      </c>
      <c r="AD20" s="713" t="n">
        <v>73496.47</v>
      </c>
      <c r="AE20" s="706" t="n">
        <v>65135.02</v>
      </c>
      <c r="AF20" s="720" t="n">
        <v>56905.73</v>
      </c>
      <c r="AG20" s="724" t="n">
        <v>40587.25</v>
      </c>
      <c r="AH20" s="722" t="n">
        <v>56545.37</v>
      </c>
      <c r="AI20" s="723" t="n">
        <v>53832.37</v>
      </c>
      <c r="AJ20" s="724" t="n">
        <v>76133.22</v>
      </c>
      <c r="AK20" s="722" t="n">
        <v>53888.63</v>
      </c>
      <c r="AL20" s="721" t="n">
        <v>34918.23</v>
      </c>
      <c r="AM20" s="780" t="n">
        <v>79503.67999999999</v>
      </c>
      <c r="AN20" s="727" t="n">
        <v>35803</v>
      </c>
      <c r="AO20" s="727" t="n">
        <v>7793.75</v>
      </c>
      <c r="AP20" s="728" t="n">
        <v>0</v>
      </c>
      <c r="AQ20" s="727" t="n">
        <v>0</v>
      </c>
      <c r="AR20" s="729" t="n">
        <v>0</v>
      </c>
      <c r="AS20" s="728" t="n">
        <v>0</v>
      </c>
      <c r="AT20" s="727" t="n">
        <v>0</v>
      </c>
      <c r="AU20" s="729" t="n">
        <v>0</v>
      </c>
      <c r="AV20" s="728" t="n">
        <v>0</v>
      </c>
      <c r="AW20" s="727" t="n">
        <v>0</v>
      </c>
      <c r="AX20" s="729" t="n">
        <v>0</v>
      </c>
      <c r="AY20" s="730" t="n">
        <v>0</v>
      </c>
      <c r="AZ20" s="727" t="n">
        <v>0</v>
      </c>
      <c r="BA20" s="729" t="n">
        <v>0</v>
      </c>
    </row>
    <row r="21">
      <c r="B21" s="715" t="n"/>
      <c r="C21" s="716" t="n"/>
      <c r="D21" s="716" t="n"/>
      <c r="E21" s="716" t="n"/>
      <c r="F21" s="716" t="n"/>
      <c r="G21" s="45" t="inlineStr">
        <is>
          <t>Forecast CCI %</t>
        </is>
      </c>
      <c r="H21" s="735" t="n">
        <v>0.3809362228879292</v>
      </c>
      <c r="I21" s="736" t="n">
        <v>0.3822078101661104</v>
      </c>
      <c r="J21" s="737" t="n">
        <v>0.1707140481074393</v>
      </c>
      <c r="K21" s="737" t="n">
        <v>0.2968275308440851</v>
      </c>
      <c r="L21" s="737" t="n">
        <v>0.3848048151681857</v>
      </c>
      <c r="M21" s="737" t="n">
        <v>0.2839853499033856</v>
      </c>
      <c r="N21" s="737" t="n">
        <v>0.8292108781335731</v>
      </c>
      <c r="O21" s="737" t="n">
        <v>0.3128887315276127</v>
      </c>
      <c r="P21" s="737" t="n">
        <v>0.2772289330306376</v>
      </c>
      <c r="Q21" s="737" t="n">
        <v>0</v>
      </c>
      <c r="R21" s="737" t="n">
        <v>0.3682539798945331</v>
      </c>
      <c r="S21" s="737" t="n">
        <v>0.4222542706080042</v>
      </c>
      <c r="T21" s="737" t="n">
        <v>0.3296963624595253</v>
      </c>
      <c r="U21" s="737" t="n">
        <v>0.3222859745243033</v>
      </c>
      <c r="V21" s="736" t="n">
        <v>0.5924436710861839</v>
      </c>
      <c r="W21" s="736" t="n">
        <v>0.3748053111219596</v>
      </c>
      <c r="X21" s="738" t="n">
        <v>0.2007330147450417</v>
      </c>
      <c r="Y21" s="739" t="n">
        <v>0</v>
      </c>
      <c r="Z21" s="736" t="n">
        <v>0.1186831281783972</v>
      </c>
      <c r="AA21" s="738" t="n">
        <v>0.5351775324604912</v>
      </c>
      <c r="AB21" s="739" t="n">
        <v>-0.509129625346446</v>
      </c>
      <c r="AC21" s="738" t="n">
        <v>0.4672744594943039</v>
      </c>
      <c r="AD21" s="739" t="n">
        <v>0.4598093578974807</v>
      </c>
      <c r="AE21" s="736" t="n">
        <v>0.5268398700126147</v>
      </c>
      <c r="AF21" s="740" t="n">
        <v>0.4238943064950958</v>
      </c>
      <c r="AG21" s="741" t="n">
        <v>0.4439919173733285</v>
      </c>
      <c r="AH21" s="742" t="n">
        <v>0.4260661758626036</v>
      </c>
      <c r="AI21" s="743" t="n">
        <v>0.4605014099743201</v>
      </c>
      <c r="AJ21" s="741" t="n">
        <v>0.1467888504166851</v>
      </c>
      <c r="AK21" s="744" t="n">
        <v>0.4115673776600614</v>
      </c>
      <c r="AL21" s="745" t="n">
        <v>0.5128445473406005</v>
      </c>
      <c r="AM21" s="739" t="n">
        <v>0.1439957248822897</v>
      </c>
      <c r="AN21" s="853" t="n">
        <v>0.6098968177082839</v>
      </c>
      <c r="AO21" s="746" t="n">
        <v>0.36</v>
      </c>
      <c r="AP21" s="747" t="n">
        <v>1</v>
      </c>
      <c r="AQ21" s="746" t="n">
        <v>1</v>
      </c>
      <c r="AR21" s="748" t="n">
        <v>1</v>
      </c>
      <c r="AS21" s="747" t="n">
        <v>1</v>
      </c>
      <c r="AT21" s="746" t="n">
        <v>1</v>
      </c>
      <c r="AU21" s="748" t="n">
        <v>1</v>
      </c>
      <c r="AV21" s="747" t="n">
        <v>1</v>
      </c>
      <c r="AW21" s="746" t="n">
        <v>1</v>
      </c>
      <c r="AX21" s="748" t="n">
        <v>1</v>
      </c>
      <c r="AY21" s="749" t="n">
        <v>1</v>
      </c>
      <c r="AZ21" s="746" t="n">
        <v>1</v>
      </c>
      <c r="BA21" s="748" t="n">
        <v>1</v>
      </c>
    </row>
    <row r="22">
      <c r="B22" s="715" t="n"/>
      <c r="C22" s="716" t="n"/>
      <c r="D22" s="716" t="n"/>
      <c r="E22" s="716" t="n"/>
      <c r="F22" s="716" t="n"/>
      <c r="G22" s="45" t="inlineStr">
        <is>
          <t>Actual CCI%</t>
        </is>
      </c>
      <c r="H22" s="735" t="n">
        <v>0.3406541724384685</v>
      </c>
      <c r="I22" s="736" t="n">
        <v>0.3822078101661104</v>
      </c>
      <c r="J22" s="737" t="n">
        <v>0.03906847537873593</v>
      </c>
      <c r="K22" s="737" t="n">
        <v>0.2191378070241085</v>
      </c>
      <c r="L22" s="737" t="n">
        <v>0.2718584004926142</v>
      </c>
      <c r="M22" s="737" t="n">
        <v>-0.288309013526486</v>
      </c>
      <c r="N22" s="737" t="n">
        <v>0.8292108271330506</v>
      </c>
      <c r="O22" s="737" t="n">
        <v>0.2406862251276673</v>
      </c>
      <c r="P22" s="737" t="n">
        <v>0.2272857938897128</v>
      </c>
      <c r="Q22" s="737" t="n">
        <v>0</v>
      </c>
      <c r="R22" s="737" t="n">
        <v>0.381509905800476</v>
      </c>
      <c r="S22" s="737" t="n">
        <v>0.4639117658360212</v>
      </c>
      <c r="T22" s="737" t="n">
        <v>0.3296963624595253</v>
      </c>
      <c r="U22" s="737" t="n">
        <v>0.1642804541440228</v>
      </c>
      <c r="V22" s="736" t="n">
        <v>0.6136725291936258</v>
      </c>
      <c r="W22" s="736" t="n">
        <v>0.3825030124116041</v>
      </c>
      <c r="X22" s="738" t="n">
        <v>0.2423491530231841</v>
      </c>
      <c r="Y22" s="739" t="n">
        <v>0</v>
      </c>
      <c r="Z22" s="736" t="n">
        <v>0.1009179324999433</v>
      </c>
      <c r="AA22" s="738" t="n">
        <v>0.101508369340731</v>
      </c>
      <c r="AB22" s="739" t="n">
        <v>-0.4692104113716922</v>
      </c>
      <c r="AC22" s="738" t="n">
        <v>0.4720081639138528</v>
      </c>
      <c r="AD22" s="739" t="n">
        <v>0.3230470329164312</v>
      </c>
      <c r="AE22" s="736" t="n">
        <v>0.5004309634390353</v>
      </c>
      <c r="AF22" s="740" t="n">
        <v>0.3729150754434816</v>
      </c>
      <c r="AG22" s="741" t="n">
        <v>0.2021681951551585</v>
      </c>
      <c r="AH22" s="742" t="n">
        <v>0.3876380046801832</v>
      </c>
      <c r="AI22" s="743" t="n">
        <v>0.4818739581467731</v>
      </c>
      <c r="AJ22" s="741" t="n">
        <v>0.252239413895007</v>
      </c>
      <c r="AK22" s="744" t="n">
        <v>0.3621717921110345</v>
      </c>
      <c r="AL22" s="745" t="n">
        <v>0.4720880986177602</v>
      </c>
      <c r="AM22" s="739" t="n">
        <v>0.009705368576871213</v>
      </c>
      <c r="AN22" s="853" t="n">
        <v>0.5598835892093459</v>
      </c>
      <c r="AO22" s="746" t="n">
        <v>0.2633946865808693</v>
      </c>
      <c r="AP22" s="747" t="n">
        <v>0</v>
      </c>
      <c r="AQ22" s="746" t="n">
        <v>0</v>
      </c>
      <c r="AR22" s="748" t="n">
        <v>0</v>
      </c>
      <c r="AS22" s="747" t="n">
        <v>0</v>
      </c>
      <c r="AT22" s="746" t="n">
        <v>0</v>
      </c>
      <c r="AU22" s="748" t="n">
        <v>0</v>
      </c>
      <c r="AV22" s="747" t="n">
        <v>0</v>
      </c>
      <c r="AW22" s="746" t="n">
        <v>0</v>
      </c>
      <c r="AX22" s="748" t="n">
        <v>0</v>
      </c>
      <c r="AY22" s="749" t="n">
        <v>0</v>
      </c>
      <c r="AZ22" s="746" t="n">
        <v>0</v>
      </c>
      <c r="BA22" s="748" t="n">
        <v>0</v>
      </c>
    </row>
    <row r="23" ht="15" customHeight="1" s="564" thickBot="1">
      <c r="B23" s="750" t="n"/>
      <c r="C23" s="751" t="n"/>
      <c r="D23" s="751" t="n"/>
      <c r="E23" s="751" t="n"/>
      <c r="F23" s="751" t="n"/>
      <c r="G23" s="229" t="inlineStr">
        <is>
          <t>Delta Cost</t>
        </is>
      </c>
      <c r="H23" s="752" t="n">
        <v>-67849.44</v>
      </c>
      <c r="I23" s="753" t="n">
        <v>0</v>
      </c>
      <c r="J23" s="754" t="n">
        <v>-5670.78</v>
      </c>
      <c r="K23" s="754" t="n">
        <v>-2627.05</v>
      </c>
      <c r="L23" s="754" t="n">
        <v>-2716.38</v>
      </c>
      <c r="M23" s="754" t="n">
        <v>-4244.36</v>
      </c>
      <c r="N23" s="754" t="n">
        <v>0</v>
      </c>
      <c r="O23" s="754" t="n">
        <v>-696.74</v>
      </c>
      <c r="P23" s="754" t="n">
        <v>-482.07</v>
      </c>
      <c r="Q23" s="754" t="n">
        <v>-977.2</v>
      </c>
      <c r="R23" s="754" t="n">
        <v>205.91</v>
      </c>
      <c r="S23" s="754" t="n">
        <v>2374.33</v>
      </c>
      <c r="T23" s="754" t="n">
        <v>0</v>
      </c>
      <c r="U23" s="754" t="n">
        <v>-3715.2</v>
      </c>
      <c r="V23" s="755" t="n">
        <v>695.5</v>
      </c>
      <c r="W23" s="755" t="n">
        <v>280.86</v>
      </c>
      <c r="X23" s="756" t="n">
        <v>1518.4</v>
      </c>
      <c r="Y23" s="764" t="n">
        <v>-204.56</v>
      </c>
      <c r="Z23" s="753" t="n">
        <v>-235.45</v>
      </c>
      <c r="AA23" s="782" t="n">
        <v>-4588.49</v>
      </c>
      <c r="AB23" s="764" t="n">
        <v>1485.84</v>
      </c>
      <c r="AC23" s="782" t="n">
        <v>300.11</v>
      </c>
      <c r="AD23" s="764" t="n">
        <v>-14848.22</v>
      </c>
      <c r="AE23" s="753" t="n">
        <v>-3443.26</v>
      </c>
      <c r="AF23" s="783" t="n">
        <v>-4626.18</v>
      </c>
      <c r="AG23" s="759" t="n">
        <v>-12302.04</v>
      </c>
      <c r="AH23" s="760" t="n">
        <v>-3548.45</v>
      </c>
      <c r="AI23" s="761" t="n">
        <v>2220.57</v>
      </c>
      <c r="AJ23" s="759" t="n">
        <v>10736.45</v>
      </c>
      <c r="AK23" s="762" t="n">
        <v>-4173.32</v>
      </c>
      <c r="AL23" s="763" t="n">
        <v>-2695.8</v>
      </c>
      <c r="AM23" s="764" t="n">
        <v>-10781.21</v>
      </c>
      <c r="AN23" s="854" t="n">
        <v>-4068</v>
      </c>
      <c r="AO23" s="765" t="n">
        <v>-1022.15</v>
      </c>
      <c r="AP23" s="766" t="n">
        <v>0</v>
      </c>
      <c r="AQ23" s="765" t="n">
        <v>0</v>
      </c>
      <c r="AR23" s="767" t="n">
        <v>0</v>
      </c>
      <c r="AS23" s="766" t="n">
        <v>0</v>
      </c>
      <c r="AT23" s="765" t="n">
        <v>0</v>
      </c>
      <c r="AU23" s="767" t="n">
        <v>0</v>
      </c>
      <c r="AV23" s="766" t="n">
        <v>0</v>
      </c>
      <c r="AW23" s="765" t="n">
        <v>0</v>
      </c>
      <c r="AX23" s="767" t="n">
        <v>0</v>
      </c>
      <c r="AY23" s="768" t="n">
        <v>0</v>
      </c>
      <c r="AZ23" s="765" t="n">
        <v>0</v>
      </c>
      <c r="BA23" s="767" t="n">
        <v>0</v>
      </c>
    </row>
    <row r="24" ht="29.5" customHeight="1" s="564" thickBot="1">
      <c r="A24" s="67" t="n"/>
      <c r="B24" s="38" t="inlineStr">
        <is>
          <t>AlphaBank</t>
        </is>
      </c>
      <c r="C24" s="36" t="n"/>
      <c r="D24" s="36" t="n"/>
      <c r="E24" s="35" t="inlineStr">
        <is>
          <t>BYSOX001</t>
        </is>
      </c>
      <c r="F24" s="191" t="inlineStr">
        <is>
          <t>DeltaCorp - Supporto Security Comitato Rischi</t>
        </is>
      </c>
      <c r="G24" s="68" t="inlineStr">
        <is>
          <t>Forecast Costs</t>
        </is>
      </c>
      <c r="H24" s="784" t="n">
        <v>17087.7</v>
      </c>
      <c r="I24" s="785" t="n"/>
      <c r="J24" s="786" t="n"/>
      <c r="K24" s="786" t="n"/>
      <c r="L24" s="786" t="n"/>
      <c r="M24" s="786" t="n"/>
      <c r="N24" s="786" t="n"/>
      <c r="O24" s="786" t="n"/>
      <c r="P24" s="786" t="n"/>
      <c r="Q24" s="786" t="n"/>
      <c r="R24" s="786" t="n"/>
      <c r="S24" s="787" t="n"/>
      <c r="T24" s="788" t="n"/>
      <c r="U24" s="789" t="n"/>
      <c r="V24" s="790" t="n"/>
      <c r="W24" s="791" t="n"/>
      <c r="X24" s="790" t="n"/>
      <c r="Y24" s="792" t="n"/>
      <c r="Z24" s="785" t="n"/>
      <c r="AA24" s="785" t="n"/>
      <c r="AB24" s="785" t="n"/>
      <c r="AC24" s="793" t="n"/>
      <c r="AD24" s="794" t="n"/>
      <c r="AE24" s="795" t="n">
        <v>1553.43</v>
      </c>
      <c r="AF24" s="796" t="n">
        <v>1553.43</v>
      </c>
      <c r="AG24" s="797" t="n">
        <v>1553.43</v>
      </c>
      <c r="AH24" s="798" t="n">
        <v>1553.43</v>
      </c>
      <c r="AI24" s="799" t="n">
        <v>1553.43</v>
      </c>
      <c r="AJ24" s="800" t="n">
        <v>1553.43</v>
      </c>
      <c r="AK24" s="798" t="n">
        <v>1553.43</v>
      </c>
      <c r="AL24" s="801" t="n">
        <v>1553.43</v>
      </c>
      <c r="AM24" s="802" t="n">
        <v>1553.43</v>
      </c>
      <c r="AN24" s="803" t="n">
        <v>1553.43</v>
      </c>
      <c r="AO24" s="803" t="n">
        <v>1553.43</v>
      </c>
      <c r="AP24" s="352" t="n"/>
      <c r="AQ24" s="353" t="n"/>
      <c r="AR24" s="354" t="n"/>
      <c r="AS24" s="352" t="n"/>
      <c r="AT24" s="353" t="n"/>
      <c r="AU24" s="354" t="n"/>
      <c r="AV24" s="352" t="n"/>
      <c r="AW24" s="353" t="n"/>
      <c r="AX24" s="354" t="n"/>
      <c r="AY24" s="360" t="n"/>
      <c r="AZ24" s="353" t="n"/>
      <c r="BA24" s="354" t="n"/>
    </row>
    <row r="25">
      <c r="N25" s="688" t="n"/>
      <c r="O25" s="579" t="inlineStr">
        <is>
          <t xml:space="preserve"> </t>
        </is>
      </c>
    </row>
    <row r="26">
      <c r="N26" s="688" t="n"/>
      <c r="AJ26" s="596" t="n"/>
      <c r="AM26" s="605" t="n"/>
    </row>
    <row r="27">
      <c r="C27" s="130" t="n"/>
      <c r="D27" s="130" t="n"/>
      <c r="E27" s="130" t="n"/>
      <c r="F27" s="130" t="n"/>
      <c r="G27" s="130" t="n"/>
      <c r="AJ27" s="596" t="n"/>
    </row>
    <row r="28">
      <c r="C28" s="804" t="n"/>
      <c r="E28" s="804" t="n"/>
      <c r="G28" s="643" t="n"/>
      <c r="H28" s="643" t="n"/>
      <c r="R28" s="579" t="n">
        <v>138036.4</v>
      </c>
    </row>
    <row r="29">
      <c r="C29" s="805" t="n"/>
      <c r="G29" s="643" t="n"/>
      <c r="H29" s="643" t="n"/>
      <c r="J29" s="596" t="n"/>
      <c r="R29" s="596" t="n">
        <v>184968.78</v>
      </c>
      <c r="W29" s="806" t="n"/>
      <c r="X29" s="688" t="n"/>
      <c r="Y29" s="806" t="n"/>
      <c r="Z29" s="688" t="n"/>
    </row>
    <row r="30">
      <c r="H30" s="688" t="n">
        <v>356229.04</v>
      </c>
      <c r="V30" s="597" t="n"/>
      <c r="W30" s="806" t="n"/>
      <c r="X30" s="688" t="n"/>
      <c r="Y30" s="806" t="n"/>
      <c r="Z30" s="688" t="n"/>
      <c r="AP30" s="596" t="n">
        <v>1042564.32</v>
      </c>
    </row>
    <row r="31">
      <c r="H31" s="688" t="n">
        <v>616383.14</v>
      </c>
      <c r="V31" s="597" t="n"/>
      <c r="AB31" s="657" t="n"/>
      <c r="AD31" s="657" t="n"/>
    </row>
    <row r="32">
      <c r="F32" s="130" t="n"/>
      <c r="H32" s="688" t="n">
        <v>972612.1800000001</v>
      </c>
      <c r="O32" s="806" t="e">
        <v>#REF!</v>
      </c>
      <c r="P32" s="579" t="n">
        <v>16718</v>
      </c>
      <c r="AM32" s="688" t="n">
        <v>-69952.14</v>
      </c>
    </row>
    <row r="33">
      <c r="O33" s="688" t="e">
        <v>#REF!</v>
      </c>
      <c r="P33" s="596" t="n">
        <v>22402.5</v>
      </c>
    </row>
    <row r="34">
      <c r="A34" s="596" t="n"/>
      <c r="P34" s="579" t="n">
        <v>27259</v>
      </c>
    </row>
    <row r="35">
      <c r="A35" s="596" t="n"/>
    </row>
    <row r="36"/>
    <row r="37">
      <c r="A37" s="601" t="n"/>
    </row>
    <row r="38">
      <c r="A38" s="601" t="n"/>
    </row>
    <row r="39">
      <c r="A39" s="601" t="n"/>
      <c r="E39" s="145" t="n"/>
    </row>
    <row r="40">
      <c r="A40" s="601" t="n"/>
    </row>
    <row r="41">
      <c r="A41" s="601" t="n"/>
    </row>
    <row r="42">
      <c r="A42" s="601" t="n"/>
    </row>
    <row r="43">
      <c r="A43" s="601" t="n"/>
    </row>
    <row r="44">
      <c r="A44" s="601" t="n"/>
    </row>
    <row r="45">
      <c r="A45" s="601" t="n"/>
    </row>
    <row r="46">
      <c r="A46" s="601" t="n"/>
    </row>
    <row r="47">
      <c r="A47" s="601" t="n"/>
    </row>
    <row r="48">
      <c r="A48" s="601" t="n"/>
    </row>
    <row r="49">
      <c r="A49" s="601" t="n"/>
    </row>
  </sheetData>
  <autoFilter ref="A9:W25"/>
  <mergeCells count="26">
    <mergeCell ref="U2:W2"/>
    <mergeCell ref="AG2:AI2"/>
    <mergeCell ref="B10:B16"/>
    <mergeCell ref="F17:F23"/>
    <mergeCell ref="C17:C23"/>
    <mergeCell ref="AS2:AU2"/>
    <mergeCell ref="B2:C2"/>
    <mergeCell ref="AY2:BA2"/>
    <mergeCell ref="AD2:AF2"/>
    <mergeCell ref="AP2:AR2"/>
    <mergeCell ref="O2:Q2"/>
    <mergeCell ref="D10:D16"/>
    <mergeCell ref="AA2:AC2"/>
    <mergeCell ref="F10:F16"/>
    <mergeCell ref="R2:T2"/>
    <mergeCell ref="E17:E23"/>
    <mergeCell ref="L2:N2"/>
    <mergeCell ref="AM2:AO2"/>
    <mergeCell ref="X2:Z2"/>
    <mergeCell ref="AJ2:AL2"/>
    <mergeCell ref="I2:K2"/>
    <mergeCell ref="B17:B23"/>
    <mergeCell ref="D17:D23"/>
    <mergeCell ref="C10:C16"/>
    <mergeCell ref="E10:E16"/>
    <mergeCell ref="AV2:AX2"/>
  </mergeCells>
  <conditionalFormatting sqref="I1:W1">
    <cfRule type="cellIs" priority="1" operator="lessThan" dxfId="1">
      <formula>0</formula>
    </cfRule>
    <cfRule type="cellIs" priority="2" operator="greaterThan" dxfId="0">
      <formula>0</formula>
    </cfRule>
  </conditionalFormatting>
  <dataValidations count="1">
    <dataValidation sqref="B10 B17 B24" showDropDown="0" showInputMessage="1" showErrorMessage="1" allowBlank="1" type="list">
      <formula1>"BNL,Findomestic"</formula1>
    </dataValidation>
  </dataValidations>
  <pageMargins left="0.7" right="0.7" top="0.75" bottom="0.75" header="0.3" footer="0.3"/>
  <pageSetup orientation="portrait"/>
  <legacyDrawing xmlns:r="http://schemas.openxmlformats.org/officeDocument/2006/relationships" r:id="anysvml"/>
</worksheet>
</file>

<file path=xl/worksheets/sheet15.xml><?xml version="1.0" encoding="utf-8"?>
<worksheet xmlns="http://schemas.openxmlformats.org/spreadsheetml/2006/main">
  <sheetPr codeName="Sheet9">
    <outlinePr summaryBelow="1" summaryRight="1"/>
    <pageSetUpPr/>
  </sheetPr>
  <dimension ref="A1:BA49"/>
  <sheetViews>
    <sheetView zoomScale="70" zoomScaleNormal="70" workbookViewId="0">
      <pane xSplit="8" ySplit="9" topLeftCell="AM10" activePane="bottomRight" state="frozen"/>
      <selection activeCell="AN41" activeCellId="1" sqref="AN38 AN41"/>
      <selection pane="topRight" activeCell="AN41" activeCellId="1" sqref="AN38 AN41"/>
      <selection pane="bottomLeft" activeCell="AN41" activeCellId="1" sqref="AN38 AN41"/>
      <selection pane="bottomRight" activeCell="H15" activeCellId="1" sqref="H22 H15"/>
    </sheetView>
  </sheetViews>
  <sheetFormatPr baseColWidth="8" defaultColWidth="12.1796875" defaultRowHeight="14.5"/>
  <cols>
    <col width="16.1796875" customWidth="1" style="579" min="1" max="1"/>
    <col width="15.453125" customWidth="1" style="579" min="2" max="2"/>
    <col width="11.1796875" customWidth="1" style="579" min="3" max="3"/>
    <col width="13.81640625" customWidth="1" style="579" min="4" max="4"/>
    <col width="12.54296875" bestFit="1" customWidth="1" style="579" min="5" max="5"/>
    <col width="21.81640625" customWidth="1" style="579" min="6" max="6"/>
    <col width="20.1796875" customWidth="1" style="579" min="7" max="7"/>
    <col width="19.54296875" customWidth="1" style="579" min="8" max="8"/>
    <col hidden="1" width="18.1796875" customWidth="1" style="579" min="9" max="9"/>
    <col hidden="1" width="18.81640625" customWidth="1" style="579" min="10" max="10"/>
    <col hidden="1" width="18.54296875" customWidth="1" style="579" min="11" max="11"/>
    <col hidden="1" width="18.81640625" customWidth="1" style="579" min="12" max="12"/>
    <col hidden="1" width="20.81640625" customWidth="1" style="579" min="13" max="13"/>
    <col hidden="1" width="19.26953125" customWidth="1" style="579" min="14" max="14"/>
    <col hidden="1" width="18.1796875" customWidth="1" style="579" min="15" max="15"/>
    <col hidden="1" width="18.54296875" customWidth="1" style="579" min="16" max="16"/>
    <col hidden="1" width="19.1796875" customWidth="1" style="579" min="17" max="17"/>
    <col hidden="1" width="18.1796875" customWidth="1" style="579" min="18" max="18"/>
    <col hidden="1" width="20.453125" customWidth="1" style="579" min="19" max="19"/>
    <col hidden="1" width="18.81640625" customWidth="1" style="579" min="20" max="20"/>
    <col hidden="1" width="18.1796875" customWidth="1" style="579" min="21" max="21"/>
    <col hidden="1" width="18.81640625" customWidth="1" style="579" min="22" max="22"/>
    <col hidden="1" width="18.54296875" customWidth="1" style="579" min="23" max="23"/>
    <col hidden="1" width="12.54296875" customWidth="1" style="579" min="24" max="24"/>
    <col hidden="1" width="11" customWidth="1" style="579" min="25" max="25"/>
    <col hidden="1" width="12.1796875" customWidth="1" style="579" min="26" max="27"/>
    <col hidden="1" width="12" customWidth="1" style="579" min="28" max="28"/>
    <col hidden="1" width="12.81640625" customWidth="1" style="579" min="29" max="29"/>
    <col hidden="1" width="13.453125" customWidth="1" style="579" min="30" max="30"/>
    <col hidden="1" width="16.54296875" customWidth="1" style="579" min="31" max="31"/>
    <col hidden="1" width="13.54296875" customWidth="1" style="579" min="32" max="32"/>
    <col hidden="1" width="12.1796875" customWidth="1" style="579" min="33" max="34"/>
    <col hidden="1" style="579" min="35" max="36"/>
    <col hidden="1" width="12.54296875" customWidth="1" style="579" min="37" max="37"/>
    <col hidden="1" style="579" min="38" max="38"/>
    <col width="11.1796875" bestFit="1" customWidth="1" style="579" min="39" max="39"/>
    <col width="12.1796875" bestFit="1" customWidth="1" style="579" min="40" max="618"/>
    <col width="12.1796875" customWidth="1" style="579" min="619" max="16384"/>
  </cols>
  <sheetData>
    <row r="1">
      <c r="A1" s="688" t="n"/>
      <c r="B1" s="688" t="n"/>
      <c r="C1" s="688" t="n"/>
      <c r="D1" s="688" t="n"/>
      <c r="E1" s="688" t="n"/>
      <c r="F1" s="688" t="n"/>
      <c r="H1" s="40" t="n"/>
      <c r="I1" s="689" t="n"/>
      <c r="J1" s="689" t="n"/>
      <c r="K1" s="689" t="n"/>
      <c r="L1" s="689" t="n"/>
      <c r="M1" s="689" t="n"/>
      <c r="N1" s="689" t="n"/>
      <c r="O1" s="689" t="n"/>
      <c r="P1" s="689" t="n"/>
      <c r="Q1" s="689" t="n"/>
      <c r="R1" s="689" t="n"/>
      <c r="S1" s="689" t="n"/>
      <c r="T1" s="689" t="n"/>
      <c r="U1" s="689" t="n"/>
      <c r="V1" s="689" t="n"/>
      <c r="W1" s="689" t="n"/>
    </row>
    <row r="2">
      <c r="A2" s="688" t="n"/>
      <c r="B2" s="690" t="inlineStr">
        <is>
          <t>GammaTech</t>
        </is>
      </c>
      <c r="C2" s="387" t="n"/>
      <c r="D2" s="688" t="n"/>
      <c r="E2" s="588" t="n"/>
      <c r="F2" s="688" t="n"/>
      <c r="G2" s="689" t="inlineStr">
        <is>
          <t>Available</t>
        </is>
      </c>
      <c r="H2" s="689" t="n">
        <v>520635.13</v>
      </c>
      <c r="I2" s="508" t="inlineStr">
        <is>
          <t>Q2</t>
        </is>
      </c>
      <c r="J2" s="333" t="n"/>
      <c r="K2" s="387" t="n"/>
      <c r="L2" s="691" t="inlineStr">
        <is>
          <t>Q3</t>
        </is>
      </c>
      <c r="M2" s="333" t="n"/>
      <c r="N2" s="387" t="n"/>
      <c r="O2" s="692" t="inlineStr">
        <is>
          <t>Q4</t>
        </is>
      </c>
      <c r="P2" s="333" t="n"/>
      <c r="Q2" s="387" t="n"/>
      <c r="R2" s="693" t="inlineStr">
        <is>
          <t>Q1</t>
        </is>
      </c>
      <c r="S2" s="333" t="n"/>
      <c r="T2" s="387" t="n"/>
      <c r="U2" s="508" t="inlineStr">
        <is>
          <t>Q2</t>
        </is>
      </c>
      <c r="V2" s="333" t="n"/>
      <c r="W2" s="387" t="n"/>
      <c r="X2" s="691" t="inlineStr">
        <is>
          <t>Q3</t>
        </is>
      </c>
      <c r="Y2" s="333" t="n"/>
      <c r="Z2" s="387" t="n"/>
      <c r="AA2" s="692" t="inlineStr">
        <is>
          <t>Q4</t>
        </is>
      </c>
      <c r="AB2" s="333" t="n"/>
      <c r="AC2" s="387" t="n"/>
      <c r="AD2" s="508" t="inlineStr">
        <is>
          <t>Q1</t>
        </is>
      </c>
      <c r="AE2" s="333" t="n"/>
      <c r="AF2" s="387" t="n"/>
      <c r="AG2" s="509" t="inlineStr">
        <is>
          <t>Q2</t>
        </is>
      </c>
      <c r="AH2" s="333" t="n"/>
      <c r="AI2" s="387" t="n"/>
      <c r="AJ2" s="510" t="inlineStr">
        <is>
          <t>Q3</t>
        </is>
      </c>
      <c r="AK2" s="333" t="n"/>
      <c r="AL2" s="387" t="n"/>
      <c r="AM2" s="511" t="inlineStr">
        <is>
          <t>Q4</t>
        </is>
      </c>
      <c r="AN2" s="333" t="n"/>
      <c r="AO2" s="387" t="n"/>
      <c r="AP2" s="508" t="inlineStr">
        <is>
          <t>Q1</t>
        </is>
      </c>
      <c r="AQ2" s="333" t="n"/>
      <c r="AR2" s="387" t="n"/>
      <c r="AS2" s="509" t="inlineStr">
        <is>
          <t>Q2</t>
        </is>
      </c>
      <c r="AT2" s="333" t="n"/>
      <c r="AU2" s="387" t="n"/>
      <c r="AV2" s="510" t="inlineStr">
        <is>
          <t>Q3</t>
        </is>
      </c>
      <c r="AW2" s="333" t="n"/>
      <c r="AX2" s="387" t="n"/>
      <c r="AY2" s="511" t="inlineStr">
        <is>
          <t>Q4</t>
        </is>
      </c>
      <c r="AZ2" s="333" t="n"/>
      <c r="BA2" s="387" t="n"/>
    </row>
    <row r="3">
      <c r="A3" s="688" t="n"/>
      <c r="B3" s="694" t="inlineStr">
        <is>
          <t>WBS L1</t>
        </is>
      </c>
      <c r="C3" s="694" t="inlineStr">
        <is>
          <t>WBS L2</t>
        </is>
      </c>
      <c r="D3" s="688" t="n"/>
      <c r="E3" s="673" t="n"/>
      <c r="F3" s="688" t="n"/>
      <c r="G3" s="2" t="inlineStr">
        <is>
          <t>Totals</t>
        </is>
      </c>
      <c r="H3" s="2" t="inlineStr">
        <is>
          <t>Amount</t>
        </is>
      </c>
      <c r="I3" s="4" t="inlineStr">
        <is>
          <t>Before 2024</t>
        </is>
      </c>
      <c r="J3" s="4" t="n">
        <v>45292</v>
      </c>
      <c r="K3" s="8" t="n">
        <v>45323</v>
      </c>
      <c r="L3" s="4" t="n">
        <v>45352</v>
      </c>
      <c r="M3" s="4" t="n">
        <v>45383</v>
      </c>
      <c r="N3" s="4" t="n">
        <v>45413</v>
      </c>
      <c r="O3" s="4" t="n">
        <v>45444</v>
      </c>
      <c r="P3" s="4" t="n">
        <v>45474</v>
      </c>
      <c r="Q3" s="8" t="n">
        <v>45505</v>
      </c>
      <c r="R3" s="4" t="n">
        <v>45536</v>
      </c>
      <c r="S3" s="4" t="n">
        <v>45566</v>
      </c>
      <c r="T3" s="4" t="n">
        <v>45597</v>
      </c>
      <c r="U3" s="4" t="n">
        <v>45627</v>
      </c>
      <c r="V3" s="4" t="n">
        <v>45658</v>
      </c>
      <c r="W3" s="8" t="n">
        <v>45689</v>
      </c>
      <c r="X3" s="4" t="n">
        <v>45717</v>
      </c>
      <c r="Y3" s="8" t="n">
        <v>45748</v>
      </c>
      <c r="Z3" s="4" t="n">
        <v>45778</v>
      </c>
      <c r="AA3" s="8" t="n">
        <v>45809</v>
      </c>
      <c r="AB3" s="4" t="n">
        <v>45839</v>
      </c>
      <c r="AC3" s="8" t="n">
        <v>45870</v>
      </c>
      <c r="AD3" s="8" t="n">
        <v>45901</v>
      </c>
      <c r="AE3" s="8" t="n">
        <v>45931</v>
      </c>
      <c r="AF3" s="8" t="n">
        <v>45962</v>
      </c>
      <c r="AG3" s="8" t="n">
        <v>45992</v>
      </c>
      <c r="AH3" s="8" t="n">
        <v>46023</v>
      </c>
      <c r="AI3" s="8" t="n">
        <v>46054</v>
      </c>
      <c r="AJ3" s="8" t="n">
        <v>46082</v>
      </c>
      <c r="AK3" s="8" t="n">
        <v>46113</v>
      </c>
      <c r="AL3" s="8" t="n">
        <v>46143</v>
      </c>
      <c r="AM3" s="8" t="n">
        <v>46174</v>
      </c>
      <c r="AN3" s="8" t="n">
        <v>46204</v>
      </c>
      <c r="AO3" s="8" t="n">
        <v>46235</v>
      </c>
      <c r="AP3" s="8" t="n">
        <v>46266</v>
      </c>
      <c r="AQ3" s="8" t="n">
        <v>46296</v>
      </c>
      <c r="AR3" s="8" t="n">
        <v>46327</v>
      </c>
      <c r="AS3" s="8" t="n">
        <v>46357</v>
      </c>
      <c r="AT3" s="8" t="n">
        <v>46388</v>
      </c>
      <c r="AU3" s="8" t="n">
        <v>46419</v>
      </c>
      <c r="AV3" s="8" t="n">
        <v>46447</v>
      </c>
      <c r="AW3" s="8" t="n">
        <v>46478</v>
      </c>
      <c r="AX3" s="8" t="n">
        <v>46508</v>
      </c>
      <c r="AY3" s="8" t="n">
        <v>46539</v>
      </c>
      <c r="AZ3" s="8" t="n">
        <v>46569</v>
      </c>
      <c r="BA3" s="8" t="n">
        <v>46600</v>
      </c>
    </row>
    <row r="4">
      <c r="A4" s="695" t="inlineStr">
        <is>
          <t>BetaCredit</t>
        </is>
      </c>
      <c r="B4" s="696" t="inlineStr">
        <is>
          <t>BJRYD001</t>
        </is>
      </c>
      <c r="C4" s="696" t="inlineStr">
        <is>
          <t>BFBZ3001</t>
        </is>
      </c>
      <c r="D4" s="688" t="n"/>
      <c r="E4" s="402" t="n"/>
      <c r="F4" s="688" t="n"/>
      <c r="G4" s="45" t="inlineStr">
        <is>
          <t>Forecast Revenues</t>
        </is>
      </c>
      <c r="H4" s="697" t="n">
        <v>1499689.86</v>
      </c>
      <c r="I4" s="698" t="n">
        <v>360376.27</v>
      </c>
      <c r="J4" s="698" t="n">
        <v>61161.8</v>
      </c>
      <c r="K4" s="698" t="n">
        <v>61899.73</v>
      </c>
      <c r="L4" s="698" t="n">
        <v>66615.16</v>
      </c>
      <c r="M4" s="698" t="n">
        <v>50361.14</v>
      </c>
      <c r="N4" s="698" t="n">
        <v>51876.25</v>
      </c>
      <c r="O4" s="698" t="n">
        <v>18347.39</v>
      </c>
      <c r="P4" s="698" t="n">
        <v>43563.13</v>
      </c>
      <c r="Q4" s="698" t="n">
        <v>8695.040000000001</v>
      </c>
      <c r="R4" s="698" t="n">
        <v>57596.02</v>
      </c>
      <c r="S4" s="698" t="n">
        <v>66021.03999999999</v>
      </c>
      <c r="T4" s="698" t="n">
        <v>59697.77</v>
      </c>
      <c r="U4" s="698" t="n">
        <v>23513.13</v>
      </c>
      <c r="V4" s="698" t="n">
        <v>50702.88</v>
      </c>
      <c r="W4" s="698" t="n">
        <v>54412.07</v>
      </c>
      <c r="X4" s="698" t="n">
        <v>85770.32000000001</v>
      </c>
      <c r="Y4" s="698" t="n">
        <v>49284.44</v>
      </c>
      <c r="Z4" s="698" t="n">
        <v>108004.92</v>
      </c>
      <c r="AA4" s="698" t="n">
        <v>101741.81</v>
      </c>
      <c r="AB4" s="698" t="n">
        <v>56651.25</v>
      </c>
      <c r="AC4" s="698" t="n">
        <v>63398.3</v>
      </c>
      <c r="AD4" s="698" t="n">
        <v>115090.81</v>
      </c>
      <c r="AE4" s="698" t="n">
        <v>155422.54</v>
      </c>
      <c r="AF4" s="698" t="n">
        <v>121659.79</v>
      </c>
      <c r="AG4" s="698" t="n">
        <v>105805.3</v>
      </c>
      <c r="AH4" s="698" t="n">
        <v>115897.59</v>
      </c>
      <c r="AI4" s="698" t="n">
        <v>147251.08</v>
      </c>
      <c r="AJ4" s="698" t="n">
        <v>124738.8</v>
      </c>
      <c r="AK4" s="698" t="n">
        <v>172298.89</v>
      </c>
      <c r="AL4" s="698" t="n">
        <v>137979.8</v>
      </c>
      <c r="AM4" s="698" t="n">
        <v>113169.64</v>
      </c>
      <c r="AN4" s="698" t="n">
        <v>151869.14</v>
      </c>
      <c r="AO4" s="698" t="n">
        <v>69439.28999999999</v>
      </c>
      <c r="AP4" s="698" t="n">
        <v>10581.45</v>
      </c>
      <c r="AQ4" s="698" t="n">
        <v>10582.26</v>
      </c>
      <c r="AR4" s="698" t="n">
        <v>10583.08</v>
      </c>
      <c r="AS4" s="698" t="n">
        <v>10583.89</v>
      </c>
      <c r="AT4" s="698" t="n">
        <v>10584.7</v>
      </c>
      <c r="AU4" s="698" t="n">
        <v>10585.52</v>
      </c>
      <c r="AV4" s="698" t="n">
        <v>10586.33</v>
      </c>
      <c r="AW4" s="698" t="n">
        <v>10587.14</v>
      </c>
      <c r="AX4" s="698" t="n">
        <v>10587.96</v>
      </c>
      <c r="AY4" s="698" t="n">
        <v>10588.77</v>
      </c>
      <c r="AZ4" s="698" t="n">
        <v>10589.59</v>
      </c>
      <c r="BA4" s="698" t="n">
        <v>10590.4</v>
      </c>
    </row>
    <row r="5">
      <c r="A5" s="695" t="inlineStr">
        <is>
          <t>AlphaBank</t>
        </is>
      </c>
      <c r="B5" s="696" t="inlineStr">
        <is>
          <t>BGTY8001</t>
        </is>
      </c>
      <c r="C5" s="696" t="inlineStr">
        <is>
          <t>BU7R5001</t>
        </is>
      </c>
      <c r="D5" s="688" t="n"/>
      <c r="E5" s="596" t="n"/>
      <c r="F5" s="599" t="n"/>
      <c r="G5" s="45" t="inlineStr">
        <is>
          <t>Forecast Costs</t>
        </is>
      </c>
      <c r="H5" s="697" t="n">
        <v>979054.73</v>
      </c>
      <c r="I5" s="698" t="n">
        <v>226605.71</v>
      </c>
      <c r="J5" s="698" t="n">
        <v>51769.01</v>
      </c>
      <c r="K5" s="698" t="n">
        <v>42968.9</v>
      </c>
      <c r="L5" s="698" t="n">
        <v>36361.18</v>
      </c>
      <c r="M5" s="698" t="n">
        <v>35001.65</v>
      </c>
      <c r="N5" s="698" t="n">
        <v>29440.99</v>
      </c>
      <c r="O5" s="698" t="n">
        <v>14796.85</v>
      </c>
      <c r="P5" s="698" t="n">
        <v>29525.57</v>
      </c>
      <c r="Q5" s="698" t="n">
        <v>6524.22</v>
      </c>
      <c r="R5" s="698" t="n">
        <v>30888.22</v>
      </c>
      <c r="S5" s="698" t="n">
        <v>38762.84</v>
      </c>
      <c r="T5" s="698" t="n">
        <v>37408.36</v>
      </c>
      <c r="U5" s="698" t="n">
        <v>15935.18</v>
      </c>
      <c r="V5" s="698" t="n">
        <v>21277.65</v>
      </c>
      <c r="W5" s="698" t="n">
        <v>33883.15</v>
      </c>
      <c r="X5" s="698" t="n">
        <v>51425.23</v>
      </c>
      <c r="Y5" s="698" t="n">
        <v>40078.35</v>
      </c>
      <c r="Z5" s="698" t="n">
        <v>63802.36</v>
      </c>
      <c r="AA5" s="698" t="n">
        <v>67838.47</v>
      </c>
      <c r="AB5" s="698" t="n">
        <v>70173.23</v>
      </c>
      <c r="AC5" s="698" t="n">
        <v>34587.6</v>
      </c>
      <c r="AD5" s="698" t="n">
        <v>62602.34</v>
      </c>
      <c r="AE5" s="698" t="n">
        <v>73208.14</v>
      </c>
      <c r="AF5" s="698" t="n">
        <v>74792.41</v>
      </c>
      <c r="AG5" s="698" t="n">
        <v>66698.34</v>
      </c>
      <c r="AH5" s="698" t="n">
        <v>73144.39999999999</v>
      </c>
      <c r="AI5" s="698" t="n">
        <v>84619.17</v>
      </c>
      <c r="AJ5" s="698" t="n">
        <v>121874.76</v>
      </c>
      <c r="AK5" s="698" t="n">
        <v>87071.53</v>
      </c>
      <c r="AL5" s="698" t="n">
        <v>82995.73</v>
      </c>
      <c r="AM5" s="698" t="n">
        <v>88395.34</v>
      </c>
      <c r="AN5" s="698" t="n">
        <v>123111.11</v>
      </c>
      <c r="AO5" s="698" t="n">
        <v>40642.51</v>
      </c>
      <c r="AP5" s="698" t="n">
        <v>0</v>
      </c>
      <c r="AQ5" s="698" t="n">
        <v>0</v>
      </c>
      <c r="AR5" s="698" t="n">
        <v>0</v>
      </c>
      <c r="AS5" s="698" t="n">
        <v>0</v>
      </c>
      <c r="AT5" s="698" t="n">
        <v>0</v>
      </c>
      <c r="AU5" s="698" t="n">
        <v>0</v>
      </c>
      <c r="AV5" s="698" t="n">
        <v>0</v>
      </c>
      <c r="AW5" s="698" t="n">
        <v>0</v>
      </c>
      <c r="AX5" s="698" t="n">
        <v>0</v>
      </c>
      <c r="AY5" s="698" t="n">
        <v>0</v>
      </c>
      <c r="AZ5" s="698" t="n">
        <v>0</v>
      </c>
      <c r="BA5" s="698" t="n">
        <v>0</v>
      </c>
    </row>
    <row r="6">
      <c r="A6" s="688" t="n"/>
      <c r="B6" s="688" t="n"/>
      <c r="C6" s="688" t="n"/>
      <c r="D6" s="688" t="n"/>
      <c r="E6" s="688" t="n"/>
      <c r="F6" s="688" t="n">
        <v>163209.66</v>
      </c>
      <c r="G6" s="48" t="inlineStr">
        <is>
          <t>Actual Revenues</t>
        </is>
      </c>
      <c r="H6" s="697" t="n">
        <v>1491552.7</v>
      </c>
      <c r="I6" s="699" t="n">
        <v>360376.27</v>
      </c>
      <c r="J6" s="699" t="n">
        <v>61161.8</v>
      </c>
      <c r="K6" s="699" t="n">
        <v>61899.56</v>
      </c>
      <c r="L6" s="699" t="n">
        <v>66615.14999999999</v>
      </c>
      <c r="M6" s="699" t="n">
        <v>42224.12</v>
      </c>
      <c r="N6" s="699" t="n">
        <v>51876.24</v>
      </c>
      <c r="O6" s="699" t="n">
        <v>18347.14</v>
      </c>
      <c r="P6" s="699" t="n">
        <v>43563.13</v>
      </c>
      <c r="Q6" s="699" t="n">
        <v>8695.040000000001</v>
      </c>
      <c r="R6" s="699" t="n">
        <v>57596.02</v>
      </c>
      <c r="S6" s="699" t="n">
        <v>66021.32000000001</v>
      </c>
      <c r="T6" s="699" t="n">
        <v>59697.77</v>
      </c>
      <c r="U6" s="699" t="n">
        <v>23513.13</v>
      </c>
      <c r="V6" s="699" t="n">
        <v>50702.89</v>
      </c>
      <c r="W6" s="699" t="n">
        <v>54412.07</v>
      </c>
      <c r="X6" s="699" t="n">
        <v>85770.32000000001</v>
      </c>
      <c r="Y6" s="699" t="n">
        <v>49284.44</v>
      </c>
      <c r="Z6" s="699" t="n">
        <v>108004.92</v>
      </c>
      <c r="AA6" s="699" t="n">
        <v>101741.81</v>
      </c>
      <c r="AB6" s="699" t="n">
        <v>56651.25</v>
      </c>
      <c r="AC6" s="699" t="n">
        <v>63398.3</v>
      </c>
      <c r="AD6" s="699" t="n">
        <v>115090.81</v>
      </c>
      <c r="AE6" s="699" t="n">
        <v>155422.54</v>
      </c>
      <c r="AF6" s="699" t="n">
        <v>121659.79</v>
      </c>
      <c r="AG6" s="699" t="n">
        <v>105805.3</v>
      </c>
      <c r="AH6" s="699" t="n">
        <v>115897.59</v>
      </c>
      <c r="AI6" s="699" t="n">
        <v>147251.08</v>
      </c>
      <c r="AJ6" s="699" t="n">
        <v>124738.8</v>
      </c>
      <c r="AK6" s="699" t="n">
        <v>172298.89</v>
      </c>
      <c r="AL6" s="699" t="n">
        <v>137979.8</v>
      </c>
      <c r="AM6" s="699" t="n">
        <v>113169.64</v>
      </c>
      <c r="AN6" s="699" t="n">
        <v>210727.79</v>
      </c>
      <c r="AO6" s="699" t="n">
        <v>69439.28999999999</v>
      </c>
      <c r="AP6" s="699" t="n">
        <v>0</v>
      </c>
      <c r="AQ6" s="699" t="n">
        <v>0</v>
      </c>
      <c r="AR6" s="699" t="n">
        <v>0</v>
      </c>
      <c r="AS6" s="699" t="n">
        <v>0</v>
      </c>
      <c r="AT6" s="699" t="n">
        <v>0</v>
      </c>
      <c r="AU6" s="699" t="n">
        <v>0</v>
      </c>
      <c r="AV6" s="699" t="n">
        <v>0</v>
      </c>
      <c r="AW6" s="699" t="n">
        <v>0</v>
      </c>
      <c r="AX6" s="699" t="n">
        <v>0</v>
      </c>
      <c r="AY6" s="699" t="n">
        <v>0</v>
      </c>
      <c r="AZ6" s="699" t="n">
        <v>0</v>
      </c>
      <c r="BA6" s="699" t="n">
        <v>0</v>
      </c>
    </row>
    <row r="7">
      <c r="A7" s="688" t="n"/>
      <c r="B7" s="688" t="n"/>
      <c r="C7" s="688" t="n"/>
      <c r="D7" s="688" t="n"/>
      <c r="E7" s="688" t="n"/>
      <c r="F7" s="688" t="n">
        <v>121719.15</v>
      </c>
      <c r="G7" s="45" t="inlineStr">
        <is>
          <t>Actual Cost</t>
        </is>
      </c>
      <c r="H7" s="697" t="n">
        <v>1023278.8</v>
      </c>
      <c r="I7" s="698" t="n">
        <v>226605.71</v>
      </c>
      <c r="J7" s="698" t="n">
        <v>57712.21</v>
      </c>
      <c r="K7" s="698" t="n">
        <v>45772.4</v>
      </c>
      <c r="L7" s="698" t="n">
        <v>39782.22</v>
      </c>
      <c r="M7" s="698" t="n">
        <v>34548.56</v>
      </c>
      <c r="N7" s="698" t="n">
        <v>29486.72</v>
      </c>
      <c r="O7" s="698" t="n">
        <v>14020.55</v>
      </c>
      <c r="P7" s="698" t="n">
        <v>30007.64</v>
      </c>
      <c r="Q7" s="698" t="n">
        <v>8977.48</v>
      </c>
      <c r="R7" s="698" t="n">
        <v>30690.56</v>
      </c>
      <c r="S7" s="698" t="n">
        <v>36831.85</v>
      </c>
      <c r="T7" s="698" t="n">
        <v>39363.39</v>
      </c>
      <c r="U7" s="698" t="n">
        <v>20480.65</v>
      </c>
      <c r="V7" s="698" t="n">
        <v>21256.85</v>
      </c>
      <c r="W7" s="698" t="n">
        <v>31309.91</v>
      </c>
      <c r="X7" s="698" t="n">
        <v>68992.88</v>
      </c>
      <c r="Y7" s="698" t="n">
        <v>41553.88</v>
      </c>
      <c r="Z7" s="698" t="n">
        <v>65724.60000000001</v>
      </c>
      <c r="AA7" s="698" t="n">
        <v>70103</v>
      </c>
      <c r="AB7" s="698" t="n">
        <v>73793.16</v>
      </c>
      <c r="AC7" s="698" t="n">
        <v>36264.88</v>
      </c>
      <c r="AD7" s="698" t="n">
        <v>77093.60000000001</v>
      </c>
      <c r="AE7" s="698" t="n">
        <v>77157.78</v>
      </c>
      <c r="AF7" s="698" t="n">
        <v>77375.47</v>
      </c>
      <c r="AG7" s="698" t="n">
        <v>78828.98</v>
      </c>
      <c r="AH7" s="698" t="n">
        <v>73145.77</v>
      </c>
      <c r="AI7" s="698" t="n">
        <v>79857.58</v>
      </c>
      <c r="AJ7" s="698" t="n">
        <v>107785.37</v>
      </c>
      <c r="AK7" s="698" t="n">
        <v>85294.45</v>
      </c>
      <c r="AL7" s="698" t="n">
        <v>85384.56</v>
      </c>
      <c r="AM7" s="698" t="n">
        <v>100127.74</v>
      </c>
      <c r="AN7" s="698" t="n">
        <v>127601.96</v>
      </c>
      <c r="AO7" s="698" t="n">
        <v>57199.11</v>
      </c>
      <c r="AP7" s="698" t="n">
        <v>41617.1</v>
      </c>
      <c r="AQ7" s="698" t="n">
        <v>0</v>
      </c>
      <c r="AR7" s="698" t="n">
        <v>0</v>
      </c>
      <c r="AS7" s="698" t="n">
        <v>0</v>
      </c>
      <c r="AT7" s="698" t="n">
        <v>0</v>
      </c>
      <c r="AU7" s="698" t="n">
        <v>0</v>
      </c>
      <c r="AV7" s="698" t="n">
        <v>0</v>
      </c>
      <c r="AW7" s="698" t="n">
        <v>0</v>
      </c>
      <c r="AX7" s="698" t="n">
        <v>0</v>
      </c>
      <c r="AY7" s="698" t="n">
        <v>0</v>
      </c>
      <c r="AZ7" s="698" t="n">
        <v>0</v>
      </c>
      <c r="BA7" s="698" t="n">
        <v>0</v>
      </c>
    </row>
    <row r="8">
      <c r="A8" s="688" t="n"/>
      <c r="B8" s="688" t="n"/>
      <c r="C8" s="688" t="n"/>
      <c r="D8" s="688" t="n"/>
      <c r="E8" s="688" t="n"/>
      <c r="F8" s="688" t="n">
        <v>284928.81</v>
      </c>
      <c r="G8" s="45" t="inlineStr">
        <is>
          <t>Delta Cost</t>
        </is>
      </c>
      <c r="H8" s="697" t="n">
        <v>-44224.07</v>
      </c>
      <c r="I8" s="698" t="n">
        <v>0</v>
      </c>
      <c r="J8" s="698" t="n">
        <v>-5943.2</v>
      </c>
      <c r="K8" s="698" t="n">
        <v>-2803.5</v>
      </c>
      <c r="L8" s="698" t="n">
        <v>-3421.04</v>
      </c>
      <c r="M8" s="698" t="n">
        <v>453.09</v>
      </c>
      <c r="N8" s="698" t="n">
        <v>-45.73</v>
      </c>
      <c r="O8" s="698" t="n">
        <v>776.3</v>
      </c>
      <c r="P8" s="698" t="n">
        <v>-482.07</v>
      </c>
      <c r="Q8" s="698" t="n">
        <v>-2453.26</v>
      </c>
      <c r="R8" s="698" t="n">
        <v>197.66</v>
      </c>
      <c r="S8" s="698" t="n">
        <v>1930.98</v>
      </c>
      <c r="T8" s="698" t="n">
        <v>-1955.03</v>
      </c>
      <c r="U8" s="698" t="n">
        <v>-4545.47</v>
      </c>
      <c r="V8" s="698" t="n">
        <v>20.8</v>
      </c>
      <c r="W8" s="698" t="n">
        <v>2573.24</v>
      </c>
      <c r="X8" s="698" t="n">
        <v>-17567.65</v>
      </c>
      <c r="Y8" s="698" t="n">
        <v>-1475.53</v>
      </c>
      <c r="Z8" s="698" t="n">
        <v>-1922.24</v>
      </c>
      <c r="AA8" s="698" t="n">
        <v>-2264.23</v>
      </c>
      <c r="AB8" s="698" t="n">
        <v>-3619.93</v>
      </c>
      <c r="AC8" s="698" t="n">
        <v>-1677.29</v>
      </c>
      <c r="AD8" s="698" t="n">
        <v>-14491.26</v>
      </c>
      <c r="AE8" s="698" t="n">
        <v>-3949.63</v>
      </c>
      <c r="AF8" s="698" t="n">
        <v>-2583.06</v>
      </c>
      <c r="AG8" s="698" t="n">
        <v>-12130.63</v>
      </c>
      <c r="AH8" s="698" t="n">
        <v>-1.37</v>
      </c>
      <c r="AI8" s="698" t="n">
        <v>4761.58</v>
      </c>
      <c r="AJ8" s="698" t="n">
        <v>14089.39</v>
      </c>
      <c r="AK8" s="698" t="n">
        <v>1777.08</v>
      </c>
      <c r="AL8" s="698" t="n">
        <v>-2388.83</v>
      </c>
      <c r="AM8" s="698" t="n">
        <v>-11732.4</v>
      </c>
      <c r="AN8" s="698" t="n">
        <v>-4490.85</v>
      </c>
      <c r="AO8" s="698" t="n">
        <v>-16556.6</v>
      </c>
      <c r="AP8" s="698" t="n">
        <v>-41617.1</v>
      </c>
      <c r="AQ8" s="698" t="n">
        <v>0</v>
      </c>
      <c r="AR8" s="698" t="n">
        <v>0</v>
      </c>
      <c r="AS8" s="698" t="n">
        <v>0</v>
      </c>
      <c r="AT8" s="698" t="n">
        <v>0</v>
      </c>
      <c r="AU8" s="698" t="n">
        <v>0</v>
      </c>
      <c r="AV8" s="698" t="n">
        <v>0</v>
      </c>
      <c r="AW8" s="698" t="n">
        <v>0</v>
      </c>
      <c r="AX8" s="698" t="n">
        <v>0</v>
      </c>
      <c r="AY8" s="698" t="n">
        <v>0</v>
      </c>
      <c r="AZ8" s="698" t="n">
        <v>0</v>
      </c>
      <c r="BA8" s="698" t="n">
        <v>0</v>
      </c>
    </row>
    <row r="9" ht="15" customHeight="1" s="564" thickBot="1">
      <c r="B9" s="1" t="inlineStr">
        <is>
          <t>Client</t>
        </is>
      </c>
      <c r="C9" s="1" t="inlineStr">
        <is>
          <t>SG</t>
        </is>
      </c>
      <c r="D9" s="1" t="inlineStr">
        <is>
          <t>Contract</t>
        </is>
      </c>
      <c r="E9" s="1" t="inlineStr">
        <is>
          <t>WBS</t>
        </is>
      </c>
      <c r="F9" s="1" t="inlineStr">
        <is>
          <t>Description</t>
        </is>
      </c>
      <c r="G9" s="1" t="inlineStr">
        <is>
          <t>Cost Type</t>
        </is>
      </c>
      <c r="H9" s="1" t="inlineStr">
        <is>
          <t>Amount</t>
        </is>
      </c>
      <c r="I9" s="4" t="inlineStr">
        <is>
          <t>Before 2024</t>
        </is>
      </c>
      <c r="J9" s="4" t="n">
        <v>45292</v>
      </c>
      <c r="K9" s="8" t="n">
        <v>45323</v>
      </c>
      <c r="L9" s="4" t="n">
        <v>45352</v>
      </c>
      <c r="M9" s="4" t="n">
        <v>45383</v>
      </c>
      <c r="N9" s="4" t="n">
        <v>45413</v>
      </c>
      <c r="O9" s="4" t="n">
        <v>45444</v>
      </c>
      <c r="P9" s="4" t="n">
        <v>45474</v>
      </c>
      <c r="Q9" s="8" t="n">
        <v>45505</v>
      </c>
      <c r="R9" s="4" t="n">
        <v>45536</v>
      </c>
      <c r="S9" s="4" t="n">
        <v>45566</v>
      </c>
      <c r="T9" s="4" t="n">
        <v>45597</v>
      </c>
      <c r="U9" s="4" t="n">
        <v>45627</v>
      </c>
      <c r="V9" s="4" t="n">
        <v>45658</v>
      </c>
      <c r="W9" s="8" t="n">
        <v>45689</v>
      </c>
      <c r="X9" s="4" t="n">
        <v>45717</v>
      </c>
      <c r="Y9" s="8" t="n">
        <v>45748</v>
      </c>
      <c r="Z9" s="4" t="n">
        <v>45778</v>
      </c>
      <c r="AA9" s="8" t="n">
        <v>45809</v>
      </c>
      <c r="AB9" s="4" t="n">
        <v>45839</v>
      </c>
      <c r="AC9" s="8" t="n">
        <v>45870</v>
      </c>
      <c r="AD9" s="8" t="n">
        <v>45901</v>
      </c>
      <c r="AE9" s="8" t="n">
        <v>45931</v>
      </c>
      <c r="AF9" s="8" t="n">
        <v>45962</v>
      </c>
      <c r="AG9" s="8" t="n">
        <v>45992</v>
      </c>
      <c r="AH9" s="8" t="n">
        <v>46023</v>
      </c>
      <c r="AI9" s="8" t="n">
        <v>46054</v>
      </c>
      <c r="AJ9" s="8" t="n">
        <v>46082</v>
      </c>
      <c r="AK9" s="8" t="n">
        <v>46113</v>
      </c>
      <c r="AL9" s="8" t="n">
        <v>46143</v>
      </c>
      <c r="AM9" s="8" t="n">
        <v>46174</v>
      </c>
      <c r="AN9" s="8" t="n">
        <v>46204</v>
      </c>
      <c r="AO9" s="8" t="n">
        <v>46235</v>
      </c>
      <c r="AP9" s="8" t="n">
        <v>46266</v>
      </c>
      <c r="AQ9" s="8" t="n">
        <v>46296</v>
      </c>
      <c r="AR9" s="8" t="n">
        <v>46327</v>
      </c>
      <c r="AS9" s="8" t="n">
        <v>46357</v>
      </c>
      <c r="AT9" s="8" t="n">
        <v>46388</v>
      </c>
      <c r="AU9" s="8" t="n">
        <v>46419</v>
      </c>
      <c r="AV9" s="8" t="n">
        <v>46447</v>
      </c>
      <c r="AW9" s="8" t="n">
        <v>46478</v>
      </c>
      <c r="AX9" s="8" t="n">
        <v>46508</v>
      </c>
      <c r="AY9" s="8" t="n">
        <v>46539</v>
      </c>
      <c r="AZ9" s="8" t="n">
        <v>46569</v>
      </c>
      <c r="BA9" s="8" t="n">
        <v>46600</v>
      </c>
    </row>
    <row r="10">
      <c r="B10" s="38" t="inlineStr">
        <is>
          <t>BetaCredit</t>
        </is>
      </c>
      <c r="C10" s="36" t="inlineStr">
        <is>
          <t>IMS</t>
        </is>
      </c>
      <c r="D10" s="36" t="n">
        <v>9915583648</v>
      </c>
      <c r="E10" s="35" t="inlineStr">
        <is>
          <t>BJRYD001</t>
        </is>
      </c>
      <c r="F10" s="35" t="inlineStr">
        <is>
          <t>CHG Accenture Italia</t>
        </is>
      </c>
      <c r="G10" s="50" t="inlineStr">
        <is>
          <t>Forecast Revenues</t>
        </is>
      </c>
      <c r="H10" s="700" t="n">
        <v>1212764.88</v>
      </c>
      <c r="I10" s="701" t="n">
        <v>82805.46000000001</v>
      </c>
      <c r="J10" s="702" t="n">
        <v>18085.67</v>
      </c>
      <c r="K10" s="702" t="n">
        <v>28085.13</v>
      </c>
      <c r="L10" s="702" t="n">
        <v>42564.96</v>
      </c>
      <c r="M10" s="702" t="n">
        <v>24627.28</v>
      </c>
      <c r="N10" s="702" t="n">
        <v>24627.28</v>
      </c>
      <c r="O10" s="703" t="n">
        <v>8695.040000000001</v>
      </c>
      <c r="P10" s="703" t="n">
        <v>33910.78</v>
      </c>
      <c r="Q10" s="703" t="n">
        <v>8695.040000000001</v>
      </c>
      <c r="R10" s="703" t="n">
        <v>42062.22</v>
      </c>
      <c r="S10" s="702" t="n">
        <v>9021.09</v>
      </c>
      <c r="T10" s="702" t="n">
        <v>20651</v>
      </c>
      <c r="U10" s="702" t="n">
        <v>0</v>
      </c>
      <c r="V10" s="701" t="n">
        <v>17940.82</v>
      </c>
      <c r="W10" s="701" t="n">
        <v>17926.18</v>
      </c>
      <c r="X10" s="704" t="n">
        <v>49284.44</v>
      </c>
      <c r="Y10" s="705" t="n">
        <v>49284.44</v>
      </c>
      <c r="Z10" s="706" t="n">
        <v>94751.63</v>
      </c>
      <c r="AA10" s="706" t="n">
        <v>91161.17</v>
      </c>
      <c r="AB10" s="701" t="n">
        <v>19430.12</v>
      </c>
      <c r="AC10" s="704" t="n">
        <v>0</v>
      </c>
      <c r="AD10" s="705" t="n">
        <v>6521.28</v>
      </c>
      <c r="AE10" s="701" t="n">
        <v>25040.13</v>
      </c>
      <c r="AF10" s="707" t="n">
        <v>30913.35</v>
      </c>
      <c r="AG10" s="708" t="n">
        <v>54933.36</v>
      </c>
      <c r="AH10" s="709" t="n">
        <v>23557.81</v>
      </c>
      <c r="AI10" s="710" t="n">
        <v>43352.87</v>
      </c>
      <c r="AJ10" s="708" t="n">
        <v>22923.83</v>
      </c>
      <c r="AK10" s="711" t="n">
        <v>87811.21000000001</v>
      </c>
      <c r="AL10" s="712" t="n">
        <v>71835.75999999999</v>
      </c>
      <c r="AM10" s="857" t="n">
        <v>8377.540000000001</v>
      </c>
      <c r="AN10" s="851" t="n">
        <v>95029.92</v>
      </c>
      <c r="AO10" s="714" t="n">
        <v>58858.65</v>
      </c>
      <c r="AP10" s="345" t="n"/>
      <c r="AQ10" s="346" t="n"/>
      <c r="AR10" s="347" t="n"/>
      <c r="AS10" s="345" t="n"/>
      <c r="AT10" s="346" t="n"/>
      <c r="AU10" s="347" t="n"/>
      <c r="AV10" s="345" t="n"/>
      <c r="AW10" s="346" t="n"/>
      <c r="AX10" s="347" t="n"/>
      <c r="AY10" s="355" t="n"/>
      <c r="AZ10" s="346" t="n"/>
      <c r="BA10" s="347" t="n"/>
    </row>
    <row r="11" ht="15" customHeight="1" s="564" thickBot="1">
      <c r="B11" s="715" t="n"/>
      <c r="C11" s="716" t="n"/>
      <c r="D11" s="716" t="n"/>
      <c r="E11" s="716" t="n"/>
      <c r="F11" s="716" t="n"/>
      <c r="G11" s="45" t="inlineStr">
        <is>
          <t>Forecast Costs</t>
        </is>
      </c>
      <c r="H11" s="717" t="n">
        <v>809516.4</v>
      </c>
      <c r="I11" s="706" t="n">
        <v>55124.63</v>
      </c>
      <c r="J11" s="718" t="n">
        <v>16046.58</v>
      </c>
      <c r="K11" s="718" t="n">
        <v>19191.41</v>
      </c>
      <c r="L11" s="718" t="n">
        <v>21565.61</v>
      </c>
      <c r="M11" s="718" t="n">
        <v>16575.83</v>
      </c>
      <c r="N11" s="718" t="n">
        <v>24787.16</v>
      </c>
      <c r="O11" s="718" t="n">
        <v>6378.63</v>
      </c>
      <c r="P11" s="718" t="n">
        <v>22549.14</v>
      </c>
      <c r="Q11" s="718" t="n">
        <v>6524.22</v>
      </c>
      <c r="R11" s="718" t="n">
        <v>21074.81</v>
      </c>
      <c r="S11" s="718" t="n">
        <v>5831.36</v>
      </c>
      <c r="T11" s="718" t="n">
        <v>11235.1</v>
      </c>
      <c r="U11" s="718" t="n">
        <v>0</v>
      </c>
      <c r="V11" s="706" t="n">
        <v>7925.26</v>
      </c>
      <c r="W11" s="706" t="n">
        <v>11072.36</v>
      </c>
      <c r="X11" s="719" t="n">
        <v>22263.27</v>
      </c>
      <c r="Y11" s="713" t="n">
        <v>40078.35</v>
      </c>
      <c r="Z11" s="706" t="n">
        <v>52122.01</v>
      </c>
      <c r="AA11" s="706" t="n">
        <v>62920.35</v>
      </c>
      <c r="AB11" s="706" t="n">
        <v>14001.72</v>
      </c>
      <c r="AC11" s="719" t="n">
        <v>814</v>
      </c>
      <c r="AD11" s="713" t="n">
        <v>3954.1</v>
      </c>
      <c r="AE11" s="706" t="n">
        <v>9962.959999999999</v>
      </c>
      <c r="AF11" s="720" t="n">
        <v>20959.44</v>
      </c>
      <c r="AG11" s="721" t="n">
        <v>36859.71</v>
      </c>
      <c r="AH11" s="722" t="n">
        <v>18594.05</v>
      </c>
      <c r="AI11" s="723" t="n">
        <v>27012.8</v>
      </c>
      <c r="AJ11" s="724" t="n">
        <v>33451.66</v>
      </c>
      <c r="AK11" s="725" t="n">
        <v>35803</v>
      </c>
      <c r="AL11" s="726" t="n">
        <v>49219.87</v>
      </c>
      <c r="AM11" s="857" t="n">
        <v>18119.44</v>
      </c>
      <c r="AN11" s="852" t="n">
        <v>85180.58</v>
      </c>
      <c r="AO11" s="727" t="n">
        <v>32317.48</v>
      </c>
      <c r="AP11" s="728" t="n">
        <v>0</v>
      </c>
      <c r="AQ11" s="727" t="n">
        <v>0</v>
      </c>
      <c r="AR11" s="729" t="n">
        <v>0</v>
      </c>
      <c r="AS11" s="728" t="n">
        <v>0</v>
      </c>
      <c r="AT11" s="727" t="n">
        <v>0</v>
      </c>
      <c r="AU11" s="729" t="n">
        <v>0</v>
      </c>
      <c r="AV11" s="728" t="n">
        <v>0</v>
      </c>
      <c r="AW11" s="727" t="n">
        <v>0</v>
      </c>
      <c r="AX11" s="729" t="n">
        <v>0</v>
      </c>
      <c r="AY11" s="730" t="n">
        <v>0</v>
      </c>
      <c r="AZ11" s="727" t="n">
        <v>0</v>
      </c>
      <c r="BA11" s="729" t="n">
        <v>0</v>
      </c>
    </row>
    <row r="12">
      <c r="B12" s="715" t="n"/>
      <c r="C12" s="716" t="n"/>
      <c r="D12" s="716" t="n"/>
      <c r="E12" s="716" t="n"/>
      <c r="F12" s="716" t="n"/>
      <c r="G12" s="45" t="inlineStr">
        <is>
          <t>Actual Revenues</t>
        </is>
      </c>
      <c r="H12" s="717" t="n">
        <v>1271623.81</v>
      </c>
      <c r="I12" s="706" t="n">
        <v>82805.46000000001</v>
      </c>
      <c r="J12" s="718" t="n">
        <v>18085.67</v>
      </c>
      <c r="K12" s="718" t="n">
        <v>28084.96</v>
      </c>
      <c r="L12" s="718" t="n">
        <v>42564.95</v>
      </c>
      <c r="M12" s="718" t="n">
        <v>24627.27</v>
      </c>
      <c r="N12" s="718" t="n">
        <v>24627.28</v>
      </c>
      <c r="O12" s="731" t="n">
        <v>8695.040000000001</v>
      </c>
      <c r="P12" s="718" t="n">
        <v>33910.78</v>
      </c>
      <c r="Q12" s="718" t="n">
        <v>8695.040000000001</v>
      </c>
      <c r="R12" s="731" t="n">
        <v>42062.22</v>
      </c>
      <c r="S12" s="718" t="n">
        <v>9021.09</v>
      </c>
      <c r="T12" s="718" t="n">
        <v>20651</v>
      </c>
      <c r="U12" s="718" t="n"/>
      <c r="V12" s="701" t="n">
        <v>17940.83</v>
      </c>
      <c r="W12" s="706" t="n">
        <v>17926.18</v>
      </c>
      <c r="X12" s="732" t="n">
        <v>49284.44</v>
      </c>
      <c r="Y12" s="713" t="n">
        <v>49284.44</v>
      </c>
      <c r="Z12" s="706" t="n">
        <v>94751.63</v>
      </c>
      <c r="AA12" s="706" t="n">
        <v>91161.17</v>
      </c>
      <c r="AB12" s="706" t="n">
        <v>19430.12</v>
      </c>
      <c r="AC12" s="719" t="n"/>
      <c r="AD12" s="713" t="n">
        <v>6521.28</v>
      </c>
      <c r="AE12" s="706" t="n">
        <v>25040.13</v>
      </c>
      <c r="AF12" s="720" t="n">
        <v>30913.35</v>
      </c>
      <c r="AG12" s="733" t="n">
        <v>54933.36</v>
      </c>
      <c r="AH12" s="722" t="n">
        <v>23557.81</v>
      </c>
      <c r="AI12" s="723" t="n">
        <v>43352.87</v>
      </c>
      <c r="AJ12" s="724" t="n">
        <v>22923.83</v>
      </c>
      <c r="AK12" s="725" t="n">
        <v>87811.21000000001</v>
      </c>
      <c r="AL12" s="726" t="n">
        <v>71835.75999999999</v>
      </c>
      <c r="AM12" s="857" t="n">
        <v>8377.540000000001</v>
      </c>
      <c r="AN12" s="852" t="n">
        <v>153888.58</v>
      </c>
      <c r="AO12" s="727" t="n">
        <v>58858.65</v>
      </c>
      <c r="AP12" s="728" t="n"/>
      <c r="AQ12" s="727" t="n"/>
      <c r="AR12" s="729" t="n"/>
      <c r="AS12" s="728" t="n"/>
      <c r="AT12" s="727" t="n"/>
      <c r="AU12" s="729" t="n"/>
      <c r="AV12" s="728" t="n"/>
      <c r="AW12" s="727" t="n"/>
      <c r="AX12" s="729" t="n"/>
      <c r="AY12" s="730" t="n"/>
      <c r="AZ12" s="727" t="n"/>
      <c r="BA12" s="729" t="n"/>
    </row>
    <row r="13">
      <c r="B13" s="715" t="n"/>
      <c r="C13" s="716" t="n"/>
      <c r="D13" s="716" t="n"/>
      <c r="E13" s="716" t="n"/>
      <c r="F13" s="716" t="n"/>
      <c r="G13" s="45" t="inlineStr">
        <is>
          <t>Actual Cost</t>
        </is>
      </c>
      <c r="H13" s="717" t="n">
        <v>846823.7</v>
      </c>
      <c r="I13" s="706" t="n">
        <v>55124.63</v>
      </c>
      <c r="J13" s="718" t="n">
        <v>16319</v>
      </c>
      <c r="K13" s="718" t="n">
        <v>19367.86</v>
      </c>
      <c r="L13" s="718" t="n">
        <v>22270.27</v>
      </c>
      <c r="M13" s="718" t="n">
        <v>11878.38</v>
      </c>
      <c r="N13" s="718" t="n">
        <v>24832.89</v>
      </c>
      <c r="O13" s="718" t="n">
        <v>6691.57</v>
      </c>
      <c r="P13" s="718" t="n">
        <v>22549.14</v>
      </c>
      <c r="Q13" s="718" t="n">
        <v>8000.28</v>
      </c>
      <c r="R13" s="718" t="n">
        <v>21083.06</v>
      </c>
      <c r="S13" s="718" t="n">
        <v>6274.7</v>
      </c>
      <c r="T13" s="718" t="n">
        <v>13190.13</v>
      </c>
      <c r="U13" s="718" t="n">
        <v>830.27</v>
      </c>
      <c r="V13" s="706" t="n">
        <v>8599.959999999999</v>
      </c>
      <c r="W13" s="706" t="n">
        <v>8779.98</v>
      </c>
      <c r="X13" s="165" t="n">
        <v>41349.32</v>
      </c>
      <c r="Y13" s="713" t="n">
        <v>41349.32</v>
      </c>
      <c r="Z13" s="706" t="n">
        <v>53808.8</v>
      </c>
      <c r="AA13" s="706" t="n">
        <v>60596.08</v>
      </c>
      <c r="AB13" s="706" t="n">
        <v>19107.49</v>
      </c>
      <c r="AC13" s="719" t="n">
        <v>2791.1</v>
      </c>
      <c r="AD13" s="713" t="n">
        <v>3597.13</v>
      </c>
      <c r="AE13" s="706" t="n">
        <v>12022.76</v>
      </c>
      <c r="AF13" s="720" t="n">
        <v>20469.75</v>
      </c>
      <c r="AG13" s="733" t="n">
        <v>38241.73</v>
      </c>
      <c r="AH13" s="722" t="n">
        <v>16600.4</v>
      </c>
      <c r="AI13" s="723" t="n">
        <v>26025.22</v>
      </c>
      <c r="AJ13" s="733" t="n">
        <v>31652.15</v>
      </c>
      <c r="AK13" s="734" t="n">
        <v>31405.83</v>
      </c>
      <c r="AL13" s="721" t="n">
        <v>50466.33</v>
      </c>
      <c r="AM13" s="857" t="n">
        <v>22011.73</v>
      </c>
      <c r="AN13" s="852" t="n">
        <v>92606.27</v>
      </c>
      <c r="AO13" s="727" t="n">
        <v>48591.66</v>
      </c>
      <c r="AP13" s="728" t="n">
        <v>41617.1</v>
      </c>
      <c r="AQ13" s="727" t="n">
        <v>0</v>
      </c>
      <c r="AR13" s="729" t="n">
        <v>0</v>
      </c>
      <c r="AS13" s="728" t="n">
        <v>0</v>
      </c>
      <c r="AT13" s="727" t="n">
        <v>0</v>
      </c>
      <c r="AU13" s="729" t="n">
        <v>0</v>
      </c>
      <c r="AV13" s="728" t="n">
        <v>0</v>
      </c>
      <c r="AW13" s="727" t="n">
        <v>0</v>
      </c>
      <c r="AX13" s="729" t="n">
        <v>0</v>
      </c>
      <c r="AY13" s="730" t="n">
        <v>0</v>
      </c>
      <c r="AZ13" s="727" t="n">
        <v>0</v>
      </c>
      <c r="BA13" s="729" t="n">
        <v>0</v>
      </c>
    </row>
    <row r="14">
      <c r="B14" s="715" t="n"/>
      <c r="C14" s="716" t="n"/>
      <c r="D14" s="716" t="n"/>
      <c r="E14" s="716" t="n"/>
      <c r="F14" s="716" t="n"/>
      <c r="G14" s="45" t="inlineStr">
        <is>
          <t>Forecast CCI %</t>
        </is>
      </c>
      <c r="H14" s="735" t="n">
        <v>0.3325034268454107</v>
      </c>
      <c r="I14" s="736" t="n">
        <v>0.3342875007701635</v>
      </c>
      <c r="J14" s="737" t="n">
        <v>0.1127462492902602</v>
      </c>
      <c r="K14" s="737" t="n">
        <v>0.3166702109844493</v>
      </c>
      <c r="L14" s="737" t="n">
        <v>0.4933481653163291</v>
      </c>
      <c r="M14" s="737" t="n">
        <v>0.3269320487150513</v>
      </c>
      <c r="N14" s="737" t="n">
        <v>-0.006492080169696409</v>
      </c>
      <c r="O14" s="737" t="n">
        <v>0.2664049486234068</v>
      </c>
      <c r="P14" s="737" t="n">
        <v>0.3350452551661916</v>
      </c>
      <c r="Q14" s="737" t="n">
        <v>0.249661232663909</v>
      </c>
      <c r="R14" s="737" t="n">
        <v>0.498961165382858</v>
      </c>
      <c r="S14" s="737" t="n">
        <v>0.3535858927524467</v>
      </c>
      <c r="T14" s="737" t="n">
        <v>0.4559508254856378</v>
      </c>
      <c r="U14" s="737" t="n">
        <v>0</v>
      </c>
      <c r="V14" s="736" t="n">
        <v>0.5582553422122644</v>
      </c>
      <c r="W14" s="736" t="n">
        <v>0.3823357257033503</v>
      </c>
      <c r="X14" s="738" t="n">
        <v>0.5482697326262805</v>
      </c>
      <c r="Y14" s="739" t="n">
        <v>0.1867949763335408</v>
      </c>
      <c r="Z14" s="736" t="n">
        <v>0.4499090882976448</v>
      </c>
      <c r="AA14" s="736" t="n">
        <v>0.3097900210656859</v>
      </c>
      <c r="AB14" s="736" t="n">
        <v>0.2793806220531307</v>
      </c>
      <c r="AC14" s="738" t="n">
        <v>0</v>
      </c>
      <c r="AD14" s="739" t="n">
        <v>0.3936623681271719</v>
      </c>
      <c r="AE14" s="736" t="n">
        <v>0.6021204185334172</v>
      </c>
      <c r="AF14" s="740" t="n">
        <v>0.3219938148655381</v>
      </c>
      <c r="AG14" s="741" t="n">
        <v>0.3290105047238522</v>
      </c>
      <c r="AH14" s="742" t="n">
        <v>0.2107055013096054</v>
      </c>
      <c r="AI14" s="743" t="n">
        <v>0.3769085351009944</v>
      </c>
      <c r="AJ14" s="741" t="n">
        <v>-0.4592526570387838</v>
      </c>
      <c r="AK14" s="744" t="n">
        <v>0.5922752846080677</v>
      </c>
      <c r="AL14" s="745" t="n">
        <v>0.3148277270160627</v>
      </c>
      <c r="AM14" s="858" t="n">
        <v>-0.95</v>
      </c>
      <c r="AN14" s="853" t="n">
        <v>0.1036446229319128</v>
      </c>
      <c r="AO14" s="746" t="n">
        <v>0.4509306993328296</v>
      </c>
      <c r="AP14" s="747" t="n">
        <v>0</v>
      </c>
      <c r="AQ14" s="746" t="n">
        <v>0</v>
      </c>
      <c r="AR14" s="748" t="n">
        <v>0</v>
      </c>
      <c r="AS14" s="747" t="n">
        <v>0</v>
      </c>
      <c r="AT14" s="746" t="n">
        <v>0</v>
      </c>
      <c r="AU14" s="748" t="n">
        <v>0</v>
      </c>
      <c r="AV14" s="747" t="n">
        <v>0</v>
      </c>
      <c r="AW14" s="746" t="n">
        <v>0</v>
      </c>
      <c r="AX14" s="748" t="n">
        <v>0</v>
      </c>
      <c r="AY14" s="749" t="n">
        <v>0</v>
      </c>
      <c r="AZ14" s="746" t="n">
        <v>0</v>
      </c>
      <c r="BA14" s="748" t="n">
        <v>0</v>
      </c>
    </row>
    <row r="15">
      <c r="B15" s="715" t="n"/>
      <c r="C15" s="716" t="n"/>
      <c r="D15" s="716" t="n"/>
      <c r="E15" s="716" t="n"/>
      <c r="F15" s="716" t="n"/>
      <c r="G15" s="45" t="inlineStr">
        <is>
          <t>Actual CCI%</t>
        </is>
      </c>
      <c r="H15" s="735" t="n">
        <v>0.3340611444425247</v>
      </c>
      <c r="I15" s="736" t="n">
        <v>0.3342875007701635</v>
      </c>
      <c r="J15" s="737" t="n">
        <v>0.09768357174286864</v>
      </c>
      <c r="K15" s="737" t="n">
        <v>0.3103833014680808</v>
      </c>
      <c r="L15" s="737" t="n">
        <v>0.4767932247468332</v>
      </c>
      <c r="M15" s="737" t="n">
        <v>0.5176735845983205</v>
      </c>
      <c r="N15" s="737" t="n">
        <v>-0.00834899457473459</v>
      </c>
      <c r="O15" s="737" t="n">
        <v>0.2304151305939251</v>
      </c>
      <c r="P15" s="737" t="n">
        <v>0.3350452551661916</v>
      </c>
      <c r="Q15" s="737" t="n">
        <v>0.07990230024892846</v>
      </c>
      <c r="R15" s="737" t="n">
        <v>0.4987650055501239</v>
      </c>
      <c r="S15" s="737" t="n">
        <v>0.3044405363116006</v>
      </c>
      <c r="T15" s="737" t="n">
        <v>0.3612804287008943</v>
      </c>
      <c r="U15" s="737" t="n">
        <v>0</v>
      </c>
      <c r="V15" s="736" t="n">
        <v>0.5206484989537816</v>
      </c>
      <c r="W15" s="736" t="n">
        <v>0.510214836688575</v>
      </c>
      <c r="X15" s="738" t="n">
        <v>0.1610065081473089</v>
      </c>
      <c r="Y15" s="739" t="n">
        <v>0.1610065081473089</v>
      </c>
      <c r="Z15" s="736" t="n">
        <v>0.432106831523322</v>
      </c>
      <c r="AA15" s="736" t="n">
        <v>0.3352862714753313</v>
      </c>
      <c r="AB15" s="736" t="n">
        <v>0.01660481804477727</v>
      </c>
      <c r="AC15" s="738" t="n">
        <v>0</v>
      </c>
      <c r="AD15" s="739" t="n">
        <v>0.4484006812779577</v>
      </c>
      <c r="AE15" s="736" t="n">
        <v>0.519860319882547</v>
      </c>
      <c r="AF15" s="740" t="n">
        <v>0.3378347396718546</v>
      </c>
      <c r="AG15" s="741" t="n">
        <v>0.3038523739538306</v>
      </c>
      <c r="AH15" s="742" t="n">
        <v>0.2953335357410176</v>
      </c>
      <c r="AI15" s="743" t="n">
        <v>0.3996886935470824</v>
      </c>
      <c r="AJ15" s="741" t="n">
        <v>-0.3807528945057459</v>
      </c>
      <c r="AK15" s="744" t="n">
        <v>0.6423483275641831</v>
      </c>
      <c r="AL15" s="745" t="n">
        <v>0.2974761236185738</v>
      </c>
      <c r="AM15" s="858" t="n">
        <v>-1.32</v>
      </c>
      <c r="AN15" s="853" t="n">
        <v>0.3982251727348756</v>
      </c>
      <c r="AO15" s="746" t="n">
        <v>0.1744347465323815</v>
      </c>
      <c r="AP15" s="747" t="n">
        <v>0</v>
      </c>
      <c r="AQ15" s="746" t="n">
        <v>0</v>
      </c>
      <c r="AR15" s="748" t="n">
        <v>0</v>
      </c>
      <c r="AS15" s="747" t="n">
        <v>0</v>
      </c>
      <c r="AT15" s="746" t="n">
        <v>0</v>
      </c>
      <c r="AU15" s="748" t="n">
        <v>0</v>
      </c>
      <c r="AV15" s="747" t="n">
        <v>0</v>
      </c>
      <c r="AW15" s="746" t="n">
        <v>0</v>
      </c>
      <c r="AX15" s="748" t="n">
        <v>0</v>
      </c>
      <c r="AY15" s="749" t="n">
        <v>0</v>
      </c>
      <c r="AZ15" s="746" t="n">
        <v>0</v>
      </c>
      <c r="BA15" s="748" t="n">
        <v>0</v>
      </c>
    </row>
    <row r="16" ht="15" customHeight="1" s="564" thickBot="1">
      <c r="B16" s="750" t="n"/>
      <c r="C16" s="751" t="n"/>
      <c r="D16" s="751" t="n"/>
      <c r="E16" s="751" t="n"/>
      <c r="F16" s="751" t="n"/>
      <c r="G16" s="229" t="inlineStr">
        <is>
          <t>Delta Cost</t>
        </is>
      </c>
      <c r="H16" s="752" t="n">
        <v>-37307.3</v>
      </c>
      <c r="I16" s="753" t="n">
        <v>0</v>
      </c>
      <c r="J16" s="754" t="n">
        <v>-272.42</v>
      </c>
      <c r="K16" s="754" t="n">
        <v>-176.45</v>
      </c>
      <c r="L16" s="754" t="n">
        <v>-704.66</v>
      </c>
      <c r="M16" s="754" t="n">
        <v>4697.45</v>
      </c>
      <c r="N16" s="754" t="n">
        <v>-45.73</v>
      </c>
      <c r="O16" s="754" t="n">
        <v>-312.93</v>
      </c>
      <c r="P16" s="754" t="n">
        <v>0</v>
      </c>
      <c r="Q16" s="754" t="n">
        <v>-1476.06</v>
      </c>
      <c r="R16" s="754" t="n">
        <v>-8.25</v>
      </c>
      <c r="S16" s="754" t="n">
        <v>-443.34</v>
      </c>
      <c r="T16" s="754" t="n">
        <v>-1955.03</v>
      </c>
      <c r="U16" s="754" t="n">
        <v>-830.27</v>
      </c>
      <c r="V16" s="755" t="n">
        <v>-674.7</v>
      </c>
      <c r="W16" s="755" t="n">
        <v>2292.38</v>
      </c>
      <c r="X16" s="756" t="n">
        <v>-19086.05</v>
      </c>
      <c r="Y16" s="757" t="n">
        <v>-1270.97</v>
      </c>
      <c r="Z16" s="755" t="n">
        <v>-1686.79</v>
      </c>
      <c r="AA16" s="755" t="n">
        <v>2324.27</v>
      </c>
      <c r="AB16" s="755" t="n">
        <v>-5105.77</v>
      </c>
      <c r="AC16" s="756" t="n">
        <v>-1977.4</v>
      </c>
      <c r="AD16" s="757" t="n">
        <v>356.96</v>
      </c>
      <c r="AE16" s="755" t="n">
        <v>-2059.8</v>
      </c>
      <c r="AF16" s="758" t="n">
        <v>489.7</v>
      </c>
      <c r="AG16" s="759" t="n">
        <v>-1382.02</v>
      </c>
      <c r="AH16" s="760" t="n">
        <v>1993.65</v>
      </c>
      <c r="AI16" s="761" t="n">
        <v>987.59</v>
      </c>
      <c r="AJ16" s="759" t="n">
        <v>1799.52</v>
      </c>
      <c r="AK16" s="762" t="n">
        <v>4396.97</v>
      </c>
      <c r="AL16" s="763" t="n">
        <v>-1246.47</v>
      </c>
      <c r="AM16" s="859" t="n">
        <v>-3892.29</v>
      </c>
      <c r="AN16" s="854" t="n">
        <v>-7425.69</v>
      </c>
      <c r="AO16" s="765" t="n">
        <v>-16274.18</v>
      </c>
      <c r="AP16" s="766" t="n">
        <v>-41617.1</v>
      </c>
      <c r="AQ16" s="765" t="n">
        <v>0</v>
      </c>
      <c r="AR16" s="767" t="n">
        <v>0</v>
      </c>
      <c r="AS16" s="766" t="n">
        <v>0</v>
      </c>
      <c r="AT16" s="765" t="n">
        <v>0</v>
      </c>
      <c r="AU16" s="767" t="n">
        <v>0</v>
      </c>
      <c r="AV16" s="766" t="n">
        <v>0</v>
      </c>
      <c r="AW16" s="765" t="n">
        <v>0</v>
      </c>
      <c r="AX16" s="767" t="n">
        <v>0</v>
      </c>
      <c r="AY16" s="768" t="n">
        <v>0</v>
      </c>
      <c r="AZ16" s="765" t="n">
        <v>0</v>
      </c>
      <c r="BA16" s="767" t="n">
        <v>0</v>
      </c>
    </row>
    <row r="17">
      <c r="B17" s="38" t="inlineStr">
        <is>
          <t>AlphaBank</t>
        </is>
      </c>
      <c r="C17" s="36" t="inlineStr">
        <is>
          <t>IMS</t>
        </is>
      </c>
      <c r="D17" s="36" t="n">
        <v>9997412455</v>
      </c>
      <c r="E17" s="35" t="inlineStr">
        <is>
          <t>BGTY8001</t>
        </is>
      </c>
      <c r="F17" s="35" t="inlineStr">
        <is>
          <t>CHG Accenture Italia</t>
        </is>
      </c>
      <c r="G17" s="50" t="inlineStr">
        <is>
          <t>Forecast Revenues</t>
        </is>
      </c>
      <c r="H17" s="700" t="n">
        <v>1817547.2</v>
      </c>
      <c r="I17" s="701" t="n">
        <v>277570.82</v>
      </c>
      <c r="J17" s="702" t="n">
        <v>43076.13</v>
      </c>
      <c r="K17" s="702" t="n">
        <v>33814.6</v>
      </c>
      <c r="L17" s="702" t="n">
        <v>24050.21</v>
      </c>
      <c r="M17" s="702" t="n">
        <v>25733.86</v>
      </c>
      <c r="N17" s="702" t="n">
        <v>27248.97</v>
      </c>
      <c r="O17" s="702" t="n">
        <v>9652.35</v>
      </c>
      <c r="P17" s="702" t="n">
        <v>9652.35</v>
      </c>
      <c r="Q17" s="702" t="n">
        <v>0</v>
      </c>
      <c r="R17" s="702" t="n">
        <v>15533.8</v>
      </c>
      <c r="S17" s="702" t="n">
        <v>56999.95</v>
      </c>
      <c r="T17" s="702" t="n">
        <v>39046.88</v>
      </c>
      <c r="U17" s="702" t="n">
        <v>23513.13</v>
      </c>
      <c r="V17" s="701" t="n">
        <v>32762.06</v>
      </c>
      <c r="W17" s="701" t="n">
        <v>36485.89</v>
      </c>
      <c r="X17" s="704" t="n">
        <v>36485.88</v>
      </c>
      <c r="Y17" s="705" t="n"/>
      <c r="Z17" s="701" t="n">
        <v>13253.29</v>
      </c>
      <c r="AA17" s="704" t="n">
        <v>10580.63</v>
      </c>
      <c r="AB17" s="705" t="n">
        <v>37221.13</v>
      </c>
      <c r="AC17" s="769" t="n">
        <v>63398.3</v>
      </c>
      <c r="AD17" s="770" t="n">
        <v>108569.53</v>
      </c>
      <c r="AE17" s="701" t="n">
        <v>130382.41</v>
      </c>
      <c r="AF17" s="707" t="n">
        <v>90746.44</v>
      </c>
      <c r="AG17" s="708" t="n">
        <v>50871.94</v>
      </c>
      <c r="AH17" s="709" t="n">
        <v>92339.78</v>
      </c>
      <c r="AI17" s="771" t="n">
        <v>103898.21</v>
      </c>
      <c r="AJ17" s="772" t="n">
        <v>101814.97</v>
      </c>
      <c r="AK17" s="773" t="n">
        <v>84487.67999999999</v>
      </c>
      <c r="AL17" s="774" t="n">
        <v>66144.03999999999</v>
      </c>
      <c r="AM17" s="860" t="n">
        <v>104792.11</v>
      </c>
      <c r="AN17" s="855" t="n">
        <v>56839.22</v>
      </c>
      <c r="AO17" s="777" t="n">
        <v>10580.63</v>
      </c>
      <c r="AP17" s="778" t="n">
        <v>10581.45</v>
      </c>
      <c r="AQ17" s="777" t="n">
        <v>10582.26</v>
      </c>
      <c r="AR17" s="779" t="n">
        <v>10583.08</v>
      </c>
      <c r="AS17" s="778" t="n">
        <v>10583.89</v>
      </c>
      <c r="AT17" s="777" t="n">
        <v>10584.7</v>
      </c>
      <c r="AU17" s="779" t="n">
        <v>10585.52</v>
      </c>
      <c r="AV17" s="778" t="n">
        <v>10586.33</v>
      </c>
      <c r="AW17" s="777" t="n">
        <v>10587.14</v>
      </c>
      <c r="AX17" s="779" t="n">
        <v>10587.96</v>
      </c>
      <c r="AY17" s="856" t="n">
        <v>10588.77</v>
      </c>
      <c r="AZ17" s="777" t="n">
        <v>10589.59</v>
      </c>
      <c r="BA17" s="779" t="n">
        <v>10590.4</v>
      </c>
    </row>
    <row r="18">
      <c r="B18" s="715" t="n"/>
      <c r="C18" s="716" t="n"/>
      <c r="D18" s="716" t="n"/>
      <c r="E18" s="716" t="n"/>
      <c r="F18" s="716" t="n"/>
      <c r="G18" s="45" t="inlineStr">
        <is>
          <t>Forecast Costs</t>
        </is>
      </c>
      <c r="H18" s="717" t="n">
        <v>1129820.44</v>
      </c>
      <c r="I18" s="706" t="n">
        <v>171481.08</v>
      </c>
      <c r="J18" s="718" t="n">
        <v>35722.43</v>
      </c>
      <c r="K18" s="718" t="n">
        <v>23777.49</v>
      </c>
      <c r="L18" s="718" t="n">
        <v>14795.57</v>
      </c>
      <c r="M18" s="718" t="n">
        <v>18425.82</v>
      </c>
      <c r="N18" s="718" t="n">
        <v>4653.83</v>
      </c>
      <c r="O18" s="718" t="n">
        <v>6632.24</v>
      </c>
      <c r="P18" s="718" t="n">
        <v>6976.44</v>
      </c>
      <c r="Q18" s="718" t="n">
        <v>0</v>
      </c>
      <c r="R18" s="718" t="n">
        <v>9813.42</v>
      </c>
      <c r="S18" s="718" t="n">
        <v>32931.48</v>
      </c>
      <c r="T18" s="718" t="n">
        <v>26173.26</v>
      </c>
      <c r="U18" s="718" t="n">
        <v>15935.18</v>
      </c>
      <c r="V18" s="706" t="n">
        <v>13352.38</v>
      </c>
      <c r="W18" s="706" t="n">
        <v>22810.79</v>
      </c>
      <c r="X18" s="719" t="n">
        <v>29161.96</v>
      </c>
      <c r="Y18" s="713" t="n">
        <v>0</v>
      </c>
      <c r="Z18" s="706" t="n">
        <v>11680.35</v>
      </c>
      <c r="AA18" s="719" t="n">
        <v>4918.12</v>
      </c>
      <c r="AB18" s="713" t="n">
        <v>56171.51</v>
      </c>
      <c r="AC18" s="719" t="n">
        <v>33773.9</v>
      </c>
      <c r="AD18" s="713" t="n">
        <v>58648.25</v>
      </c>
      <c r="AE18" s="706" t="n">
        <v>61691.76</v>
      </c>
      <c r="AF18" s="720" t="n">
        <v>52279.54</v>
      </c>
      <c r="AG18" s="724" t="n">
        <v>28285.21</v>
      </c>
      <c r="AH18" s="722" t="n">
        <v>52996.92</v>
      </c>
      <c r="AI18" s="723" t="n">
        <v>56052.94</v>
      </c>
      <c r="AJ18" s="733" t="n">
        <v>86869.67</v>
      </c>
      <c r="AK18" s="722" t="n">
        <v>49715.31</v>
      </c>
      <c r="AL18" s="721" t="n">
        <v>32222.43</v>
      </c>
      <c r="AM18" s="728" t="n">
        <v>68722.47</v>
      </c>
      <c r="AN18" s="727" t="n">
        <v>36377.1</v>
      </c>
      <c r="AO18" s="727" t="n">
        <v>6771.61</v>
      </c>
      <c r="AP18" s="728" t="n">
        <v>0</v>
      </c>
      <c r="AQ18" s="727" t="n">
        <v>0</v>
      </c>
      <c r="AR18" s="729" t="n">
        <v>0</v>
      </c>
      <c r="AS18" s="728" t="n">
        <v>0</v>
      </c>
      <c r="AT18" s="727" t="n">
        <v>0</v>
      </c>
      <c r="AU18" s="729" t="n">
        <v>0</v>
      </c>
      <c r="AV18" s="728" t="n">
        <v>0</v>
      </c>
      <c r="AW18" s="727" t="n">
        <v>0</v>
      </c>
      <c r="AX18" s="729" t="n">
        <v>0</v>
      </c>
      <c r="AY18" s="730" t="n">
        <v>0</v>
      </c>
      <c r="AZ18" s="727" t="n">
        <v>0</v>
      </c>
      <c r="BA18" s="729" t="n">
        <v>0</v>
      </c>
    </row>
    <row r="19">
      <c r="B19" s="715" t="n"/>
      <c r="C19" s="716" t="n"/>
      <c r="D19" s="716" t="n"/>
      <c r="E19" s="716" t="n"/>
      <c r="F19" s="716" t="n"/>
      <c r="G19" s="45" t="inlineStr">
        <is>
          <t>Actual Revenues</t>
        </is>
      </c>
      <c r="H19" s="717" t="n">
        <v>1809410.21</v>
      </c>
      <c r="I19" s="706" t="n">
        <v>277570.82</v>
      </c>
      <c r="J19" s="718" t="n">
        <v>43076.13</v>
      </c>
      <c r="K19" s="718" t="n">
        <v>33814.6</v>
      </c>
      <c r="L19" s="718" t="n">
        <v>24050.21</v>
      </c>
      <c r="M19" s="718" t="n">
        <v>17596.85</v>
      </c>
      <c r="N19" s="718" t="n">
        <v>27248.96</v>
      </c>
      <c r="O19" s="718" t="n">
        <v>9652.110000000001</v>
      </c>
      <c r="P19" s="718" t="n">
        <v>9652.35</v>
      </c>
      <c r="Q19" s="718" t="n">
        <v>0</v>
      </c>
      <c r="R19" s="718" t="n">
        <v>15533.8</v>
      </c>
      <c r="S19" s="718" t="n">
        <v>57000.23</v>
      </c>
      <c r="T19" s="718" t="n">
        <v>39046.88</v>
      </c>
      <c r="U19" s="718" t="n">
        <v>23513.13</v>
      </c>
      <c r="V19" s="706" t="n">
        <v>32762.06</v>
      </c>
      <c r="W19" s="706" t="n">
        <v>36485.89</v>
      </c>
      <c r="X19" s="732" t="n">
        <v>36485.88</v>
      </c>
      <c r="Y19" s="713" t="n"/>
      <c r="Z19" s="776" t="n">
        <v>13253.29</v>
      </c>
      <c r="AA19" s="719" t="n">
        <v>10580.63</v>
      </c>
      <c r="AB19" s="713" t="n">
        <v>37221.13</v>
      </c>
      <c r="AC19" s="719" t="n">
        <v>63398.3</v>
      </c>
      <c r="AD19" s="713" t="n">
        <v>108569.53</v>
      </c>
      <c r="AE19" s="706" t="n">
        <v>130382.41</v>
      </c>
      <c r="AF19" s="720" t="n">
        <v>90746.44</v>
      </c>
      <c r="AG19" s="733" t="n">
        <v>50871.94</v>
      </c>
      <c r="AH19" s="722" t="n">
        <v>92339.78</v>
      </c>
      <c r="AI19" s="771" t="n">
        <v>103898.21</v>
      </c>
      <c r="AJ19" s="733" t="n">
        <v>101814.97</v>
      </c>
      <c r="AK19" s="781" t="n">
        <v>84487.67999999999</v>
      </c>
      <c r="AL19" s="774" t="n">
        <v>66144.03999999999</v>
      </c>
      <c r="AM19" s="857" t="n">
        <v>104792.11</v>
      </c>
      <c r="AN19" s="852" t="n">
        <v>56839.22</v>
      </c>
      <c r="AO19" s="727" t="n">
        <v>10580.63</v>
      </c>
      <c r="AP19" s="728" t="n"/>
      <c r="AQ19" s="727" t="n"/>
      <c r="AR19" s="729" t="n"/>
      <c r="AS19" s="728" t="n"/>
      <c r="AT19" s="727" t="n"/>
      <c r="AU19" s="729" t="n"/>
      <c r="AV19" s="728" t="n"/>
      <c r="AW19" s="727" t="n"/>
      <c r="AX19" s="729" t="n"/>
      <c r="AY19" s="730" t="n"/>
      <c r="AZ19" s="727" t="n"/>
      <c r="BA19" s="729" t="n"/>
    </row>
    <row r="20">
      <c r="B20" s="715" t="n"/>
      <c r="C20" s="716" t="n"/>
      <c r="D20" s="716" t="n"/>
      <c r="E20" s="716" t="n"/>
      <c r="F20" s="716" t="n"/>
      <c r="G20" s="45" t="inlineStr">
        <is>
          <t>Actual Cost</t>
        </is>
      </c>
      <c r="H20" s="717" t="n">
        <v>1191645.99</v>
      </c>
      <c r="I20" s="706" t="n">
        <v>171481.08</v>
      </c>
      <c r="J20" s="718" t="n">
        <v>41393.21</v>
      </c>
      <c r="K20" s="718" t="n">
        <v>26404.54</v>
      </c>
      <c r="L20" s="718" t="n">
        <v>17511.96</v>
      </c>
      <c r="M20" s="718" t="n">
        <v>22670.18</v>
      </c>
      <c r="N20" s="718" t="n">
        <v>4653.83</v>
      </c>
      <c r="O20" s="718" t="n">
        <v>7328.98</v>
      </c>
      <c r="P20" s="718" t="n">
        <v>7458.5</v>
      </c>
      <c r="Q20" s="718" t="n">
        <v>977.2</v>
      </c>
      <c r="R20" s="718" t="n">
        <v>9607.5</v>
      </c>
      <c r="S20" s="718" t="n">
        <v>30557.15</v>
      </c>
      <c r="T20" s="718" t="n">
        <v>26173.26</v>
      </c>
      <c r="U20" s="718" t="n">
        <v>19650.38</v>
      </c>
      <c r="V20" s="706" t="n">
        <v>12656.88</v>
      </c>
      <c r="W20" s="706" t="n">
        <v>22529.93</v>
      </c>
      <c r="X20" s="165" t="n">
        <v>27643.56</v>
      </c>
      <c r="Y20" s="713" t="n">
        <v>204.56</v>
      </c>
      <c r="Z20" s="706" t="n">
        <v>11915.8</v>
      </c>
      <c r="AA20" s="719" t="n">
        <v>9506.610000000001</v>
      </c>
      <c r="AB20" s="713" t="n">
        <v>54685.67</v>
      </c>
      <c r="AC20" s="719" t="n">
        <v>33473.79</v>
      </c>
      <c r="AD20" s="713" t="n">
        <v>73496.47</v>
      </c>
      <c r="AE20" s="706" t="n">
        <v>65135.02</v>
      </c>
      <c r="AF20" s="720" t="n">
        <v>56905.73</v>
      </c>
      <c r="AG20" s="724" t="n">
        <v>40587.25</v>
      </c>
      <c r="AH20" s="722" t="n">
        <v>56545.37</v>
      </c>
      <c r="AI20" s="723" t="n">
        <v>53832.37</v>
      </c>
      <c r="AJ20" s="724" t="n">
        <v>76133.22</v>
      </c>
      <c r="AK20" s="722" t="n">
        <v>53888.63</v>
      </c>
      <c r="AL20" s="721" t="n">
        <v>34918.23</v>
      </c>
      <c r="AM20" s="728" t="n">
        <v>78116</v>
      </c>
      <c r="AN20" s="727" t="n">
        <v>34995.69</v>
      </c>
      <c r="AO20" s="727" t="n">
        <v>8607.450000000001</v>
      </c>
      <c r="AP20" s="728" t="n">
        <v>0</v>
      </c>
      <c r="AQ20" s="727" t="n">
        <v>0</v>
      </c>
      <c r="AR20" s="729" t="n">
        <v>0</v>
      </c>
      <c r="AS20" s="728" t="n">
        <v>0</v>
      </c>
      <c r="AT20" s="727" t="n">
        <v>0</v>
      </c>
      <c r="AU20" s="729" t="n">
        <v>0</v>
      </c>
      <c r="AV20" s="728" t="n">
        <v>0</v>
      </c>
      <c r="AW20" s="727" t="n">
        <v>0</v>
      </c>
      <c r="AX20" s="729" t="n">
        <v>0</v>
      </c>
      <c r="AY20" s="730" t="n">
        <v>0</v>
      </c>
      <c r="AZ20" s="727" t="n">
        <v>0</v>
      </c>
      <c r="BA20" s="729" t="n">
        <v>0</v>
      </c>
    </row>
    <row r="21">
      <c r="B21" s="715" t="n"/>
      <c r="C21" s="716" t="n"/>
      <c r="D21" s="716" t="n"/>
      <c r="E21" s="716" t="n"/>
      <c r="F21" s="716" t="n"/>
      <c r="G21" s="45" t="inlineStr">
        <is>
          <t>Forecast CCI %</t>
        </is>
      </c>
      <c r="H21" s="735" t="n">
        <v>0.3783817883241483</v>
      </c>
      <c r="I21" s="736" t="n">
        <v>0.3822078101661104</v>
      </c>
      <c r="J21" s="737" t="n">
        <v>0.1707140481074393</v>
      </c>
      <c r="K21" s="737" t="n">
        <v>0.2968275308440851</v>
      </c>
      <c r="L21" s="737" t="n">
        <v>0.3848048151681857</v>
      </c>
      <c r="M21" s="737" t="n">
        <v>0.2839853499033856</v>
      </c>
      <c r="N21" s="737" t="n">
        <v>0.8292108781335731</v>
      </c>
      <c r="O21" s="737" t="n">
        <v>0.3128887315276127</v>
      </c>
      <c r="P21" s="737" t="n">
        <v>0.2772289330306376</v>
      </c>
      <c r="Q21" s="737" t="n">
        <v>0</v>
      </c>
      <c r="R21" s="737" t="n">
        <v>0.3682539798945331</v>
      </c>
      <c r="S21" s="737" t="n">
        <v>0.4222542706080042</v>
      </c>
      <c r="T21" s="737" t="n">
        <v>0.3296963624595253</v>
      </c>
      <c r="U21" s="737" t="n">
        <v>0.3222859745243033</v>
      </c>
      <c r="V21" s="736" t="n">
        <v>0.5924436710861839</v>
      </c>
      <c r="W21" s="736" t="n">
        <v>0.3748053111219596</v>
      </c>
      <c r="X21" s="738" t="n">
        <v>0.2007330147450417</v>
      </c>
      <c r="Y21" s="739" t="n">
        <v>0</v>
      </c>
      <c r="Z21" s="736" t="n">
        <v>0.1186831281783972</v>
      </c>
      <c r="AA21" s="738" t="n">
        <v>0.5351775324604912</v>
      </c>
      <c r="AB21" s="739" t="n">
        <v>-0.509129625346446</v>
      </c>
      <c r="AC21" s="738" t="n">
        <v>0.4672744594943039</v>
      </c>
      <c r="AD21" s="739" t="n">
        <v>0.4598093578974807</v>
      </c>
      <c r="AE21" s="736" t="n">
        <v>0.5268398700126147</v>
      </c>
      <c r="AF21" s="740" t="n">
        <v>0.4238943064950958</v>
      </c>
      <c r="AG21" s="741" t="n">
        <v>0.4439919173733285</v>
      </c>
      <c r="AH21" s="742" t="n">
        <v>0.4260661758626036</v>
      </c>
      <c r="AI21" s="743" t="n">
        <v>0.4605014099743201</v>
      </c>
      <c r="AJ21" s="741" t="n">
        <v>0.1467888504166851</v>
      </c>
      <c r="AK21" s="744" t="n">
        <v>0.4115673776600614</v>
      </c>
      <c r="AL21" s="745" t="n">
        <v>0.5128445473406005</v>
      </c>
      <c r="AM21" s="858" t="n">
        <v>0.3442018634279485</v>
      </c>
      <c r="AN21" s="853" t="n">
        <v>0.3599999999999999</v>
      </c>
      <c r="AO21" s="746" t="n">
        <v>0.36</v>
      </c>
      <c r="AP21" s="747" t="n">
        <v>1</v>
      </c>
      <c r="AQ21" s="746" t="n">
        <v>1</v>
      </c>
      <c r="AR21" s="748" t="n">
        <v>1</v>
      </c>
      <c r="AS21" s="747" t="n">
        <v>1</v>
      </c>
      <c r="AT21" s="746" t="n">
        <v>1</v>
      </c>
      <c r="AU21" s="748" t="n">
        <v>1</v>
      </c>
      <c r="AV21" s="747" t="n">
        <v>1</v>
      </c>
      <c r="AW21" s="746" t="n">
        <v>1</v>
      </c>
      <c r="AX21" s="748" t="n">
        <v>1</v>
      </c>
      <c r="AY21" s="749" t="n">
        <v>1</v>
      </c>
      <c r="AZ21" s="746" t="n">
        <v>1</v>
      </c>
      <c r="BA21" s="748" t="n">
        <v>1</v>
      </c>
    </row>
    <row r="22">
      <c r="B22" s="715" t="n"/>
      <c r="C22" s="716" t="n"/>
      <c r="D22" s="716" t="n"/>
      <c r="E22" s="716" t="n"/>
      <c r="F22" s="716" t="n"/>
      <c r="G22" s="45" t="inlineStr">
        <is>
          <t>Actual CCI%</t>
        </is>
      </c>
      <c r="H22" s="735" t="n">
        <v>0.3414174494925859</v>
      </c>
      <c r="I22" s="736" t="n">
        <v>0.3822078101661104</v>
      </c>
      <c r="J22" s="737" t="n">
        <v>0.03906847537873593</v>
      </c>
      <c r="K22" s="737" t="n">
        <v>0.2191378070241085</v>
      </c>
      <c r="L22" s="737" t="n">
        <v>0.2718584004926142</v>
      </c>
      <c r="M22" s="737" t="n">
        <v>-0.288309013526486</v>
      </c>
      <c r="N22" s="737" t="n">
        <v>0.8292108271330506</v>
      </c>
      <c r="O22" s="737" t="n">
        <v>0.2406862251276673</v>
      </c>
      <c r="P22" s="737" t="n">
        <v>0.2272857938897128</v>
      </c>
      <c r="Q22" s="737" t="n">
        <v>0</v>
      </c>
      <c r="R22" s="737" t="n">
        <v>0.381509905800476</v>
      </c>
      <c r="S22" s="737" t="n">
        <v>0.4639117658360212</v>
      </c>
      <c r="T22" s="737" t="n">
        <v>0.3296963624595253</v>
      </c>
      <c r="U22" s="737" t="n">
        <v>0.1642804541440228</v>
      </c>
      <c r="V22" s="736" t="n">
        <v>0.6136725291936258</v>
      </c>
      <c r="W22" s="736" t="n">
        <v>0.3825030124116041</v>
      </c>
      <c r="X22" s="738" t="n">
        <v>0.2423491530231841</v>
      </c>
      <c r="Y22" s="739" t="n">
        <v>0</v>
      </c>
      <c r="Z22" s="736" t="n">
        <v>0.1009179324999433</v>
      </c>
      <c r="AA22" s="738" t="n">
        <v>0.101508369340731</v>
      </c>
      <c r="AB22" s="739" t="n">
        <v>-0.4692104113716922</v>
      </c>
      <c r="AC22" s="738" t="n">
        <v>0.4720081639138528</v>
      </c>
      <c r="AD22" s="739" t="n">
        <v>0.3230470329164312</v>
      </c>
      <c r="AE22" s="736" t="n">
        <v>0.5004309634390353</v>
      </c>
      <c r="AF22" s="740" t="n">
        <v>0.3729150754434816</v>
      </c>
      <c r="AG22" s="741" t="n">
        <v>0.2021681951551585</v>
      </c>
      <c r="AH22" s="742" t="n">
        <v>0.3876380046801832</v>
      </c>
      <c r="AI22" s="743" t="n">
        <v>0.4818739581467731</v>
      </c>
      <c r="AJ22" s="741" t="n">
        <v>0.252239413895007</v>
      </c>
      <c r="AK22" s="744" t="n">
        <v>0.3621717921110345</v>
      </c>
      <c r="AL22" s="745" t="n">
        <v>0.4720880986177602</v>
      </c>
      <c r="AM22" s="858" t="n">
        <v>0.2545621278988159</v>
      </c>
      <c r="AN22" s="853" t="n">
        <v>0.3843038234905274</v>
      </c>
      <c r="AO22" s="746" t="n">
        <v>0.1864900371949337</v>
      </c>
      <c r="AP22" s="747" t="n">
        <v>0</v>
      </c>
      <c r="AQ22" s="746" t="n">
        <v>0</v>
      </c>
      <c r="AR22" s="748" t="n">
        <v>0</v>
      </c>
      <c r="AS22" s="747" t="n">
        <v>0</v>
      </c>
      <c r="AT22" s="746" t="n">
        <v>0</v>
      </c>
      <c r="AU22" s="748" t="n">
        <v>0</v>
      </c>
      <c r="AV22" s="747" t="n">
        <v>0</v>
      </c>
      <c r="AW22" s="746" t="n">
        <v>0</v>
      </c>
      <c r="AX22" s="748" t="n">
        <v>0</v>
      </c>
      <c r="AY22" s="749" t="n">
        <v>0</v>
      </c>
      <c r="AZ22" s="746" t="n">
        <v>0</v>
      </c>
      <c r="BA22" s="748" t="n">
        <v>0</v>
      </c>
    </row>
    <row r="23" ht="15" customHeight="1" s="564" thickBot="1">
      <c r="B23" s="750" t="n"/>
      <c r="C23" s="751" t="n"/>
      <c r="D23" s="751" t="n"/>
      <c r="E23" s="751" t="n"/>
      <c r="F23" s="751" t="n"/>
      <c r="G23" s="229" t="inlineStr">
        <is>
          <t>Delta Cost</t>
        </is>
      </c>
      <c r="H23" s="752" t="n">
        <v>-61825.55</v>
      </c>
      <c r="I23" s="753" t="n">
        <v>0</v>
      </c>
      <c r="J23" s="754" t="n">
        <v>-5670.78</v>
      </c>
      <c r="K23" s="754" t="n">
        <v>-2627.05</v>
      </c>
      <c r="L23" s="754" t="n">
        <v>-2716.38</v>
      </c>
      <c r="M23" s="754" t="n">
        <v>-4244.36</v>
      </c>
      <c r="N23" s="754" t="n">
        <v>0</v>
      </c>
      <c r="O23" s="754" t="n">
        <v>-696.74</v>
      </c>
      <c r="P23" s="754" t="n">
        <v>-482.07</v>
      </c>
      <c r="Q23" s="754" t="n">
        <v>-977.2</v>
      </c>
      <c r="R23" s="754" t="n">
        <v>205.91</v>
      </c>
      <c r="S23" s="754" t="n">
        <v>2374.33</v>
      </c>
      <c r="T23" s="754" t="n">
        <v>0</v>
      </c>
      <c r="U23" s="754" t="n">
        <v>-3715.2</v>
      </c>
      <c r="V23" s="755" t="n">
        <v>695.5</v>
      </c>
      <c r="W23" s="755" t="n">
        <v>280.86</v>
      </c>
      <c r="X23" s="756" t="n">
        <v>1518.4</v>
      </c>
      <c r="Y23" s="764" t="n">
        <v>-204.56</v>
      </c>
      <c r="Z23" s="753" t="n">
        <v>-235.45</v>
      </c>
      <c r="AA23" s="782" t="n">
        <v>-4588.49</v>
      </c>
      <c r="AB23" s="764" t="n">
        <v>1485.84</v>
      </c>
      <c r="AC23" s="782" t="n">
        <v>300.11</v>
      </c>
      <c r="AD23" s="764" t="n">
        <v>-14848.22</v>
      </c>
      <c r="AE23" s="753" t="n">
        <v>-3443.26</v>
      </c>
      <c r="AF23" s="783" t="n">
        <v>-4626.18</v>
      </c>
      <c r="AG23" s="759" t="n">
        <v>-12302.04</v>
      </c>
      <c r="AH23" s="760" t="n">
        <v>-3548.45</v>
      </c>
      <c r="AI23" s="761" t="n">
        <v>2220.57</v>
      </c>
      <c r="AJ23" s="759" t="n">
        <v>10736.45</v>
      </c>
      <c r="AK23" s="762" t="n">
        <v>-4173.32</v>
      </c>
      <c r="AL23" s="763" t="n">
        <v>-2695.8</v>
      </c>
      <c r="AM23" s="859" t="n">
        <v>-9393.540000000001</v>
      </c>
      <c r="AN23" s="854" t="n">
        <v>1381.41</v>
      </c>
      <c r="AO23" s="765" t="n">
        <v>-1835.85</v>
      </c>
      <c r="AP23" s="766" t="n">
        <v>0</v>
      </c>
      <c r="AQ23" s="765" t="n">
        <v>0</v>
      </c>
      <c r="AR23" s="767" t="n">
        <v>0</v>
      </c>
      <c r="AS23" s="766" t="n">
        <v>0</v>
      </c>
      <c r="AT23" s="765" t="n">
        <v>0</v>
      </c>
      <c r="AU23" s="767" t="n">
        <v>0</v>
      </c>
      <c r="AV23" s="766" t="n">
        <v>0</v>
      </c>
      <c r="AW23" s="765" t="n">
        <v>0</v>
      </c>
      <c r="AX23" s="767" t="n">
        <v>0</v>
      </c>
      <c r="AY23" s="768" t="n">
        <v>0</v>
      </c>
      <c r="AZ23" s="765" t="n">
        <v>0</v>
      </c>
      <c r="BA23" s="767" t="n">
        <v>0</v>
      </c>
    </row>
    <row r="24" ht="29.5" customHeight="1" s="564" thickBot="1">
      <c r="A24" s="67" t="n"/>
      <c r="B24" s="38" t="inlineStr">
        <is>
          <t>AlphaBank</t>
        </is>
      </c>
      <c r="C24" s="36" t="n"/>
      <c r="D24" s="36" t="n"/>
      <c r="E24" s="35" t="inlineStr">
        <is>
          <t>BYSOX001</t>
        </is>
      </c>
      <c r="F24" s="191" t="inlineStr">
        <is>
          <t>DeltaCorp - Supporto Security Comitato Rischi</t>
        </is>
      </c>
      <c r="G24" s="68" t="inlineStr">
        <is>
          <t>Forecast Costs</t>
        </is>
      </c>
      <c r="H24" s="784" t="n">
        <v>17087.7</v>
      </c>
      <c r="I24" s="785" t="n"/>
      <c r="J24" s="786" t="n"/>
      <c r="K24" s="786" t="n"/>
      <c r="L24" s="786" t="n"/>
      <c r="M24" s="786" t="n"/>
      <c r="N24" s="786" t="n"/>
      <c r="O24" s="786" t="n"/>
      <c r="P24" s="786" t="n"/>
      <c r="Q24" s="786" t="n"/>
      <c r="R24" s="786" t="n"/>
      <c r="S24" s="787" t="n"/>
      <c r="T24" s="788" t="n"/>
      <c r="U24" s="789" t="n"/>
      <c r="V24" s="790" t="n"/>
      <c r="W24" s="791" t="n"/>
      <c r="X24" s="790" t="n"/>
      <c r="Y24" s="792" t="n"/>
      <c r="Z24" s="785" t="n"/>
      <c r="AA24" s="785" t="n"/>
      <c r="AB24" s="785" t="n"/>
      <c r="AC24" s="793" t="n"/>
      <c r="AD24" s="794" t="n"/>
      <c r="AE24" s="795" t="n">
        <v>1553.43</v>
      </c>
      <c r="AF24" s="796" t="n">
        <v>1553.43</v>
      </c>
      <c r="AG24" s="797" t="n">
        <v>1553.43</v>
      </c>
      <c r="AH24" s="798" t="n">
        <v>1553.43</v>
      </c>
      <c r="AI24" s="799" t="n">
        <v>1553.43</v>
      </c>
      <c r="AJ24" s="800" t="n">
        <v>1553.43</v>
      </c>
      <c r="AK24" s="798" t="n">
        <v>1553.43</v>
      </c>
      <c r="AL24" s="801" t="n">
        <v>1553.43</v>
      </c>
      <c r="AM24" s="861" t="n">
        <v>1553.43</v>
      </c>
      <c r="AN24" s="803" t="n">
        <v>1553.43</v>
      </c>
      <c r="AO24" s="803" t="n">
        <v>1553.43</v>
      </c>
      <c r="AP24" s="352" t="n"/>
      <c r="AQ24" s="353" t="n"/>
      <c r="AR24" s="354" t="n"/>
      <c r="AS24" s="352" t="n"/>
      <c r="AT24" s="353" t="n"/>
      <c r="AU24" s="354" t="n"/>
      <c r="AV24" s="352" t="n"/>
      <c r="AW24" s="353" t="n"/>
      <c r="AX24" s="354" t="n"/>
      <c r="AY24" s="360" t="n"/>
      <c r="AZ24" s="353" t="n"/>
      <c r="BA24" s="354" t="n"/>
    </row>
    <row r="25">
      <c r="N25" s="688" t="n"/>
      <c r="O25" s="579" t="inlineStr">
        <is>
          <t xml:space="preserve"> </t>
        </is>
      </c>
    </row>
    <row r="26">
      <c r="N26" s="688" t="n"/>
      <c r="AJ26" s="596" t="n"/>
      <c r="AM26" s="862" t="n"/>
    </row>
    <row r="27">
      <c r="C27" s="130" t="n"/>
      <c r="D27" s="130" t="n"/>
      <c r="E27" s="130" t="n"/>
      <c r="F27" s="130" t="n"/>
      <c r="G27" s="130" t="n"/>
      <c r="H27" s="596" t="n">
        <v>424800.1</v>
      </c>
      <c r="AJ27" s="596" t="n"/>
    </row>
    <row r="28">
      <c r="C28" s="863" t="n"/>
      <c r="E28" s="863" t="n"/>
      <c r="G28" s="864" t="n"/>
      <c r="H28" s="864" t="n">
        <v>617764.22</v>
      </c>
      <c r="R28" s="579" t="n">
        <v>138036.4</v>
      </c>
    </row>
    <row r="29">
      <c r="C29" s="805" t="n"/>
      <c r="G29" s="864" t="n"/>
      <c r="H29" s="864" t="n">
        <v>1042564.32</v>
      </c>
      <c r="J29" s="596" t="n"/>
      <c r="R29" s="596" t="n">
        <v>184968.78</v>
      </c>
      <c r="W29" s="806" t="n"/>
      <c r="X29" s="688" t="n"/>
      <c r="Y29" s="806" t="n"/>
      <c r="Z29" s="688" t="n"/>
    </row>
    <row r="30">
      <c r="V30" s="597" t="n"/>
      <c r="W30" s="806" t="n"/>
      <c r="X30" s="688" t="n"/>
      <c r="Y30" s="806" t="n"/>
      <c r="Z30" s="688" t="n"/>
    </row>
    <row r="31">
      <c r="V31" s="597" t="n"/>
      <c r="AB31" s="657" t="n"/>
      <c r="AD31" s="657" t="n"/>
    </row>
    <row r="32">
      <c r="F32" s="130" t="n"/>
      <c r="O32" s="806" t="e">
        <v>#REF!</v>
      </c>
      <c r="P32" s="579" t="n">
        <v>16718</v>
      </c>
    </row>
    <row r="33">
      <c r="O33" s="688" t="e">
        <v>#REF!</v>
      </c>
      <c r="P33" s="596" t="n">
        <v>22402.5</v>
      </c>
    </row>
    <row r="34">
      <c r="A34" s="596" t="n"/>
      <c r="P34" s="579" t="n">
        <v>27259</v>
      </c>
    </row>
    <row r="35">
      <c r="A35" s="596" t="n"/>
    </row>
    <row r="36"/>
    <row r="37">
      <c r="A37" s="601" t="n"/>
    </row>
    <row r="38">
      <c r="A38" s="601" t="n"/>
    </row>
    <row r="39">
      <c r="A39" s="601" t="n"/>
      <c r="E39" s="406" t="n"/>
    </row>
    <row r="40">
      <c r="A40" s="601" t="n"/>
    </row>
    <row r="41">
      <c r="A41" s="601" t="n"/>
    </row>
    <row r="42">
      <c r="A42" s="601" t="n"/>
    </row>
    <row r="43">
      <c r="A43" s="601" t="n"/>
    </row>
    <row r="44">
      <c r="A44" s="601" t="n"/>
    </row>
    <row r="45">
      <c r="A45" s="601" t="n"/>
    </row>
    <row r="46">
      <c r="A46" s="601" t="n"/>
    </row>
    <row r="47">
      <c r="A47" s="601" t="n"/>
    </row>
    <row r="48">
      <c r="A48" s="601" t="n"/>
    </row>
    <row r="49">
      <c r="A49" s="601" t="n"/>
    </row>
  </sheetData>
  <autoFilter ref="A9:W25"/>
  <mergeCells count="26">
    <mergeCell ref="U2:W2"/>
    <mergeCell ref="AG2:AI2"/>
    <mergeCell ref="B10:B16"/>
    <mergeCell ref="F17:F23"/>
    <mergeCell ref="C17:C23"/>
    <mergeCell ref="AS2:AU2"/>
    <mergeCell ref="B2:C2"/>
    <mergeCell ref="AY2:BA2"/>
    <mergeCell ref="AD2:AF2"/>
    <mergeCell ref="AP2:AR2"/>
    <mergeCell ref="O2:Q2"/>
    <mergeCell ref="D10:D16"/>
    <mergeCell ref="AA2:AC2"/>
    <mergeCell ref="F10:F16"/>
    <mergeCell ref="R2:T2"/>
    <mergeCell ref="E17:E23"/>
    <mergeCell ref="L2:N2"/>
    <mergeCell ref="AM2:AO2"/>
    <mergeCell ref="X2:Z2"/>
    <mergeCell ref="AJ2:AL2"/>
    <mergeCell ref="I2:K2"/>
    <mergeCell ref="B17:B23"/>
    <mergeCell ref="D17:D23"/>
    <mergeCell ref="C10:C16"/>
    <mergeCell ref="E10:E16"/>
    <mergeCell ref="AV2:AX2"/>
  </mergeCells>
  <conditionalFormatting sqref="I1:W1">
    <cfRule type="cellIs" priority="1" operator="lessThan" dxfId="1">
      <formula>0</formula>
    </cfRule>
    <cfRule type="cellIs" priority="2" operator="greaterThan" dxfId="0">
      <formula>0</formula>
    </cfRule>
  </conditionalFormatting>
  <dataValidations count="1">
    <dataValidation sqref="B10 B17 B24" showDropDown="0" showInputMessage="1" showErrorMessage="1" allowBlank="1" type="list">
      <formula1>"BNL,Findomestic"</formula1>
    </dataValidation>
  </dataValidations>
  <pageMargins left="0.7" right="0.7" top="0.75" bottom="0.75" header="0.3" footer="0.3"/>
  <pageSetup orientation="portrait"/>
  <legacyDrawing xmlns:r="http://schemas.openxmlformats.org/officeDocument/2006/relationships" r:id="anysvml"/>
</worksheet>
</file>

<file path=xl/worksheets/sheet16.xml><?xml version="1.0" encoding="utf-8"?>
<worksheet xmlns="http://schemas.openxmlformats.org/spreadsheetml/2006/main">
  <sheetPr codeName="Sheet10">
    <outlinePr summaryBelow="1" summaryRight="1"/>
    <pageSetUpPr/>
  </sheetPr>
  <dimension ref="A1:I24"/>
  <sheetViews>
    <sheetView workbookViewId="0">
      <selection activeCell="D3" sqref="D3"/>
    </sheetView>
  </sheetViews>
  <sheetFormatPr baseColWidth="8" defaultRowHeight="14.5"/>
  <cols>
    <col width="11.453125" bestFit="1" customWidth="1" style="564" min="1" max="1"/>
    <col width="17.1796875" customWidth="1" style="564" min="2" max="2"/>
    <col width="17.08984375" customWidth="1" style="564" min="3" max="3"/>
    <col width="12.7265625" customWidth="1" style="564" min="4" max="4"/>
    <col width="6.7265625" customWidth="1" style="564" min="5" max="5"/>
    <col width="9.81640625" bestFit="1" customWidth="1" style="564" min="6" max="6"/>
    <col width="20.90625" bestFit="1" customWidth="1" style="564" min="7" max="7"/>
    <col width="13.453125" customWidth="1" style="564" min="8" max="8"/>
    <col width="16.36328125" customWidth="1" style="564" min="9" max="9"/>
    <col width="20.90625" bestFit="1" customWidth="1" style="564" min="10" max="10"/>
  </cols>
  <sheetData>
    <row r="1" ht="15" customHeight="1" s="564" thickBot="1">
      <c r="C1" s="555" t="inlineStr">
        <is>
          <t>Q4</t>
        </is>
      </c>
      <c r="D1" s="865" t="n"/>
      <c r="H1" s="546" t="inlineStr">
        <is>
          <t>Q4</t>
        </is>
      </c>
      <c r="I1" s="866" t="n"/>
    </row>
    <row r="2">
      <c r="A2" s="552" t="inlineStr">
        <is>
          <t>ACTUAL</t>
        </is>
      </c>
      <c r="B2" s="548" t="inlineStr">
        <is>
          <t>BetaCredit</t>
        </is>
      </c>
      <c r="C2" s="408" t="inlineStr">
        <is>
          <t>Total Revenue</t>
        </is>
      </c>
      <c r="D2" s="867" t="n">
        <v>221124.77</v>
      </c>
      <c r="F2" s="552" t="inlineStr">
        <is>
          <t xml:space="preserve">FORECAST </t>
        </is>
      </c>
      <c r="G2" s="548" t="inlineStr">
        <is>
          <t>BetaCredit</t>
        </is>
      </c>
      <c r="H2" s="408" t="inlineStr">
        <is>
          <t>Total Revenue</t>
        </is>
      </c>
      <c r="I2" s="867" t="n">
        <v>221124.77</v>
      </c>
    </row>
    <row r="3">
      <c r="A3" s="715" t="n"/>
      <c r="B3" s="716" t="n"/>
      <c r="C3" s="407" t="inlineStr">
        <is>
          <t>Total Cost</t>
        </is>
      </c>
      <c r="D3" s="868" t="n">
        <v>163209.66</v>
      </c>
      <c r="F3" s="715" t="n"/>
      <c r="G3" s="716" t="n"/>
      <c r="H3" s="407" t="inlineStr">
        <is>
          <t>Total Cost</t>
        </is>
      </c>
      <c r="I3" s="868" t="n">
        <v>146121.96</v>
      </c>
    </row>
    <row r="4">
      <c r="A4" s="715" t="n"/>
      <c r="B4" s="869" t="n"/>
      <c r="C4" s="407" t="inlineStr">
        <is>
          <t>CCI contratto</t>
        </is>
      </c>
      <c r="D4" s="870" t="n">
        <v>0.334</v>
      </c>
      <c r="F4" s="715" t="n"/>
      <c r="G4" s="869" t="n"/>
      <c r="H4" s="407" t="inlineStr">
        <is>
          <t>CCI contratto</t>
        </is>
      </c>
      <c r="I4" s="870" t="n">
        <v>0.347</v>
      </c>
    </row>
    <row r="5">
      <c r="A5" s="715" t="n"/>
      <c r="B5" s="550" t="inlineStr">
        <is>
          <t>AlphaBank</t>
        </is>
      </c>
      <c r="C5" s="407" t="inlineStr">
        <is>
          <t>Total Revenue</t>
        </is>
      </c>
      <c r="D5" s="868" t="n">
        <v>172211.96</v>
      </c>
      <c r="F5" s="715" t="n"/>
      <c r="G5" s="557" t="inlineStr">
        <is>
          <t>AlphaBank</t>
        </is>
      </c>
      <c r="H5" s="407" t="inlineStr">
        <is>
          <t>Total Revenue</t>
        </is>
      </c>
      <c r="I5" s="868" t="n">
        <v>172211.96</v>
      </c>
    </row>
    <row r="6">
      <c r="A6" s="715" t="n"/>
      <c r="B6" s="716" t="n"/>
      <c r="C6" s="407" t="inlineStr">
        <is>
          <t>Total Cost</t>
        </is>
      </c>
      <c r="D6" s="868" t="n">
        <v>121719.15</v>
      </c>
      <c r="F6" s="715" t="n"/>
      <c r="G6" s="716" t="n"/>
      <c r="H6" s="407" t="inlineStr">
        <is>
          <t>Total Cost</t>
        </is>
      </c>
      <c r="I6" s="868" t="n">
        <v>117650.65</v>
      </c>
    </row>
    <row r="7" ht="15" customHeight="1" s="564" thickBot="1">
      <c r="A7" s="871" t="n"/>
      <c r="B7" s="869" t="n"/>
      <c r="C7" s="411" t="inlineStr">
        <is>
          <t>CCI contratto</t>
        </is>
      </c>
      <c r="D7" s="872" t="n">
        <v>0.341</v>
      </c>
      <c r="F7" s="871" t="n"/>
      <c r="G7" s="869" t="n"/>
      <c r="H7" s="411" t="inlineStr">
        <is>
          <t>CCI contratto</t>
        </is>
      </c>
      <c r="I7" s="872" t="n">
        <v>0.344</v>
      </c>
    </row>
    <row r="8"/>
    <row r="9">
      <c r="C9" s="134" t="inlineStr">
        <is>
          <t>Tot cost</t>
        </is>
      </c>
      <c r="D9" s="873" t="n">
        <v>284928.81</v>
      </c>
      <c r="G9" s="134" t="inlineStr">
        <is>
          <t>Tot cost</t>
        </is>
      </c>
      <c r="H9" s="873" t="n">
        <v>263772.61</v>
      </c>
      <c r="I9" s="873" t="n"/>
    </row>
    <row r="10">
      <c r="I10" s="603" t="n"/>
    </row>
    <row r="11"/>
    <row r="12">
      <c r="G12" s="134" t="inlineStr">
        <is>
          <t>Spazio costi guadagnato</t>
        </is>
      </c>
      <c r="H12" s="873" t="n">
        <v>21156</v>
      </c>
    </row>
    <row r="13"/>
    <row r="14"/>
    <row r="15"/>
    <row r="16">
      <c r="C16" s="588" t="n"/>
    </row>
    <row r="17">
      <c r="C17" s="588" t="n"/>
    </row>
    <row r="18">
      <c r="C18" s="85" t="n"/>
    </row>
    <row r="19">
      <c r="C19" s="85" t="n"/>
    </row>
    <row r="20">
      <c r="C20" s="588" t="n"/>
    </row>
    <row r="21">
      <c r="C21" s="588" t="n"/>
    </row>
    <row r="22">
      <c r="C22" s="588" t="n"/>
    </row>
    <row r="23">
      <c r="C23" s="85" t="n"/>
    </row>
    <row r="24">
      <c r="C24" s="85" t="n"/>
    </row>
  </sheetData>
  <mergeCells count="8">
    <mergeCell ref="C1:D1"/>
    <mergeCell ref="H1:I1"/>
    <mergeCell ref="G2:G4"/>
    <mergeCell ref="A2:A7"/>
    <mergeCell ref="G5:G7"/>
    <mergeCell ref="F2:F7"/>
    <mergeCell ref="B2:B4"/>
    <mergeCell ref="B5:B7"/>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2026-08-04T06:26:41Z</dcterms:created>
  <dcterms:modified xmlns:dcterms="http://purl.org/dc/terms/" xmlns:xsi="http://www.w3.org/2001/XMLSchema-instance" xsi:type="dcterms:W3CDTF">2026-08-31T09:36:11Z</dcterms:modified>
  <cp:revision>1</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0x010100BEFA3A4F6C208E47B5D36A88BFD639BD</vt:lpwstr>
  </property>
  <property name="MediaServiceImageTags" fmtid="{D5CDD505-2E9C-101B-9397-08002B2CF9AE}" pid="3">
    <vt:lpwstr xmlns:vt="http://schemas.openxmlformats.org/officeDocument/2006/docPropsVTypes"/>
  </property>
</Properties>
</file>